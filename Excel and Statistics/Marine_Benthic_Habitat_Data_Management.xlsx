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d6d5da305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fa7a58d55824184"/>
    <x:sheet xmlns:r="http://schemas.openxmlformats.org/officeDocument/2006/relationships" name="Raw_Sample" sheetId="2" r:id="R62d90b0f12394d02"/>
    <x:sheet xmlns:r="http://schemas.openxmlformats.org/officeDocument/2006/relationships" name="Clean_Master" sheetId="3" r:id="R1c40e2d093644332"/>
    <x:sheet xmlns:r="http://schemas.openxmlformats.org/officeDocument/2006/relationships" name="QA_Review" sheetId="4" r:id="R59cd1f93cd3240ca"/>
    <x:sheet xmlns:r="http://schemas.openxmlformats.org/officeDocument/2006/relationships" name="QA_Issue_Log" sheetId="5" r:id="R64b148dfb9684eee"/>
    <x:sheet xmlns:r="http://schemas.openxmlformats.org/officeDocument/2006/relationships" name="Data_Dictionary" sheetId="6" r:id="R9af22c8c21e241b0"/>
    <x:sheet xmlns:r="http://schemas.openxmlformats.org/officeDocument/2006/relationships" name="Summary" sheetId="7" r:id="R1a0c1c5ccc134577"/>
    <x:sheet xmlns:r="http://schemas.openxmlformats.org/officeDocument/2006/relationships" name="Dashboard" sheetId="8" r:id="R93a106c8721b4643"/>
    <x:sheet xmlns:r="http://schemas.openxmlformats.org/officeDocument/2006/relationships" name="Lookup_Lists" sheetId="9" r:id="Rdfc00057afbf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C5E"/>
      </x:patternFill>
    </x:fill>
    <x:fill>
      <x:patternFill patternType="solid">
        <x:fgColor rgb="FFE8F3F3"/>
      </x:patternFill>
    </x:fill>
    <x:fill>
      <x:patternFill patternType="solid">
        <x:fgColor rgb="FFF7FAFA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2" fontId="5" fillId="4" borderId="0" xfId="0" applyNumberFormat="1" applyFont="1" applyFill="1" applyBorder="1" applyAlignment="1">
      <x:alignment horizontal="center"/>
    </x:xf>
    <x:xf numFmtId="202" fontId="5" fillId="4" borderId="1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/>
    </x:xf>
    <x:xf numFmtId="201" fontId="5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4CC"/>
        </x:patternFill>
      </x:fill>
    </x:dxf>
    <x:dxf>
      <x:fill>
        <x:patternFill patternType="solid">
          <x:bgColor rgb="FFE5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ed8a28b414da7" /><Relationship Type="http://schemas.openxmlformats.org/officeDocument/2006/relationships/theme" Target="/xl/theme/theme1.xml" Id="R1cc1430d8c504f93" /><Relationship Type="http://schemas.openxmlformats.org/officeDocument/2006/relationships/sharedStrings" Target="/xl/sharedStrings.xml" Id="R9038a2489c0949c7" /><Relationship Type="http://schemas.openxmlformats.org/officeDocument/2006/relationships/worksheet" Target="/xl/worksheets/sheet1.xml" Id="R3fa7a58d55824184" /><Relationship Type="http://schemas.openxmlformats.org/officeDocument/2006/relationships/worksheet" Target="/xl/worksheets/sheet2.xml" Id="R62d90b0f12394d02" /><Relationship Type="http://schemas.openxmlformats.org/officeDocument/2006/relationships/worksheet" Target="/xl/worksheets/sheet3.xml" Id="R1c40e2d093644332" /><Relationship Type="http://schemas.openxmlformats.org/officeDocument/2006/relationships/worksheet" Target="/xl/worksheets/sheet4.xml" Id="R59cd1f93cd3240ca" /><Relationship Type="http://schemas.openxmlformats.org/officeDocument/2006/relationships/worksheet" Target="/xl/worksheets/sheet5.xml" Id="R64b148dfb9684eee" /><Relationship Type="http://schemas.openxmlformats.org/officeDocument/2006/relationships/worksheet" Target="/xl/worksheets/sheet6.xml" Id="R9af22c8c21e241b0" /><Relationship Type="http://schemas.openxmlformats.org/officeDocument/2006/relationships/worksheet" Target="/xl/worksheets/sheet7.xml" Id="R1a0c1c5ccc134577" /><Relationship Type="http://schemas.openxmlformats.org/officeDocument/2006/relationships/worksheet" Target="/xl/worksheets/sheet8.xml" Id="R93a106c8721b4643" /><Relationship Type="http://schemas.openxmlformats.org/officeDocument/2006/relationships/worksheet" Target="/xl/worksheets/sheet9.xml" Id="Rdfc00057afbf43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6" t="str">
        <x:v>Marine Benthic Habitat Data Management, QA/QC and Spatial Monitoring System</x:v>
      </x:c>
      <x:c r="B1" s="6"/>
      <x:c r="C1" s="6"/>
      <x:c r="D1" s="6"/>
      <x:c r="E1" s="6"/>
      <x:c r="F1" s="6"/>
      <x:c r="G1" s="6"/>
      <x:c r="H1" s="6"/>
    </x:row>
    <x:row r="3">
      <x:c r="A3" s="14" t="str">
        <x:v>Purpose</x:v>
      </x:c>
      <x:c r="B3" s="18" t="str">
        <x:v>Portfolio project demonstrating Excel-based marine data management, QA/QC, master-database preparation, summary analysis, and QGIS-ready outputs.</x:v>
      </x:c>
    </x:row>
    <x:row r="4">
      <x:c r="A4" s="14" t="str">
        <x:v>Dataset</x:v>
      </x:c>
      <x:c r="B4" s="18" t="str">
        <x:v>NOAA NCCOS underwater-video ground-validation and accuracy-assessment records for benthic habitat mapping south of St. Thomas and St. John.</x:v>
      </x:c>
    </x:row>
    <x:row r="5">
      <x:c r="A5" s="14" t="str">
        <x:v>Official source</x:v>
      </x:c>
      <x:c r="B5" s="18" t="str">
        <x:v>https://www.fisheries.noaa.gov/inport/item/50381</x:v>
      </x:c>
    </x:row>
    <x:row r="6">
      <x:c r="A6" s="14" t="str">
        <x:v>Records</x:v>
      </x:c>
      <x:c r="B6" s="18" t="str">
        <x:v>1,353 survey points</x:v>
      </x:c>
    </x:row>
    <x:row r="7">
      <x:c r="A7" s="14" t="str">
        <x:v>Survey period</x:v>
      </x:c>
      <x:c r="B7" s="18" t="str">
        <x:v>2010-03-20 to 2017-02-10</x:v>
      </x:c>
    </x:row>
    <x:row r="8">
      <x:c r="A8" s="14" t="str">
        <x:v>Site types</x:v>
      </x:c>
      <x:c r="B8" s="18" t="str">
        <x:v>1,005 Ground Validation (GV) + 348 Accuracy Assessment (AA)</x:v>
      </x:c>
    </x:row>
    <x:row r="9">
      <x:c r="A9" s="14" t="str">
        <x:v>QA status</x:v>
      </x:c>
      <x:c r="B9" s="18" t="str">
        <x:v>1,347 Pass; 6 Review; 0 Critical</x:v>
      </x:c>
    </x:row>
    <x:row r="10">
      <x:c r="A10" s="14" t="str">
        <x:v>Key finding</x:v>
      </x:c>
      <x:c r="B10" s="18" t="str">
        <x:v>AA2017_149 is intentionally duplicated in the source. Its two projected coordinate pairs appear cross-swapped relative to WGS84 latitude/longitude.</x:v>
      </x:c>
    </x:row>
    <x:row r="11">
      <x:c r="A11" s="14" t="str">
        <x:v>Workbook note</x:v>
      </x:c>
      <x:c r="B11" s="18" t="str">
        <x:v>Raw_Sample shows the first 100 source rows. The complete untouched raw CSV is included separately in 01_Raw_Data.</x:v>
      </x:c>
    </x:row>
    <x:row r="12">
      <x:c r="A12" s="14" t="str">
        <x:v>GIS rule</x:v>
      </x:c>
      <x:c r="B12" s="18" t="str">
        <x:v>Use longitude/latitude as EPSG:4326. The project package includes a GeoJSON ready for QGIS.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34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34" hidden="0" customWidth="1"/>
  </x:cols>
  <x:sheetData>
    <x:row r="1">
      <x:c r="A1" s="23" t="str">
        <x:v>index</x:v>
      </x:c>
      <x:c r="B1" s="23" t="str">
        <x:v>FID</x:v>
      </x:c>
      <x:c r="C1" s="23" t="str">
        <x:v>PROJECT</x:v>
      </x:c>
      <x:c r="D1" s="23" t="str">
        <x:v>GEOGRAPHIC REGION</x:v>
      </x:c>
      <x:c r="E1" s="23" t="str">
        <x:v>SITE TYPE</x:v>
      </x:c>
      <x:c r="F1" s="23" t="str">
        <x:v>ASSESSMENT TYPE</x:v>
      </x:c>
      <x:c r="G1" s="23" t="str">
        <x:v>SITE ID</x:v>
      </x:c>
      <x:c r="H1" s="23" t="str">
        <x:v>DATE COLLECTED</x:v>
      </x:c>
      <x:c r="I1" s="23" t="str">
        <x:v>TIME COLLECTED</x:v>
      </x:c>
      <x:c r="J1" s="23" t="str">
        <x:v>LATITUDE</x:v>
      </x:c>
      <x:c r="K1" s="23" t="str">
        <x:v>LONGITUDE</x:v>
      </x:c>
      <x:c r="L1" s="23" t="str">
        <x:v>NORTHING</x:v>
      </x:c>
      <x:c r="M1" s="23" t="str">
        <x:v>EASTING</x:v>
      </x:c>
      <x:c r="N1" s="23" t="str">
        <x:v>DEPTH</x:v>
      </x:c>
      <x:c r="O1" s="23" t="str">
        <x:v>URL LINK</x:v>
      </x:c>
      <x:c r="P1" s="23" t="str">
        <x:v>CORAL REEF</x:v>
      </x:c>
      <x:c r="Q1" s="23" t="str">
        <x:v>PAVEMENT</x:v>
      </x:c>
      <x:c r="R1" s="23" t="str">
        <x:v>RHODOLITH</x:v>
      </x:c>
      <x:c r="S1" s="23" t="str">
        <x:v>SAND</x:v>
      </x:c>
      <x:c r="T1" s="23" t="str">
        <x:v>HARD CORAL</x:v>
      </x:c>
      <x:c r="U1" s="23" t="str">
        <x:v>SOFT CORAL</x:v>
      </x:c>
      <x:c r="V1" s="23" t="str">
        <x:v>MACROALGAE</x:v>
      </x:c>
      <x:c r="W1" s="23" t="str">
        <x:v>SPONGE</x:v>
      </x:c>
      <x:c r="X1" s="23" t="str">
        <x:v>SEAGRASS</x:v>
      </x:c>
      <x:c r="Y1" s="23" t="str">
        <x:v>ARTIFICIAL</x:v>
      </x:c>
      <x:c r="Z1" s="23" t="str">
        <x:v>UNKNOWN</x:v>
      </x:c>
      <x:c r="AA1" s="23" t="str">
        <x:v>NOTES</x:v>
      </x:c>
    </x:row>
    <x:row r="2">
      <x:c r="A2" t="str">
        <x:v>0</x:v>
      </x:c>
      <x:c r="B2" t="str">
        <x:v>0</x:v>
      </x:c>
      <x:c r="C2" t="str">
        <x:v>Benthic Habitat Maps for the Insular Shelf South of St. Thomas and St. John</x:v>
      </x:c>
      <x:c r="D2" t="str">
        <x:v>Puerto Rico</x:v>
      </x:c>
      <x:c r="E2" t="str">
        <x:v>AA</x:v>
      </x:c>
      <x:c r="F2" t="str">
        <x:v>HD Seaviewer Drop Camera</x:v>
      </x:c>
      <x:c r="G2" t="str">
        <x:v>AA2017_001</x:v>
      </x:c>
      <x:c r="H2" t="str">
        <x:v>1/31/2017</x:v>
      </x:c>
      <x:c r="I2" t="str">
        <x:v>11:18:14</x:v>
      </x:c>
      <x:c r="J2" t="str">
        <x:v>18.14177272</x:v>
      </x:c>
      <x:c r="K2" t="str">
        <x:v>-65.26049206</x:v>
      </x:c>
      <x:c r="L2" t="str">
        <x:v>2054149.483</x:v>
      </x:c>
      <x:c r="M2" t="str">
        <x:v>-7264764.745</x:v>
      </x:c>
      <x:c r="N2" t="str">
        <x:v>-29.56999969</x:v>
      </x:c>
      <x:c r="O2" t="str">
        <x:v>https://nccospublicstor.blob.core.windows.net/biomapper/usviinsularshelf2017/videos/low/AA2017_001.mp4</x:v>
      </x:c>
      <x:c r="P2" t="str">
        <x:v>Absent</x:v>
      </x:c>
      <x:c r="Q2" t="str">
        <x:v>Absent</x:v>
      </x:c>
      <x:c r="R2" t="str">
        <x:v>Present</x:v>
      </x:c>
      <x:c r="S2" t="str">
        <x:v>Absent</x:v>
      </x:c>
      <x:c r="T2" t="str">
        <x:v>Absent</x:v>
      </x:c>
      <x:c r="U2" t="str">
        <x:v>Absent</x:v>
      </x:c>
      <x:c r="V2" t="str">
        <x:v>Present</x:v>
      </x:c>
      <x:c r="W2" t="str">
        <x:v>Present</x:v>
      </x:c>
      <x:c r="X2" t="str">
        <x:v>Absent</x:v>
      </x:c>
      <x:c r="Y2" t="str">
        <x:v>Absent</x:v>
      </x:c>
      <x:c r="Z2" t="str">
        <x:v>Absent</x:v>
      </x:c>
      <x:c r="AA2" t="str">
        <x:v> </x:v>
      </x:c>
    </x:row>
    <x:row r="3">
      <x:c r="A3" t="str">
        <x:v>1</x:v>
      </x:c>
      <x:c r="B3" t="str">
        <x:v>1</x:v>
      </x:c>
      <x:c r="C3" t="str">
        <x:v>Benthic Habitat Maps for the Insular Shelf South of St. Thomas and St. John</x:v>
      </x:c>
      <x:c r="D3" t="str">
        <x:v>Puerto Rico</x:v>
      </x:c>
      <x:c r="E3" t="str">
        <x:v>AA</x:v>
      </x:c>
      <x:c r="F3" t="str">
        <x:v>HD Seaviewer Drop Camera</x:v>
      </x:c>
      <x:c r="G3" t="str">
        <x:v>AA2017_002</x:v>
      </x:c>
      <x:c r="H3" t="str">
        <x:v>1/31/2017</x:v>
      </x:c>
      <x:c r="I3" t="str">
        <x:v>13:27:48</x:v>
      </x:c>
      <x:c r="J3" t="str">
        <x:v>18.17255858</x:v>
      </x:c>
      <x:c r="K3" t="str">
        <x:v>-65.25986648</x:v>
      </x:c>
      <x:c r="L3" t="str">
        <x:v>2057756.142</x:v>
      </x:c>
      <x:c r="M3" t="str">
        <x:v>-7264695.106</x:v>
      </x:c>
      <x:c r="N3" t="str">
        <x:v>-28.85000038</x:v>
      </x:c>
      <x:c r="O3" t="str">
        <x:v>https://nccospublicstor.blob.core.windows.net/biomapper/usviinsularshelf2017/videos/low/AA2017_002.mp4</x:v>
      </x:c>
      <x:c r="P3" t="str">
        <x:v>Absent</x:v>
      </x:c>
      <x:c r="Q3" t="str">
        <x:v>Present</x:v>
      </x:c>
      <x:c r="R3" t="str">
        <x:v>Present</x:v>
      </x:c>
      <x:c r="S3" t="str">
        <x:v>Absent</x:v>
      </x:c>
      <x:c r="T3" t="str">
        <x:v>Present</x:v>
      </x:c>
      <x:c r="U3" t="str">
        <x:v>Absent</x:v>
      </x:c>
      <x:c r="V3" t="str">
        <x:v>Present</x:v>
      </x:c>
      <x:c r="W3" t="str">
        <x:v>Present</x:v>
      </x:c>
      <x:c r="X3" t="str">
        <x:v>Absent</x:v>
      </x:c>
      <x:c r="Y3" t="str">
        <x:v>Absent</x:v>
      </x:c>
      <x:c r="Z3" t="str">
        <x:v>Absent</x:v>
      </x:c>
      <x:c r="AA3" t="str">
        <x:v> </x:v>
      </x:c>
    </x:row>
    <x:row r="4">
      <x:c r="A4" t="str">
        <x:v>2</x:v>
      </x:c>
      <x:c r="B4" t="str">
        <x:v>2</x:v>
      </x:c>
      <x:c r="C4" t="str">
        <x:v>Benthic Habitat Maps for the Insular Shelf South of St. Thomas and St. John</x:v>
      </x:c>
      <x:c r="D4" t="str">
        <x:v>Puerto Rico</x:v>
      </x:c>
      <x:c r="E4" t="str">
        <x:v>AA</x:v>
      </x:c>
      <x:c r="F4" t="str">
        <x:v>HD Seaviewer Drop Camera</x:v>
      </x:c>
      <x:c r="G4" t="str">
        <x:v>AA2017_003</x:v>
      </x:c>
      <x:c r="H4" t="str">
        <x:v>1/31/2017</x:v>
      </x:c>
      <x:c r="I4" t="str">
        <x:v>13:18:48</x:v>
      </x:c>
      <x:c r="J4" t="str">
        <x:v>18.16452229</x:v>
      </x:c>
      <x:c r="K4" t="str">
        <x:v>-65.25818119</x:v>
      </x:c>
      <x:c r="L4" t="str">
        <x:v>2056814.605</x:v>
      </x:c>
      <x:c r="M4" t="str">
        <x:v>-7264507.5</x:v>
      </x:c>
      <x:c r="N4" t="str">
        <x:v>-29.07999992</x:v>
      </x:c>
      <x:c r="O4" t="str">
        <x:v>https://nccospublicstor.blob.core.windows.net/biomapper/usviinsularshelf2017/videos/low/AA2017_003.mp4</x:v>
      </x:c>
      <x:c r="P4" t="str">
        <x:v>Absent</x:v>
      </x:c>
      <x:c r="Q4" t="str">
        <x:v>Present</x:v>
      </x:c>
      <x:c r="R4" t="str">
        <x:v>Present</x:v>
      </x:c>
      <x:c r="S4" t="str">
        <x:v>Absent</x:v>
      </x:c>
      <x:c r="T4" t="str">
        <x:v>Absent</x:v>
      </x:c>
      <x:c r="U4" t="str">
        <x:v>Absent</x:v>
      </x:c>
      <x:c r="V4" t="str">
        <x:v>Absent</x:v>
      </x:c>
      <x:c r="W4" t="str">
        <x:v>Present</x:v>
      </x:c>
      <x:c r="X4" t="str">
        <x:v>Absent</x:v>
      </x:c>
      <x:c r="Y4" t="str">
        <x:v>Absent</x:v>
      </x:c>
      <x:c r="Z4" t="str">
        <x:v>Absent</x:v>
      </x:c>
      <x:c r="AA4" t="str">
        <x:v> </x:v>
      </x:c>
    </x:row>
    <x:row r="5">
      <x:c r="A5" t="str">
        <x:v>3</x:v>
      </x:c>
      <x:c r="B5" t="str">
        <x:v>3</x:v>
      </x:c>
      <x:c r="C5" t="str">
        <x:v>Benthic Habitat Maps for the Insular Shelf South of St. Thomas and St. John</x:v>
      </x:c>
      <x:c r="D5" t="str">
        <x:v>Puerto Rico</x:v>
      </x:c>
      <x:c r="E5" t="str">
        <x:v>AA</x:v>
      </x:c>
      <x:c r="F5" t="str">
        <x:v>HD Seaviewer Drop Camera</x:v>
      </x:c>
      <x:c r="G5" t="str">
        <x:v>AA2017_004</x:v>
      </x:c>
      <x:c r="H5" t="str">
        <x:v>1/31/2017</x:v>
      </x:c>
      <x:c r="I5" t="str">
        <x:v>11:54:57</x:v>
      </x:c>
      <x:c r="J5" t="str">
        <x:v>18.15550778</x:v>
      </x:c>
      <x:c r="K5" t="str">
        <x:v>-65.25778421</x:v>
      </x:c>
      <x:c r="L5" t="str">
        <x:v>2055758.51</x:v>
      </x:c>
      <x:c r="M5" t="str">
        <x:v>-7264463.309</x:v>
      </x:c>
      <x:c r="N5" t="str">
        <x:v>-28.07749939</x:v>
      </x:c>
      <x:c r="O5" t="str">
        <x:v>https://nccospublicstor.blob.core.windows.net/biomapper/usviinsularshelf2017/videos/low/AA2017_004.mp4</x:v>
      </x:c>
      <x:c r="P5" t="str">
        <x:v>Absent</x:v>
      </x:c>
      <x:c r="Q5" t="str">
        <x:v>Present</x:v>
      </x:c>
      <x:c r="R5" t="str">
        <x:v>Absent</x:v>
      </x:c>
      <x:c r="S5" t="str">
        <x:v>Absent</x:v>
      </x:c>
      <x:c r="T5" t="str">
        <x:v>Present</x:v>
      </x:c>
      <x:c r="U5" t="str">
        <x:v>Absent</x:v>
      </x:c>
      <x:c r="V5" t="str">
        <x:v>Absent</x:v>
      </x:c>
      <x:c r="W5" t="str">
        <x:v>Present</x:v>
      </x:c>
      <x:c r="X5" t="str">
        <x:v>Absent</x:v>
      </x:c>
      <x:c r="Y5" t="str">
        <x:v>Absent</x:v>
      </x:c>
      <x:c r="Z5" t="str">
        <x:v>Absent</x:v>
      </x:c>
      <x:c r="AA5" t="str">
        <x:v>Video blank for most of video captures 40, 41, and 42</x:v>
      </x:c>
    </x:row>
    <x:row r="6">
      <x:c r="A6" t="str">
        <x:v>4</x:v>
      </x:c>
      <x:c r="B6" t="str">
        <x:v>4</x:v>
      </x:c>
      <x:c r="C6" t="str">
        <x:v>Benthic Habitat Maps for the Insular Shelf South of St. Thomas and St. John</x:v>
      </x:c>
      <x:c r="D6" t="str">
        <x:v>Puerto Rico</x:v>
      </x:c>
      <x:c r="E6" t="str">
        <x:v>AA</x:v>
      </x:c>
      <x:c r="F6" t="str">
        <x:v>HD Seaviewer Drop Camera</x:v>
      </x:c>
      <x:c r="G6" t="str">
        <x:v>AA2017_005</x:v>
      </x:c>
      <x:c r="H6" t="str">
        <x:v>1/31/2017</x:v>
      </x:c>
      <x:c r="I6" t="str">
        <x:v>11:11:20</x:v>
      </x:c>
      <x:c r="J6" t="str">
        <x:v>18.14139594</x:v>
      </x:c>
      <x:c r="K6" t="str">
        <x:v>-65.2525359</x:v>
      </x:c>
      <x:c r="L6" t="str">
        <x:v>2054105.346</x:v>
      </x:c>
      <x:c r="M6" t="str">
        <x:v>-7263879.069</x:v>
      </x:c>
      <x:c r="N6" t="str">
        <x:v>-32.72000122</x:v>
      </x:c>
      <x:c r="O6" t="str">
        <x:v>https://nccospublicstor.blob.core.windows.net/biomapper/usviinsularshelf2017/videos/low/AA2017_005.mp4</x:v>
      </x:c>
      <x:c r="P6" t="str">
        <x:v>Absent</x:v>
      </x:c>
      <x:c r="Q6" t="str">
        <x:v>Absent</x:v>
      </x:c>
      <x:c r="R6" t="str">
        <x:v>Present</x:v>
      </x:c>
      <x:c r="S6" t="str">
        <x:v>Absent</x:v>
      </x:c>
      <x:c r="T6" t="str">
        <x:v>Absent</x:v>
      </x:c>
      <x:c r="U6" t="str">
        <x:v>Absent</x:v>
      </x:c>
      <x:c r="V6" t="str">
        <x:v>Present</x:v>
      </x:c>
      <x:c r="W6" t="str">
        <x:v>Present</x:v>
      </x:c>
      <x:c r="X6" t="str">
        <x:v>Absent</x:v>
      </x:c>
      <x:c r="Y6" t="str">
        <x:v>Absent</x:v>
      </x:c>
      <x:c r="Z6" t="str">
        <x:v>Absent</x:v>
      </x:c>
      <x:c r="AA6" t="str">
        <x:v> </x:v>
      </x:c>
    </x:row>
    <x:row r="7">
      <x:c r="A7" t="str">
        <x:v>5</x:v>
      </x:c>
      <x:c r="B7" t="str">
        <x:v>5</x:v>
      </x:c>
      <x:c r="C7" t="str">
        <x:v>Benthic Habitat Maps for the Insular Shelf South of St. Thomas and St. John</x:v>
      </x:c>
      <x:c r="D7" t="str">
        <x:v>Puerto Rico</x:v>
      </x:c>
      <x:c r="E7" t="str">
        <x:v>AA</x:v>
      </x:c>
      <x:c r="F7" t="str">
        <x:v>HD Seaviewer Drop Camera</x:v>
      </x:c>
      <x:c r="G7" t="str">
        <x:v>AA2017_006</x:v>
      </x:c>
      <x:c r="H7" t="str">
        <x:v>1/31/2017</x:v>
      </x:c>
      <x:c r="I7" t="str">
        <x:v>12:42:08</x:v>
      </x:c>
      <x:c r="J7" t="str">
        <x:v>18.15623382</x:v>
      </x:c>
      <x:c r="K7" t="str">
        <x:v>-65.24683227</x:v>
      </x:c>
      <x:c r="L7" t="str">
        <x:v>2055843.567</x:v>
      </x:c>
      <x:c r="M7" t="str">
        <x:v>-7263244.144</x:v>
      </x:c>
      <x:c r="N7" t="str">
        <x:v>-30.78129959</x:v>
      </x:c>
      <x:c r="O7" t="str">
        <x:v>https://nccospublicstor.blob.core.windows.net/biomapper/usviinsularshelf2017/videos/low/AA2017_006.mp4</x:v>
      </x:c>
      <x:c r="P7" t="str">
        <x:v>Absent</x:v>
      </x:c>
      <x:c r="Q7" t="str">
        <x:v>Present</x:v>
      </x:c>
      <x:c r="R7" t="str">
        <x:v>Present</x:v>
      </x:c>
      <x:c r="S7" t="str">
        <x:v>Absent</x:v>
      </x:c>
      <x:c r="T7" t="str">
        <x:v>Absent</x:v>
      </x:c>
      <x:c r="U7" t="str">
        <x:v>Absent</x:v>
      </x:c>
      <x:c r="V7" t="str">
        <x:v>Present</x:v>
      </x:c>
      <x:c r="W7" t="str">
        <x:v>Absent</x:v>
      </x:c>
      <x:c r="X7" t="str">
        <x:v>Absent</x:v>
      </x:c>
      <x:c r="Y7" t="str">
        <x:v>Absent</x:v>
      </x:c>
      <x:c r="Z7" t="str">
        <x:v>Absent</x:v>
      </x:c>
      <x:c r="AA7" t="str">
        <x:v> </x:v>
      </x:c>
    </x:row>
    <x:row r="8">
      <x:c r="A8" t="str">
        <x:v>6</x:v>
      </x:c>
      <x:c r="B8" t="str">
        <x:v>6</x:v>
      </x:c>
      <x:c r="C8" t="str">
        <x:v>Benthic Habitat Maps for the Insular Shelf South of St. Thomas and St. John</x:v>
      </x:c>
      <x:c r="D8" t="str">
        <x:v>Puerto Rico</x:v>
      </x:c>
      <x:c r="E8" t="str">
        <x:v>AA</x:v>
      </x:c>
      <x:c r="F8" t="str">
        <x:v>HD Seaviewer Drop Camera</x:v>
      </x:c>
      <x:c r="G8" t="str">
        <x:v>AA2017_007</x:v>
      </x:c>
      <x:c r="H8" t="str">
        <x:v>1/31/2017</x:v>
      </x:c>
      <x:c r="I8" t="str">
        <x:v>12:13:49</x:v>
      </x:c>
      <x:c r="J8" t="str">
        <x:v>18.15043189</x:v>
      </x:c>
      <x:c r="K8" t="str">
        <x:v>-65.24499807</x:v>
      </x:c>
      <x:c r="L8" t="str">
        <x:v>2055163.868</x:v>
      </x:c>
      <x:c r="M8" t="str">
        <x:v>-7263039.962</x:v>
      </x:c>
      <x:c r="N8" t="str">
        <x:v>-34.0019989</x:v>
      </x:c>
      <x:c r="O8" t="str">
        <x:v>https://nccospublicstor.blob.core.windows.net/biomapper/usviinsularshelf2017/videos/low/AA2017_007.mp4</x:v>
      </x:c>
      <x:c r="P8" t="str">
        <x:v>Absent</x:v>
      </x:c>
      <x:c r="Q8" t="str">
        <x:v>Absent</x:v>
      </x:c>
      <x:c r="R8" t="str">
        <x:v>Present</x:v>
      </x:c>
      <x:c r="S8" t="str">
        <x:v>Absent</x:v>
      </x:c>
      <x:c r="T8" t="str">
        <x:v>Absent</x:v>
      </x:c>
      <x:c r="U8" t="str">
        <x:v>Absent</x:v>
      </x:c>
      <x:c r="V8" t="str">
        <x:v>Present</x:v>
      </x:c>
      <x:c r="W8" t="str">
        <x:v>Present</x:v>
      </x:c>
      <x:c r="X8" t="str">
        <x:v>Absent</x:v>
      </x:c>
      <x:c r="Y8" t="str">
        <x:v>Absent</x:v>
      </x:c>
      <x:c r="Z8" t="str">
        <x:v>Absent</x:v>
      </x:c>
      <x:c r="AA8" t="str">
        <x:v> </x:v>
      </x:c>
    </x:row>
    <x:row r="9">
      <x:c r="A9" t="str">
        <x:v>7</x:v>
      </x:c>
      <x:c r="B9" t="str">
        <x:v>7</x:v>
      </x:c>
      <x:c r="C9" t="str">
        <x:v>Benthic Habitat Maps for the Insular Shelf South of St. Thomas and St. John</x:v>
      </x:c>
      <x:c r="D9" t="str">
        <x:v>Puerto Rico</x:v>
      </x:c>
      <x:c r="E9" t="str">
        <x:v>AA</x:v>
      </x:c>
      <x:c r="F9" t="str">
        <x:v>HD Seaviewer Drop Camera</x:v>
      </x:c>
      <x:c r="G9" t="str">
        <x:v>AA2017_008</x:v>
      </x:c>
      <x:c r="H9" t="str">
        <x:v>1/31/2017</x:v>
      </x:c>
      <x:c r="I9" t="str">
        <x:v>10:18:56</x:v>
      </x:c>
      <x:c r="J9" t="str">
        <x:v>18.12015293</x:v>
      </x:c>
      <x:c r="K9" t="str">
        <x:v>-65.23386329</x:v>
      </x:c>
      <x:c r="L9" t="str">
        <x:v>2051617.038</x:v>
      </x:c>
      <x:c r="M9" t="str">
        <x:v>-7261800.444</x:v>
      </x:c>
      <x:c r="N9" t="str">
        <x:v>-74.24720001</x:v>
      </x:c>
      <x:c r="O9" t="str">
        <x:v>https://nccospublicstor.blob.core.windows.net/biomapper/usviinsularshelf2017/videos/low/AA2017_008.mp4</x:v>
      </x:c>
      <x:c r="P9" t="str">
        <x:v>Absent</x:v>
      </x:c>
      <x:c r="Q9" t="str">
        <x:v>Present</x:v>
      </x:c>
      <x:c r="R9" t="str">
        <x:v>Present</x:v>
      </x:c>
      <x:c r="S9" t="str">
        <x:v>Absent</x:v>
      </x:c>
      <x:c r="T9" t="str">
        <x:v>Present</x:v>
      </x:c>
      <x:c r="U9" t="str">
        <x:v>Absent</x:v>
      </x:c>
      <x:c r="V9" t="str">
        <x:v>Present</x:v>
      </x:c>
      <x:c r="W9" t="str">
        <x:v>Present</x:v>
      </x:c>
      <x:c r="X9" t="str">
        <x:v>Absent</x:v>
      </x:c>
      <x:c r="Y9" t="str">
        <x:v>Absent</x:v>
      </x:c>
      <x:c r="Z9" t="str">
        <x:v>Absent</x:v>
      </x:c>
      <x:c r="AA9" t="str">
        <x:v>Camera didn't reach the seafloor in the first video take; On boundary between pavement and rhodoliths.</x:v>
      </x:c>
    </x:row>
    <x:row r="10">
      <x:c r="A10" t="str">
        <x:v>8</x:v>
      </x:c>
      <x:c r="B10" t="str">
        <x:v>8</x:v>
      </x:c>
      <x:c r="C10" t="str">
        <x:v>Benthic Habitat Maps for the Insular Shelf South of St. Thomas and St. John</x:v>
      </x:c>
      <x:c r="D10" t="str">
        <x:v>Puerto Rico</x:v>
      </x:c>
      <x:c r="E10" t="str">
        <x:v>AA</x:v>
      </x:c>
      <x:c r="F10" t="str">
        <x:v>HD Seaviewer Drop Camera</x:v>
      </x:c>
      <x:c r="G10" t="str">
        <x:v>AA2017_009</x:v>
      </x:c>
      <x:c r="H10" t="str">
        <x:v>1/31/2017</x:v>
      </x:c>
      <x:c r="I10" t="str">
        <x:v>10:29:02</x:v>
      </x:c>
      <x:c r="J10" t="str">
        <x:v>18.12756251</x:v>
      </x:c>
      <x:c r="K10" t="str">
        <x:v>-65.23479692</x:v>
      </x:c>
      <x:c r="L10" t="str">
        <x:v>2052484.927</x:v>
      </x:c>
      <x:c r="M10" t="str">
        <x:v>-7261904.375</x:v>
      </x:c>
      <x:c r="N10" t="str">
        <x:v>-42.85800171</x:v>
      </x:c>
      <x:c r="O10" t="str">
        <x:v>https://nccospublicstor.blob.core.windows.net/biomapper/usviinsularshelf2017/videos/low/AA2017_009.mp4</x:v>
      </x:c>
      <x:c r="P10" t="str">
        <x:v>Absent</x:v>
      </x:c>
      <x:c r="Q10" t="str">
        <x:v>Absent</x:v>
      </x:c>
      <x:c r="R10" t="str">
        <x:v>Present</x:v>
      </x:c>
      <x:c r="S10" t="str">
        <x:v>Absent</x:v>
      </x:c>
      <x:c r="T10" t="str">
        <x:v>Absent</x:v>
      </x:c>
      <x:c r="U10" t="str">
        <x:v>Absent</x:v>
      </x:c>
      <x:c r="V10" t="str">
        <x:v>Present</x:v>
      </x:c>
      <x:c r="W10" t="str">
        <x:v>Absent</x:v>
      </x:c>
      <x:c r="X10" t="str">
        <x:v>Absent</x:v>
      </x:c>
      <x:c r="Y10" t="str">
        <x:v>Absent</x:v>
      </x:c>
      <x:c r="Z10" t="str">
        <x:v>Absent</x:v>
      </x:c>
      <x:c r="AA10" t="str">
        <x:v> </x:v>
      </x:c>
    </x:row>
    <x:row r="11">
      <x:c r="A11" t="str">
        <x:v>9</x:v>
      </x:c>
      <x:c r="B11" t="str">
        <x:v>9</x:v>
      </x:c>
      <x:c r="C11" t="str">
        <x:v>Benthic Habitat Maps for the Insular Shelf South of St. Thomas and St. John</x:v>
      </x:c>
      <x:c r="D11" t="str">
        <x:v>Puerto Rico</x:v>
      </x:c>
      <x:c r="E11" t="str">
        <x:v>AA</x:v>
      </x:c>
      <x:c r="F11" t="str">
        <x:v>HD Seaviewer Drop Camera</x:v>
      </x:c>
      <x:c r="G11" t="str">
        <x:v>AA2017_010</x:v>
      </x:c>
      <x:c r="H11" t="str">
        <x:v>1/31/2017</x:v>
      </x:c>
      <x:c r="I11" t="str">
        <x:v>13:08:01</x:v>
      </x:c>
      <x:c r="J11" t="str">
        <x:v>18.16118431</x:v>
      </x:c>
      <x:c r="K11" t="str">
        <x:v>-65.23693544</x:v>
      </x:c>
      <x:c r="L11" t="str">
        <x:v>2056423.537</x:v>
      </x:c>
      <x:c r="M11" t="str">
        <x:v>-7262142.434</x:v>
      </x:c>
      <x:c r="N11" t="str">
        <x:v>-36.0807991</x:v>
      </x:c>
      <x:c r="O11" t="str">
        <x:v>https://nccospublicstor.blob.core.windows.net/biomapper/usviinsularshelf2017/videos/low/AA2017_010.mp4</x:v>
      </x:c>
      <x:c r="P11" t="str">
        <x:v>Absent</x:v>
      </x:c>
      <x:c r="Q11" t="str">
        <x:v>Absent</x:v>
      </x:c>
      <x:c r="R11" t="str">
        <x:v>Present</x:v>
      </x:c>
      <x:c r="S11" t="str">
        <x:v>Present</x:v>
      </x:c>
      <x:c r="T11" t="str">
        <x:v>Absent</x:v>
      </x:c>
      <x:c r="U11" t="str">
        <x:v>Absent</x:v>
      </x:c>
      <x:c r="V11" t="str">
        <x:v>Absent</x:v>
      </x:c>
      <x:c r="W11" t="str">
        <x:v>Absent</x:v>
      </x:c>
      <x:c r="X11" t="str">
        <x:v>Absent</x:v>
      </x:c>
      <x:c r="Y11" t="str">
        <x:v>Absent</x:v>
      </x:c>
      <x:c r="Z11" t="str">
        <x:v>Absent</x:v>
      </x:c>
      <x:c r="AA11" t="str">
        <x:v> </x:v>
      </x:c>
    </x:row>
    <x:row r="12">
      <x:c r="A12" t="str">
        <x:v>10</x:v>
      </x:c>
      <x:c r="B12" t="str">
        <x:v>10</x:v>
      </x:c>
      <x:c r="C12" t="str">
        <x:v>Benthic Habitat Maps for the Insular Shelf South of St. Thomas and St. John</x:v>
      </x:c>
      <x:c r="D12" t="str">
        <x:v>Puerto Rico</x:v>
      </x:c>
      <x:c r="E12" t="str">
        <x:v>AA</x:v>
      </x:c>
      <x:c r="F12" t="str">
        <x:v>HD Seaviewer Drop Camera</x:v>
      </x:c>
      <x:c r="G12" t="str">
        <x:v>AA2017_011</x:v>
      </x:c>
      <x:c r="H12" t="str">
        <x:v>1/31/2017</x:v>
      </x:c>
      <x:c r="I12" t="str">
        <x:v>9:50:12</x:v>
      </x:c>
      <x:c r="J12" t="str">
        <x:v>18.1228048</x:v>
      </x:c>
      <x:c r="K12" t="str">
        <x:v>-65.21644426</x:v>
      </x:c>
      <x:c r="L12" t="str">
        <x:v>2051927.649</x:v>
      </x:c>
      <x:c r="M12" t="str">
        <x:v>-7259861.366</x:v>
      </x:c>
      <x:c r="N12" t="str">
        <x:v>-39.85520172</x:v>
      </x:c>
      <x:c r="O12" t="str">
        <x:v>https://nccospublicstor.blob.core.windows.net/biomapper/usviinsularshelf2017/videos/low/AA2017_011.mp4</x:v>
      </x:c>
      <x:c r="P12" t="str">
        <x:v>Absent</x:v>
      </x:c>
      <x:c r="Q12" t="str">
        <x:v>Absent</x:v>
      </x:c>
      <x:c r="R12" t="str">
        <x:v>Present</x:v>
      </x:c>
      <x:c r="S12" t="str">
        <x:v>Absent</x:v>
      </x:c>
      <x:c r="T12" t="str">
        <x:v>Absent</x:v>
      </x:c>
      <x:c r="U12" t="str">
        <x:v>Absent</x:v>
      </x:c>
      <x:c r="V12" t="str">
        <x:v>Present</x:v>
      </x:c>
      <x:c r="W12" t="str">
        <x:v>Absent</x:v>
      </x:c>
      <x:c r="X12" t="str">
        <x:v>Absent</x:v>
      </x:c>
      <x:c r="Y12" t="str">
        <x:v>Absent</x:v>
      </x:c>
      <x:c r="Z12" t="str">
        <x:v>Absent</x:v>
      </x:c>
      <x:c r="AA12" t="str">
        <x:v> </x:v>
      </x:c>
    </x:row>
    <x:row r="13">
      <x:c r="A13" t="str">
        <x:v>11</x:v>
      </x:c>
      <x:c r="B13" t="str">
        <x:v>11</x:v>
      </x:c>
      <x:c r="C13" t="str">
        <x:v>Benthic Habitat Maps for the Insular Shelf South of St. Thomas and St. John</x:v>
      </x:c>
      <x:c r="D13" t="str">
        <x:v>Puerto Rico</x:v>
      </x:c>
      <x:c r="E13" t="str">
        <x:v>AA</x:v>
      </x:c>
      <x:c r="F13" t="str">
        <x:v>HD Seaviewer Drop Camera</x:v>
      </x:c>
      <x:c r="G13" t="str">
        <x:v>AA2017_012</x:v>
      </x:c>
      <x:c r="H13" t="str">
        <x:v>1/31/2017</x:v>
      </x:c>
      <x:c r="I13" t="str">
        <x:v>10:57:55</x:v>
      </x:c>
      <x:c r="J13" t="str">
        <x:v>18.13932323</x:v>
      </x:c>
      <x:c r="K13" t="str">
        <x:v>-65.22984757</x:v>
      </x:c>
      <x:c r="L13" t="str">
        <x:v>2053862.545</x:v>
      </x:c>
      <x:c r="M13" t="str">
        <x:v>-7261353.416</x:v>
      </x:c>
      <x:c r="N13" t="str">
        <x:v>-37.57089996</x:v>
      </x:c>
      <x:c r="O13" t="str">
        <x:v>https://nccospublicstor.blob.core.windows.net/biomapper/usviinsularshelf2017/videos/low/AA2017_012.mp4</x:v>
      </x:c>
      <x:c r="P13" t="str">
        <x:v>Absent</x:v>
      </x:c>
      <x:c r="Q13" t="str">
        <x:v>Absent</x:v>
      </x:c>
      <x:c r="R13" t="str">
        <x:v>Present</x:v>
      </x:c>
      <x:c r="S13" t="str">
        <x:v>Absent</x:v>
      </x:c>
      <x:c r="T13" t="str">
        <x:v>Absent</x:v>
      </x:c>
      <x:c r="U13" t="str">
        <x:v>Absent</x:v>
      </x:c>
      <x:c r="V13" t="str">
        <x:v>Present</x:v>
      </x:c>
      <x:c r="W13" t="str">
        <x:v>Present</x:v>
      </x:c>
      <x:c r="X13" t="str">
        <x:v>Absent</x:v>
      </x:c>
      <x:c r="Y13" t="str">
        <x:v>Absent</x:v>
      </x:c>
      <x:c r="Z13" t="str">
        <x:v>Absent</x:v>
      </x:c>
      <x:c r="AA13" t="str">
        <x:v> </x:v>
      </x:c>
    </x:row>
    <x:row r="14">
      <x:c r="A14" t="str">
        <x:v>12</x:v>
      </x:c>
      <x:c r="B14" t="str">
        <x:v>12</x:v>
      </x:c>
      <x:c r="C14" t="str">
        <x:v>Benthic Habitat Maps for the Insular Shelf South of St. Thomas and St. John</x:v>
      </x:c>
      <x:c r="D14" t="str">
        <x:v>Puerto Rico</x:v>
      </x:c>
      <x:c r="E14" t="str">
        <x:v>AA</x:v>
      </x:c>
      <x:c r="F14" t="str">
        <x:v>HD Seaviewer Drop Camera</x:v>
      </x:c>
      <x:c r="G14" t="str">
        <x:v>AA2017_013</x:v>
      </x:c>
      <x:c r="H14" t="str">
        <x:v>1/31/2017</x:v>
      </x:c>
      <x:c r="I14" t="str">
        <x:v>13:46:44</x:v>
      </x:c>
      <x:c r="J14" t="str">
        <x:v>18.17067079</x:v>
      </x:c>
      <x:c r="K14" t="str">
        <x:v>-65.22774152</x:v>
      </x:c>
      <x:c r="L14" t="str">
        <x:v>2057534.963</x:v>
      </x:c>
      <x:c r="M14" t="str">
        <x:v>-7261118.972</x:v>
      </x:c>
      <x:c r="N14" t="str">
        <x:v>-34.27330017</x:v>
      </x:c>
      <x:c r="O14" t="str">
        <x:v>https://nccospublicstor.blob.core.windows.net/biomapper/usviinsularshelf2017/videos/low/AA2017_013.mp4</x:v>
      </x:c>
      <x:c r="P14" t="str">
        <x:v>Present</x:v>
      </x:c>
      <x:c r="Q14" t="str">
        <x:v>Absent</x:v>
      </x:c>
      <x:c r="R14" t="str">
        <x:v>Absent</x:v>
      </x:c>
      <x:c r="S14" t="str">
        <x:v>Present</x:v>
      </x:c>
      <x:c r="T14" t="str">
        <x:v>Present</x:v>
      </x:c>
      <x:c r="U14" t="str">
        <x:v>Absent</x:v>
      </x:c>
      <x:c r="V14" t="str">
        <x:v>Absent</x:v>
      </x:c>
      <x:c r="W14" t="str">
        <x:v>Absent</x:v>
      </x:c>
      <x:c r="X14" t="str">
        <x:v>Absent</x:v>
      </x:c>
      <x:c r="Y14" t="str">
        <x:v>Absent</x:v>
      </x:c>
      <x:c r="Z14" t="str">
        <x:v>Absent</x:v>
      </x:c>
      <x:c r="AA14" t="str">
        <x:v>Camera on edge of agg reef/sand in spur and groove habitat</x:v>
      </x:c>
    </x:row>
    <x:row r="15">
      <x:c r="A15" t="str">
        <x:v>13</x:v>
      </x:c>
      <x:c r="B15" t="str">
        <x:v>13</x:v>
      </x:c>
      <x:c r="C15" t="str">
        <x:v>Benthic Habitat Maps for the Insular Shelf South of St. Thomas and St. John</x:v>
      </x:c>
      <x:c r="D15" t="str">
        <x:v>Puerto Rico</x:v>
      </x:c>
      <x:c r="E15" t="str">
        <x:v>AA</x:v>
      </x:c>
      <x:c r="F15" t="str">
        <x:v>HD Seaviewer Drop Camera</x:v>
      </x:c>
      <x:c r="G15" t="str">
        <x:v>AA2017_014</x:v>
      </x:c>
      <x:c r="H15" t="str">
        <x:v>1/31/2017</x:v>
      </x:c>
      <x:c r="I15" t="str">
        <x:v>10:40:32</x:v>
      </x:c>
      <x:c r="J15" t="str">
        <x:v>18.13236683</x:v>
      </x:c>
      <x:c r="K15" t="str">
        <x:v>-65.22536209</x:v>
      </x:c>
      <x:c r="L15" t="str">
        <x:v>2053047.681</x:v>
      </x:c>
      <x:c r="M15" t="str">
        <x:v>-7260854.095</x:v>
      </x:c>
      <x:c r="N15" t="str">
        <x:v>-40.8321991</x:v>
      </x:c>
      <x:c r="O15" t="str">
        <x:v>https://nccospublicstor.blob.core.windows.net/biomapper/usviinsularshelf2017/videos/low/AA2017_014.mp4</x:v>
      </x:c>
      <x:c r="P15" t="str">
        <x:v>Absent</x:v>
      </x:c>
      <x:c r="Q15" t="str">
        <x:v>Absent</x:v>
      </x:c>
      <x:c r="R15" t="str">
        <x:v>Present</x:v>
      </x:c>
      <x:c r="S15" t="str">
        <x:v>Absent</x:v>
      </x:c>
      <x:c r="T15" t="str">
        <x:v>Present</x:v>
      </x:c>
      <x:c r="U15" t="str">
        <x:v>Absent</x:v>
      </x:c>
      <x:c r="V15" t="str">
        <x:v>Present</x:v>
      </x:c>
      <x:c r="W15" t="str">
        <x:v>Present</x:v>
      </x:c>
      <x:c r="X15" t="str">
        <x:v>Absent</x:v>
      </x:c>
      <x:c r="Y15" t="str">
        <x:v>Absent</x:v>
      </x:c>
      <x:c r="Z15" t="str">
        <x:v>Absent</x:v>
      </x:c>
      <x:c r="AA15" t="str">
        <x:v> </x:v>
      </x:c>
    </x:row>
    <x:row r="16">
      <x:c r="A16" t="str">
        <x:v>14</x:v>
      </x:c>
      <x:c r="B16" t="str">
        <x:v>14</x:v>
      </x:c>
      <x:c r="C16" t="str">
        <x:v>Benthic Habitat Maps for the Insular Shelf South of St. Thomas and St. John</x:v>
      </x:c>
      <x:c r="D16" t="str">
        <x:v>Puerto Rico</x:v>
      </x:c>
      <x:c r="E16" t="str">
        <x:v>AA</x:v>
      </x:c>
      <x:c r="F16" t="str">
        <x:v>HD Seaviewer Drop Camera</x:v>
      </x:c>
      <x:c r="G16" t="str">
        <x:v>AA2017_015</x:v>
      </x:c>
      <x:c r="H16" t="str">
        <x:v>1/31/2017</x:v>
      </x:c>
      <x:c r="I16" t="str">
        <x:v>13:56:07</x:v>
      </x:c>
      <x:c r="J16" t="str">
        <x:v>18.17465637</x:v>
      </x:c>
      <x:c r="K16" t="str">
        <x:v>-65.22099917</x:v>
      </x:c>
      <x:c r="L16" t="str">
        <x:v>2058001.928</x:v>
      </x:c>
      <x:c r="M16" t="str">
        <x:v>-7260368.417</x:v>
      </x:c>
      <x:c r="N16" t="str">
        <x:v>-34.70589828</x:v>
      </x:c>
      <x:c r="O16" t="str">
        <x:v>https://nccospublicstor.blob.core.windows.net/biomapper/usviinsularshelf2017/videos/low/AA2017_015.mp4</x:v>
      </x:c>
      <x:c r="P16" t="str">
        <x:v>Present</x:v>
      </x:c>
      <x:c r="Q16" t="str">
        <x:v>Absent</x:v>
      </x:c>
      <x:c r="R16" t="str">
        <x:v>Absent</x:v>
      </x:c>
      <x:c r="S16" t="str">
        <x:v>Present</x:v>
      </x:c>
      <x:c r="T16" t="str">
        <x:v>Present</x:v>
      </x:c>
      <x:c r="U16" t="str">
        <x:v>Absent</x:v>
      </x:c>
      <x:c r="V16" t="str">
        <x:v>Absent</x:v>
      </x:c>
      <x:c r="W16" t="str">
        <x:v>Absent</x:v>
      </x:c>
      <x:c r="X16" t="str">
        <x:v>Absent</x:v>
      </x:c>
      <x:c r="Y16" t="str">
        <x:v>Absent</x:v>
      </x:c>
      <x:c r="Z16" t="str">
        <x:v>Absent</x:v>
      </x:c>
      <x:c r="AA16" t="str">
        <x:v>Camera on edge of agg reef/sand in spur and groove habitat</x:v>
      </x:c>
    </x:row>
    <x:row r="17">
      <x:c r="A17" t="str">
        <x:v>15</x:v>
      </x:c>
      <x:c r="B17" t="str">
        <x:v>15</x:v>
      </x:c>
      <x:c r="C17" t="str">
        <x:v>Benthic Habitat Maps for the Insular Shelf South of St. Thomas and St. John</x:v>
      </x:c>
      <x:c r="D17" t="str">
        <x:v>Puerto Rico</x:v>
      </x:c>
      <x:c r="E17" t="str">
        <x:v>AA</x:v>
      </x:c>
      <x:c r="F17" t="str">
        <x:v>HD Seaviewer Drop Camera</x:v>
      </x:c>
      <x:c r="G17" t="str">
        <x:v>AA2017_016</x:v>
      </x:c>
      <x:c r="H17" t="str">
        <x:v>1/31/2017</x:v>
      </x:c>
      <x:c r="I17" t="str">
        <x:v>10:49:21</x:v>
      </x:c>
      <x:c r="J17" t="str">
        <x:v>18.13226984</x:v>
      </x:c>
      <x:c r="K17" t="str">
        <x:v>-65.21710906</x:v>
      </x:c>
      <x:c r="L17" t="str">
        <x:v>2053036.32</x:v>
      </x:c>
      <x:c r="M17" t="str">
        <x:v>-7259935.372</x:v>
      </x:c>
      <x:c r="N17" t="str">
        <x:v>-38.99089813</x:v>
      </x:c>
      <x:c r="O17" t="str">
        <x:v>https://nccospublicstor.blob.core.windows.net/biomapper/usviinsularshelf2017/videos/low/AA2017_016.mp4</x:v>
      </x:c>
      <x:c r="P17" t="str">
        <x:v>Absent</x:v>
      </x:c>
      <x:c r="Q17" t="str">
        <x:v>Absent</x:v>
      </x:c>
      <x:c r="R17" t="str">
        <x:v>Present</x:v>
      </x:c>
      <x:c r="S17" t="str">
        <x:v>Absent</x:v>
      </x:c>
      <x:c r="T17" t="str">
        <x:v>Present</x:v>
      </x:c>
      <x:c r="U17" t="str">
        <x:v>Absent</x:v>
      </x:c>
      <x:c r="V17" t="str">
        <x:v>Present</x:v>
      </x:c>
      <x:c r="W17" t="str">
        <x:v>Present</x:v>
      </x:c>
      <x:c r="X17" t="str">
        <x:v>Absent</x:v>
      </x:c>
      <x:c r="Y17" t="str">
        <x:v>Absent</x:v>
      </x:c>
      <x:c r="Z17" t="str">
        <x:v>Absent</x:v>
      </x:c>
      <x:c r="AA17" t="str">
        <x:v>meandrina meandrites</x:v>
      </x:c>
    </x:row>
    <x:row r="18">
      <x:c r="A18" t="str">
        <x:v>16</x:v>
      </x:c>
      <x:c r="B18" t="str">
        <x:v>16</x:v>
      </x:c>
      <x:c r="C18" t="str">
        <x:v>Benthic Habitat Maps for the Insular Shelf South of St. Thomas and St. John</x:v>
      </x:c>
      <x:c r="D18" t="str">
        <x:v>Puerto Rico</x:v>
      </x:c>
      <x:c r="E18" t="str">
        <x:v>AA</x:v>
      </x:c>
      <x:c r="F18" t="str">
        <x:v>HD Seaviewer Drop Camera</x:v>
      </x:c>
      <x:c r="G18" t="str">
        <x:v>AA2017_017</x:v>
      </x:c>
      <x:c r="H18" t="str">
        <x:v>1/31/2017</x:v>
      </x:c>
      <x:c r="I18" t="str">
        <x:v>14:05:15</x:v>
      </x:c>
      <x:c r="J18" t="str">
        <x:v>18.18085906</x:v>
      </x:c>
      <x:c r="K18" t="str">
        <x:v>-65.21591735</x:v>
      </x:c>
      <x:c r="L18" t="str">
        <x:v>2058728.678</x:v>
      </x:c>
      <x:c r="M18" t="str">
        <x:v>-7259802.711</x:v>
      </x:c>
      <x:c r="N18" t="str">
        <x:v>-33.75960159</x:v>
      </x:c>
      <x:c r="O18" t="str">
        <x:v>https://nccospublicstor.blob.core.windows.net/biomapper/usviinsularshelf2017/videos/low/AA2017_017.mp4</x:v>
      </x:c>
      <x:c r="P18" t="str">
        <x:v>Present</x:v>
      </x:c>
      <x:c r="Q18" t="str">
        <x:v>Absent</x:v>
      </x:c>
      <x:c r="R18" t="str">
        <x:v>Absent</x:v>
      </x:c>
      <x:c r="S18" t="str">
        <x:v>Present</x:v>
      </x:c>
      <x:c r="T18" t="str">
        <x:v>Present</x:v>
      </x:c>
      <x:c r="U18" t="str">
        <x:v>Absent</x:v>
      </x:c>
      <x:c r="V18" t="str">
        <x:v>Present</x:v>
      </x:c>
      <x:c r="W18" t="str">
        <x:v>Present</x:v>
      </x:c>
      <x:c r="X18" t="str">
        <x:v>Absent</x:v>
      </x:c>
      <x:c r="Y18" t="str">
        <x:v>Absent</x:v>
      </x:c>
      <x:c r="Z18" t="str">
        <x:v>Absent</x:v>
      </x:c>
      <x:c r="AA18" t="str">
        <x:v> </x:v>
      </x:c>
    </x:row>
    <x:row r="19">
      <x:c r="A19" t="str">
        <x:v>17</x:v>
      </x:c>
      <x:c r="B19" t="str">
        <x:v>17</x:v>
      </x:c>
      <x:c r="C19" t="str">
        <x:v>Benthic Habitat Maps for the Insular Shelf South of St. Thomas and St. John</x:v>
      </x:c>
      <x:c r="D19" t="str">
        <x:v>Puerto Rico</x:v>
      </x:c>
      <x:c r="E19" t="str">
        <x:v>AA</x:v>
      </x:c>
      <x:c r="F19" t="str">
        <x:v>HD Seaviewer Drop Camera</x:v>
      </x:c>
      <x:c r="G19" t="str">
        <x:v>AA2017_018</x:v>
      </x:c>
      <x:c r="H19" t="str">
        <x:v>1/31/2017</x:v>
      </x:c>
      <x:c r="I19" t="str">
        <x:v>14:53:24</x:v>
      </x:c>
      <x:c r="J19" t="str">
        <x:v>18.19724497</x:v>
      </x:c>
      <x:c r="K19" t="str">
        <x:v>-65.21613909</x:v>
      </x:c>
      <x:c r="L19" t="str">
        <x:v>2060648.689</x:v>
      </x:c>
      <x:c r="M19" t="str">
        <x:v>-7259827.395</x:v>
      </x:c>
      <x:c r="N19" t="str">
        <x:v>-34.93320084</x:v>
      </x:c>
      <x:c r="O19" t="str">
        <x:v>https://nccospublicstor.blob.core.windows.net/biomapper/usviinsularshelf2017/videos/low/AA2017_018.mp4</x:v>
      </x:c>
      <x:c r="P19" t="str">
        <x:v>Present</x:v>
      </x:c>
      <x:c r="Q19" t="str">
        <x:v>Absent</x:v>
      </x:c>
      <x:c r="R19" t="str">
        <x:v>Absent</x:v>
      </x:c>
      <x:c r="S19" t="str">
        <x:v>Present</x:v>
      </x:c>
      <x:c r="T19" t="str">
        <x:v>Present</x:v>
      </x:c>
      <x:c r="U19" t="str">
        <x:v>Absent</x:v>
      </x:c>
      <x:c r="V19" t="str">
        <x:v>Present</x:v>
      </x:c>
      <x:c r="W19" t="str">
        <x:v>Present</x:v>
      </x:c>
      <x:c r="X19" t="str">
        <x:v>Absent</x:v>
      </x:c>
      <x:c r="Y19" t="str">
        <x:v>Absent</x:v>
      </x:c>
      <x:c r="Z19" t="str">
        <x:v>Absent</x:v>
      </x:c>
      <x:c r="AA19" t="str">
        <x:v>Colpophyllia natans</x:v>
      </x:c>
    </x:row>
    <x:row r="20">
      <x:c r="A20" t="str">
        <x:v>18</x:v>
      </x:c>
      <x:c r="B20" t="str">
        <x:v>18</x:v>
      </x:c>
      <x:c r="C20" t="str">
        <x:v>Benthic Habitat Maps for the Insular Shelf South of St. Thomas and St. John</x:v>
      </x:c>
      <x:c r="D20" t="str">
        <x:v>Puerto Rico</x:v>
      </x:c>
      <x:c r="E20" t="str">
        <x:v>AA</x:v>
      </x:c>
      <x:c r="F20" t="str">
        <x:v>HD Seaviewer Drop Camera</x:v>
      </x:c>
      <x:c r="G20" t="str">
        <x:v>AA2017_019</x:v>
      </x:c>
      <x:c r="H20" t="str">
        <x:v>1/31/2017</x:v>
      </x:c>
      <x:c r="I20" t="str">
        <x:v>14:13:17</x:v>
      </x:c>
      <x:c r="J20" t="str">
        <x:v>18.17374176</x:v>
      </x:c>
      <x:c r="K20" t="str">
        <x:v>-65.21544807</x:v>
      </x:c>
      <x:c r="L20" t="str">
        <x:v>2057894.768</x:v>
      </x:c>
      <x:c r="M20" t="str">
        <x:v>-7259750.471</x:v>
      </x:c>
      <x:c r="N20" t="str">
        <x:v>-41.69889832</x:v>
      </x:c>
      <x:c r="O20" t="str">
        <x:v>https://nccospublicstor.blob.core.windows.net/biomapper/usviinsularshelf2017/videos/low/AA2017_019.mp4</x:v>
      </x:c>
      <x:c r="P20" t="str">
        <x:v>Absent</x:v>
      </x:c>
      <x:c r="Q20" t="str">
        <x:v>Absent</x:v>
      </x:c>
      <x:c r="R20" t="str">
        <x:v>Present</x:v>
      </x:c>
      <x:c r="S20" t="str">
        <x:v>Present</x:v>
      </x:c>
      <x:c r="T20" t="str">
        <x:v>Absent</x:v>
      </x:c>
      <x:c r="U20" t="str">
        <x:v>Absent</x:v>
      </x:c>
      <x:c r="V20" t="str">
        <x:v>Absent</x:v>
      </x:c>
      <x:c r="W20" t="str">
        <x:v>Present</x:v>
      </x:c>
      <x:c r="X20" t="str">
        <x:v>Absent</x:v>
      </x:c>
      <x:c r="Y20" t="str">
        <x:v>Absent</x:v>
      </x:c>
      <x:c r="Z20" t="str">
        <x:v>Absent</x:v>
      </x:c>
      <x:c r="AA20" t="str">
        <x:v> </x:v>
      </x:c>
    </x:row>
    <x:row r="21">
      <x:c r="A21" t="str">
        <x:v>19</x:v>
      </x:c>
      <x:c r="B21" t="str">
        <x:v>19</x:v>
      </x:c>
      <x:c r="C21" t="str">
        <x:v>Benthic Habitat Maps for the Insular Shelf South of St. Thomas and St. John</x:v>
      </x:c>
      <x:c r="D21" t="str">
        <x:v>Puerto Rico</x:v>
      </x:c>
      <x:c r="E21" t="str">
        <x:v>AA</x:v>
      </x:c>
      <x:c r="F21" t="str">
        <x:v>HD Seaviewer Drop Camera</x:v>
      </x:c>
      <x:c r="G21" t="str">
        <x:v>AA2017_020</x:v>
      </x:c>
      <x:c r="H21" t="str">
        <x:v>1/31/2017</x:v>
      </x:c>
      <x:c r="I21" t="str">
        <x:v>8:40:41</x:v>
      </x:c>
      <x:c r="J21" t="str">
        <x:v>18.16063288</x:v>
      </x:c>
      <x:c r="K21" t="str">
        <x:v>-65.2100431</x:v>
      </x:c>
      <x:c r="L21" t="str">
        <x:v>2056358.934</x:v>
      </x:c>
      <x:c r="M21" t="str">
        <x:v>-7259148.793</x:v>
      </x:c>
      <x:c r="N21" t="str">
        <x:v>-36.34999847</x:v>
      </x:c>
      <x:c r="O21" t="str">
        <x:v>https://nccospublicstor.blob.core.windows.net/biomapper/usviinsularshelf2017/videos/low/AA2017_020.mp4</x:v>
      </x:c>
      <x:c r="P21" t="str">
        <x:v>Present</x:v>
      </x:c>
      <x:c r="Q21" t="str">
        <x:v>Absent</x:v>
      </x:c>
      <x:c r="R21" t="str">
        <x:v>Absent</x:v>
      </x:c>
      <x:c r="S21" t="str">
        <x:v>Present</x:v>
      </x:c>
      <x:c r="T21" t="str">
        <x:v>Present</x:v>
      </x:c>
      <x:c r="U21" t="str">
        <x:v>Absent</x:v>
      </x:c>
      <x:c r="V21" t="str">
        <x:v>Present</x:v>
      </x:c>
      <x:c r="W21" t="str">
        <x:v>Absent</x:v>
      </x:c>
      <x:c r="X21" t="str">
        <x:v>Absent</x:v>
      </x:c>
      <x:c r="Y21" t="str">
        <x:v>Absent</x:v>
      </x:c>
      <x:c r="Z21" t="str">
        <x:v>Absent</x:v>
      </x:c>
      <x:c r="AA21" t="str">
        <x:v> </x:v>
      </x:c>
    </x:row>
    <x:row r="22">
      <x:c r="A22" t="str">
        <x:v>20</x:v>
      </x:c>
      <x:c r="B22" t="str">
        <x:v>20</x:v>
      </x:c>
      <x:c r="C22" t="str">
        <x:v>Benthic Habitat Maps for the Insular Shelf South of St. Thomas and St. John</x:v>
      </x:c>
      <x:c r="D22" t="str">
        <x:v>Puerto Rico</x:v>
      </x:c>
      <x:c r="E22" t="str">
        <x:v>AA</x:v>
      </x:c>
      <x:c r="F22" t="str">
        <x:v>HD Seaviewer Drop Camera</x:v>
      </x:c>
      <x:c r="G22" t="str">
        <x:v>AA2017_021</x:v>
      </x:c>
      <x:c r="H22" t="str">
        <x:v>1/31/2017</x:v>
      </x:c>
      <x:c r="I22" t="str">
        <x:v>14:20:45</x:v>
      </x:c>
      <x:c r="J22" t="str">
        <x:v>18.16820145</x:v>
      </x:c>
      <x:c r="K22" t="str">
        <x:v>-65.21295281</x:v>
      </x:c>
      <x:c r="L22" t="str">
        <x:v>2057245.652</x:v>
      </x:c>
      <x:c r="M22" t="str">
        <x:v>-7259472.7</x:v>
      </x:c>
      <x:c r="N22" t="str">
        <x:v>-40.24340057</x:v>
      </x:c>
      <x:c r="O22" t="str">
        <x:v>https://nccospublicstor.blob.core.windows.net/biomapper/usviinsularshelf2017/videos/low/AA2017_021.mp4</x:v>
      </x:c>
      <x:c r="P22" t="str">
        <x:v>Present</x:v>
      </x:c>
      <x:c r="Q22" t="str">
        <x:v>Absent</x:v>
      </x:c>
      <x:c r="R22" t="str">
        <x:v>Absent</x:v>
      </x:c>
      <x:c r="S22" t="str">
        <x:v>Present</x:v>
      </x:c>
      <x:c r="T22" t="str">
        <x:v>Present</x:v>
      </x:c>
      <x:c r="U22" t="str">
        <x:v>Absent</x:v>
      </x:c>
      <x:c r="V22" t="str">
        <x:v>Present</x:v>
      </x:c>
      <x:c r="W22" t="str">
        <x:v>Absent</x:v>
      </x:c>
      <x:c r="X22" t="str">
        <x:v>Absent</x:v>
      </x:c>
      <x:c r="Y22" t="str">
        <x:v>Absent</x:v>
      </x:c>
      <x:c r="Z22" t="str">
        <x:v>Absent</x:v>
      </x:c>
      <x:c r="AA22" t="str">
        <x:v> </x:v>
      </x:c>
    </x:row>
    <x:row r="23">
      <x:c r="A23" t="str">
        <x:v>21</x:v>
      </x:c>
      <x:c r="B23" t="str">
        <x:v>21</x:v>
      </x:c>
      <x:c r="C23" t="str">
        <x:v>Benthic Habitat Maps for the Insular Shelf South of St. Thomas and St. John</x:v>
      </x:c>
      <x:c r="D23" t="str">
        <x:v>Puerto Rico</x:v>
      </x:c>
      <x:c r="E23" t="str">
        <x:v>AA</x:v>
      </x:c>
      <x:c r="F23" t="str">
        <x:v>HD Seaviewer Drop Camera</x:v>
      </x:c>
      <x:c r="G23" t="str">
        <x:v>AA2017_022</x:v>
      </x:c>
      <x:c r="H23" t="str">
        <x:v>1/31/2017</x:v>
      </x:c>
      <x:c r="I23" t="str">
        <x:v>8:56:20</x:v>
      </x:c>
      <x:c r="J23" t="str">
        <x:v>18.14665783</x:v>
      </x:c>
      <x:c r="K23" t="str">
        <x:v>-65.21178554</x:v>
      </x:c>
      <x:c r="L23" t="str">
        <x:v>2054721.747</x:v>
      </x:c>
      <x:c r="M23" t="str">
        <x:v>-7259342.76</x:v>
      </x:c>
      <x:c r="N23" t="str">
        <x:v>-40.4618988</x:v>
      </x:c>
      <x:c r="O23" t="str">
        <x:v>https://nccospublicstor.blob.core.windows.net/biomapper/usviinsularshelf2017/videos/low/AA2017_022.mp4</x:v>
      </x:c>
      <x:c r="P23" t="str">
        <x:v>Absent</x:v>
      </x:c>
      <x:c r="Q23" t="str">
        <x:v>Present</x:v>
      </x:c>
      <x:c r="R23" t="str">
        <x:v>Absent</x:v>
      </x:c>
      <x:c r="S23" t="str">
        <x:v>Absent</x:v>
      </x:c>
      <x:c r="T23" t="str">
        <x:v>Present</x:v>
      </x:c>
      <x:c r="U23" t="str">
        <x:v>Present</x:v>
      </x:c>
      <x:c r="V23" t="str">
        <x:v>Present</x:v>
      </x:c>
      <x:c r="W23" t="str">
        <x:v>Absent</x:v>
      </x:c>
      <x:c r="X23" t="str">
        <x:v>Absent</x:v>
      </x:c>
      <x:c r="Y23" t="str">
        <x:v>Absent</x:v>
      </x:c>
      <x:c r="Z23" t="str">
        <x:v>Absent</x:v>
      </x:c>
      <x:c r="AA23" t="str">
        <x:v> </x:v>
      </x:c>
    </x:row>
    <x:row r="24">
      <x:c r="A24" t="str">
        <x:v>22</x:v>
      </x:c>
      <x:c r="B24" t="str">
        <x:v>22</x:v>
      </x:c>
      <x:c r="C24" t="str">
        <x:v>Benthic Habitat Maps for the Insular Shelf South of St. Thomas and St. John</x:v>
      </x:c>
      <x:c r="D24" t="str">
        <x:v>Puerto Rico</x:v>
      </x:c>
      <x:c r="E24" t="str">
        <x:v>AA</x:v>
      </x:c>
      <x:c r="F24" t="str">
        <x:v>HD Seaviewer Drop Camera</x:v>
      </x:c>
      <x:c r="G24" t="str">
        <x:v>AA2017_023</x:v>
      </x:c>
      <x:c r="H24" t="str">
        <x:v>1/31/2017</x:v>
      </x:c>
      <x:c r="I24" t="str">
        <x:v>8:48:34</x:v>
      </x:c>
      <x:c r="J24" t="str">
        <x:v>18.15387659</x:v>
      </x:c>
      <x:c r="K24" t="str">
        <x:v>-65.21408723</x:v>
      </x:c>
      <x:c r="L24" t="str">
        <x:v>2055567.413</x:v>
      </x:c>
      <x:c r="M24" t="str">
        <x:v>-7259598.983</x:v>
      </x:c>
      <x:c r="N24" t="str">
        <x:v>-41.55339813</x:v>
      </x:c>
      <x:c r="O24" t="str">
        <x:v>https://nccospublicstor.blob.core.windows.net/biomapper/usviinsularshelf2017/videos/low/AA2017_023.mp4</x:v>
      </x:c>
      <x:c r="P24" t="str">
        <x:v>Present</x:v>
      </x:c>
      <x:c r="Q24" t="str">
        <x:v>Present</x:v>
      </x:c>
      <x:c r="R24" t="str">
        <x:v>Absent</x:v>
      </x:c>
      <x:c r="S24" t="str">
        <x:v>Present</x:v>
      </x:c>
      <x:c r="T24" t="str">
        <x:v>Present</x:v>
      </x:c>
      <x:c r="U24" t="str">
        <x:v>Absent</x:v>
      </x:c>
      <x:c r="V24" t="str">
        <x:v>Absent</x:v>
      </x:c>
      <x:c r="W24" t="str">
        <x:v>Present</x:v>
      </x:c>
      <x:c r="X24" t="str">
        <x:v>Absent</x:v>
      </x:c>
      <x:c r="Y24" t="str">
        <x:v>Absent</x:v>
      </x:c>
      <x:c r="Z24" t="str">
        <x:v>Absent</x:v>
      </x:c>
      <x:c r="AA24" t="str">
        <x:v> </x:v>
      </x:c>
    </x:row>
    <x:row r="25">
      <x:c r="A25" t="str">
        <x:v>23</x:v>
      </x:c>
      <x:c r="B25" t="str">
        <x:v>23</x:v>
      </x:c>
      <x:c r="C25" t="str">
        <x:v>Benthic Habitat Maps for the Insular Shelf South of St. Thomas and St. John</x:v>
      </x:c>
      <x:c r="D25" t="str">
        <x:v>Puerto Rico</x:v>
      </x:c>
      <x:c r="E25" t="str">
        <x:v>AA</x:v>
      </x:c>
      <x:c r="F25" t="str">
        <x:v>HD Seaviewer Drop Camera</x:v>
      </x:c>
      <x:c r="G25" t="str">
        <x:v>AA2017_024</x:v>
      </x:c>
      <x:c r="H25" t="str">
        <x:v>1/31/2017</x:v>
      </x:c>
      <x:c r="I25" t="str">
        <x:v>14:30:05</x:v>
      </x:c>
      <x:c r="J25" t="str">
        <x:v>18.17321425</x:v>
      </x:c>
      <x:c r="K25" t="str">
        <x:v>-65.2068613</x:v>
      </x:c>
      <x:c r="L25" t="str">
        <x:v>2057832.963</x:v>
      </x:c>
      <x:c r="M25" t="str">
        <x:v>-7258794.596</x:v>
      </x:c>
      <x:c r="N25" t="str">
        <x:v>-41.38579941</x:v>
      </x:c>
      <x:c r="O25" t="str">
        <x:v>https://nccospublicstor.blob.core.windows.net/biomapper/usviinsularshelf2017/videos/low/AA2017_024.mp4</x:v>
      </x:c>
      <x:c r="P25" t="str">
        <x:v>Present</x:v>
      </x:c>
      <x:c r="Q25" t="str">
        <x:v>Absent</x:v>
      </x:c>
      <x:c r="R25" t="str">
        <x:v>Absent</x:v>
      </x:c>
      <x:c r="S25" t="str">
        <x:v>Present</x:v>
      </x:c>
      <x:c r="T25" t="str">
        <x:v>Present</x:v>
      </x:c>
      <x:c r="U25" t="str">
        <x:v>Present</x:v>
      </x:c>
      <x:c r="V25" t="str">
        <x:v>Present</x:v>
      </x:c>
      <x:c r="W25" t="str">
        <x:v>Absent</x:v>
      </x:c>
      <x:c r="X25" t="str">
        <x:v>Absent</x:v>
      </x:c>
      <x:c r="Y25" t="str">
        <x:v>Absent</x:v>
      </x:c>
      <x:c r="Z25" t="str">
        <x:v>Absent</x:v>
      </x:c>
      <x:c r="AA25" t="str">
        <x:v> </x:v>
      </x:c>
    </x:row>
    <x:row r="26">
      <x:c r="A26" t="str">
        <x:v>24</x:v>
      </x:c>
      <x:c r="B26" t="str">
        <x:v>24</x:v>
      </x:c>
      <x:c r="C26" t="str">
        <x:v>Benthic Habitat Maps for the Insular Shelf South of St. Thomas and St. John</x:v>
      </x:c>
      <x:c r="D26" t="str">
        <x:v>Puerto Rico</x:v>
      </x:c>
      <x:c r="E26" t="str">
        <x:v>AA</x:v>
      </x:c>
      <x:c r="F26" t="str">
        <x:v>HD Seaviewer Drop Camera</x:v>
      </x:c>
      <x:c r="G26" t="str">
        <x:v>AA2017_025</x:v>
      </x:c>
      <x:c r="H26" t="str">
        <x:v>1/31/2017</x:v>
      </x:c>
      <x:c r="I26" t="str">
        <x:v>14:46:11</x:v>
      </x:c>
      <x:c r="J26" t="str">
        <x:v>18.18813012</x:v>
      </x:c>
      <x:c r="K26" t="str">
        <x:v>-65.20450272</x:v>
      </x:c>
      <x:c r="L26" t="str">
        <x:v>2059580.638</x:v>
      </x:c>
      <x:c r="M26" t="str">
        <x:v>-7258532.04</x:v>
      </x:c>
      <x:c r="N26" t="str">
        <x:v>-38.60419846</x:v>
      </x:c>
      <x:c r="O26" t="str">
        <x:v>https://nccospublicstor.blob.core.windows.net/biomapper/usviinsularshelf2017/videos/low/AA2017_025.mp4</x:v>
      </x:c>
      <x:c r="P26" t="str">
        <x:v>Present</x:v>
      </x:c>
      <x:c r="Q26" t="str">
        <x:v>Absent</x:v>
      </x:c>
      <x:c r="R26" t="str">
        <x:v>Absent</x:v>
      </x:c>
      <x:c r="S26" t="str">
        <x:v>Absent</x:v>
      </x:c>
      <x:c r="T26" t="str">
        <x:v>Present</x:v>
      </x:c>
      <x:c r="U26" t="str">
        <x:v>Absent</x:v>
      </x:c>
      <x:c r="V26" t="str">
        <x:v>Present</x:v>
      </x:c>
      <x:c r="W26" t="str">
        <x:v>Present</x:v>
      </x:c>
      <x:c r="X26" t="str">
        <x:v>Absent</x:v>
      </x:c>
      <x:c r="Y26" t="str">
        <x:v>Absent</x:v>
      </x:c>
      <x:c r="Z26" t="str">
        <x:v>Absent</x:v>
      </x:c>
      <x:c r="AA26" t="str">
        <x:v> </x:v>
      </x:c>
    </x:row>
    <x:row r="27">
      <x:c r="A27" t="str">
        <x:v>25</x:v>
      </x:c>
      <x:c r="B27" t="str">
        <x:v>25</x:v>
      </x:c>
      <x:c r="C27" t="str">
        <x:v>Benthic Habitat Maps for the Insular Shelf South of St. Thomas and St. John</x:v>
      </x:c>
      <x:c r="D27" t="str">
        <x:v>Puerto Rico</x:v>
      </x:c>
      <x:c r="E27" t="str">
        <x:v>AA</x:v>
      </x:c>
      <x:c r="F27" t="str">
        <x:v>HD Seaviewer Drop Camera</x:v>
      </x:c>
      <x:c r="G27" t="str">
        <x:v>AA2017_026</x:v>
      </x:c>
      <x:c r="H27" t="str">
        <x:v>1/31/2017</x:v>
      </x:c>
      <x:c r="I27" t="str">
        <x:v>8:34:07</x:v>
      </x:c>
      <x:c r="J27" t="str">
        <x:v>18.16114056</x:v>
      </x:c>
      <x:c r="K27" t="str">
        <x:v>-65.20418432</x:v>
      </x:c>
      <x:c r="L27" t="str">
        <x:v>2056418.412</x:v>
      </x:c>
      <x:c r="M27" t="str">
        <x:v>-7258496.596</x:v>
      </x:c>
      <x:c r="N27" t="str">
        <x:v>-38.0163002</x:v>
      </x:c>
      <x:c r="O27" t="str">
        <x:v>https://nccospublicstor.blob.core.windows.net/biomapper/usviinsularshelf2017/videos/low/AA2017_026.mp4</x:v>
      </x:c>
      <x:c r="P27" t="str">
        <x:v>Present</x:v>
      </x:c>
      <x:c r="Q27" t="str">
        <x:v>Absent</x:v>
      </x:c>
      <x:c r="R27" t="str">
        <x:v>Absent</x:v>
      </x:c>
      <x:c r="S27" t="str">
        <x:v>Absent</x:v>
      </x:c>
      <x:c r="T27" t="str">
        <x:v>Present</x:v>
      </x:c>
      <x:c r="U27" t="str">
        <x:v>Absent</x:v>
      </x:c>
      <x:c r="V27" t="str">
        <x:v>Present</x:v>
      </x:c>
      <x:c r="W27" t="str">
        <x:v>Absent</x:v>
      </x:c>
      <x:c r="X27" t="str">
        <x:v>Absent</x:v>
      </x:c>
      <x:c r="Y27" t="str">
        <x:v>Absent</x:v>
      </x:c>
      <x:c r="Z27" t="str">
        <x:v>Absent</x:v>
      </x:c>
      <x:c r="AA27" t="str">
        <x:v>1 lionfish</x:v>
      </x:c>
    </x:row>
    <x:row r="28">
      <x:c r="A28" t="str">
        <x:v>26</x:v>
      </x:c>
      <x:c r="B28" t="str">
        <x:v>26</x:v>
      </x:c>
      <x:c r="C28" t="str">
        <x:v>Benthic Habitat Maps for the Insular Shelf South of St. Thomas and St. John</x:v>
      </x:c>
      <x:c r="D28" t="str">
        <x:v>Puerto Rico</x:v>
      </x:c>
      <x:c r="E28" t="str">
        <x:v>AA</x:v>
      </x:c>
      <x:c r="F28" t="str">
        <x:v>HD Seaviewer Drop Camera</x:v>
      </x:c>
      <x:c r="G28" t="str">
        <x:v>AA2017_027</x:v>
      </x:c>
      <x:c r="H28" t="str">
        <x:v>1/31/2017</x:v>
      </x:c>
      <x:c r="I28" t="str">
        <x:v>9:07:40</x:v>
      </x:c>
      <x:c r="J28" t="str">
        <x:v>18.13804503</x:v>
      </x:c>
      <x:c r="K28" t="str">
        <x:v>-65.20090996</x:v>
      </x:c>
      <x:c r="L28" t="str">
        <x:v>2053712.816</x:v>
      </x:c>
      <x:c r="M28" t="str">
        <x:v>-7258132.096</x:v>
      </x:c>
      <x:c r="N28" t="str">
        <x:v>-36.54000092</x:v>
      </x:c>
      <x:c r="O28" t="str">
        <x:v>https://nccospublicstor.blob.core.windows.net/biomapper/usviinsularshelf2017/videos/low/AA2017_027.mp4</x:v>
      </x:c>
      <x:c r="P28" t="str">
        <x:v>Present</x:v>
      </x:c>
      <x:c r="Q28" t="str">
        <x:v>Absent</x:v>
      </x:c>
      <x:c r="R28" t="str">
        <x:v>Absent</x:v>
      </x:c>
      <x:c r="S28" t="str">
        <x:v>Absent</x:v>
      </x:c>
      <x:c r="T28" t="str">
        <x:v>Present</x:v>
      </x:c>
      <x:c r="U28" t="str">
        <x:v>Absent</x:v>
      </x:c>
      <x:c r="V28" t="str">
        <x:v>Present</x:v>
      </x:c>
      <x:c r="W28" t="str">
        <x:v>Absent</x:v>
      </x:c>
      <x:c r="X28" t="str">
        <x:v>Absent</x:v>
      </x:c>
      <x:c r="Y28" t="str">
        <x:v>Absent</x:v>
      </x:c>
      <x:c r="Z28" t="str">
        <x:v>Absent</x:v>
      </x:c>
      <x:c r="AA28" t="str">
        <x:v>1 lionfish; montasteria cavernosa</x:v>
      </x:c>
    </x:row>
    <x:row r="29">
      <x:c r="A29" t="str">
        <x:v>27</x:v>
      </x:c>
      <x:c r="B29" t="str">
        <x:v>27</x:v>
      </x:c>
      <x:c r="C29" t="str">
        <x:v>Benthic Habitat Maps for the Insular Shelf South of St. Thomas and St. John</x:v>
      </x:c>
      <x:c r="D29" t="str">
        <x:v>Puerto Rico</x:v>
      </x:c>
      <x:c r="E29" t="str">
        <x:v>AA</x:v>
      </x:c>
      <x:c r="F29" t="str">
        <x:v>HD Seaviewer Drop Camera</x:v>
      </x:c>
      <x:c r="G29" t="str">
        <x:v>AA2017_028</x:v>
      </x:c>
      <x:c r="H29" t="str">
        <x:v>1/31/2017</x:v>
      </x:c>
      <x:c r="I29" t="str">
        <x:v>9:42:38</x:v>
      </x:c>
      <x:c r="J29" t="str">
        <x:v>18.12758263</x:v>
      </x:c>
      <x:c r="K29" t="str">
        <x:v>-65.19982359</x:v>
      </x:c>
      <x:c r="L29" t="str">
        <x:v>2052487.284</x:v>
      </x:c>
      <x:c r="M29" t="str">
        <x:v>-7258011.162</x:v>
      </x:c>
      <x:c r="N29" t="str">
        <x:v>-22.78899956</x:v>
      </x:c>
      <x:c r="O29" t="str">
        <x:v>https://nccospublicstor.blob.core.windows.net/biomapper/usviinsularshelf2017/videos/low/AA2017_028.mp4</x:v>
      </x:c>
      <x:c r="P29" t="str">
        <x:v>Absent</x:v>
      </x:c>
      <x:c r="Q29" t="str">
        <x:v>Present</x:v>
      </x:c>
      <x:c r="R29" t="str">
        <x:v>Absent</x:v>
      </x:c>
      <x:c r="S29" t="str">
        <x:v>Absent</x:v>
      </x:c>
      <x:c r="T29" t="str">
        <x:v>Present</x:v>
      </x:c>
      <x:c r="U29" t="str">
        <x:v>Present</x:v>
      </x:c>
      <x:c r="V29" t="str">
        <x:v>Present</x:v>
      </x:c>
      <x:c r="W29" t="str">
        <x:v>Present</x:v>
      </x:c>
      <x:c r="X29" t="str">
        <x:v>Absent</x:v>
      </x:c>
      <x:c r="Y29" t="str">
        <x:v>Absent</x:v>
      </x:c>
      <x:c r="Z29" t="str">
        <x:v>Absent</x:v>
      </x:c>
      <x:c r="AA29" t="str">
        <x:v> </x:v>
      </x:c>
    </x:row>
    <x:row r="30">
      <x:c r="A30" t="str">
        <x:v>28</x:v>
      </x:c>
      <x:c r="B30" t="str">
        <x:v>28</x:v>
      </x:c>
      <x:c r="C30" t="str">
        <x:v>Benthic Habitat Maps for the Insular Shelf South of St. Thomas and St. John</x:v>
      </x:c>
      <x:c r="D30" t="str">
        <x:v>Puerto Rico</x:v>
      </x:c>
      <x:c r="E30" t="str">
        <x:v>AA</x:v>
      </x:c>
      <x:c r="F30" t="str">
        <x:v>HD Seaviewer Drop Camera</x:v>
      </x:c>
      <x:c r="G30" t="str">
        <x:v>AA2017_029</x:v>
      </x:c>
      <x:c r="H30" t="str">
        <x:v>2/2/2017</x:v>
      </x:c>
      <x:c r="I30" t="str">
        <x:v>12:25:38</x:v>
      </x:c>
      <x:c r="J30" t="str">
        <x:v>18.21135747</x:v>
      </x:c>
      <x:c r="K30" t="str">
        <x:v>-65.19971961</x:v>
      </x:c>
      <x:c r="L30" t="str">
        <x:v>2062302.458</x:v>
      </x:c>
      <x:c r="M30" t="str">
        <x:v>-7257999.587</x:v>
      </x:c>
      <x:c r="N30" t="str">
        <x:v>-30.55200005</x:v>
      </x:c>
      <x:c r="O30" t="str">
        <x:v>https://nccospublicstor.blob.core.windows.net/biomapper/usviinsularshelf2017/videos/low/AA2017_029.mp4</x:v>
      </x:c>
      <x:c r="P30" t="str">
        <x:v>Present</x:v>
      </x:c>
      <x:c r="Q30" t="str">
        <x:v>Absent</x:v>
      </x:c>
      <x:c r="R30" t="str">
        <x:v>Absent</x:v>
      </x:c>
      <x:c r="S30" t="str">
        <x:v>Absent</x:v>
      </x:c>
      <x:c r="T30" t="str">
        <x:v>Present</x:v>
      </x:c>
      <x:c r="U30" t="str">
        <x:v>Present</x:v>
      </x:c>
      <x:c r="V30" t="str">
        <x:v>Present</x:v>
      </x:c>
      <x:c r="W30" t="str">
        <x:v>Present</x:v>
      </x:c>
      <x:c r="X30" t="str">
        <x:v>Absent</x:v>
      </x:c>
      <x:c r="Y30" t="str">
        <x:v>Absent</x:v>
      </x:c>
      <x:c r="Z30" t="str">
        <x:v>Absent</x:v>
      </x:c>
      <x:c r="AA30" t="str">
        <x:v> </x:v>
      </x:c>
    </x:row>
    <x:row r="31">
      <x:c r="A31" t="str">
        <x:v>29</x:v>
      </x:c>
      <x:c r="B31" t="str">
        <x:v>29</x:v>
      </x:c>
      <x:c r="C31" t="str">
        <x:v>Benthic Habitat Maps for the Insular Shelf South of St. Thomas and St. John</x:v>
      </x:c>
      <x:c r="D31" t="str">
        <x:v>Puerto Rico</x:v>
      </x:c>
      <x:c r="E31" t="str">
        <x:v>AA</x:v>
      </x:c>
      <x:c r="F31" t="str">
        <x:v>HD Seaviewer Drop Camera</x:v>
      </x:c>
      <x:c r="G31" t="str">
        <x:v>AA2017_030</x:v>
      </x:c>
      <x:c r="H31" t="str">
        <x:v>1/31/2017</x:v>
      </x:c>
      <x:c r="I31" t="str">
        <x:v>14:39:58</x:v>
      </x:c>
      <x:c r="J31" t="str">
        <x:v>18.18254328</x:v>
      </x:c>
      <x:c r="K31" t="str">
        <x:v>-65.19946476</x:v>
      </x:c>
      <x:c r="L31" t="str">
        <x:v>2058926.017</x:v>
      </x:c>
      <x:c r="M31" t="str">
        <x:v>-7257971.217</x:v>
      </x:c>
      <x:c r="N31" t="str">
        <x:v>-37.84370041</x:v>
      </x:c>
      <x:c r="O31" t="str">
        <x:v>https://nccospublicstor.blob.core.windows.net/biomapper/usviinsularshelf2017/videos/low/AA2017_030.mp4</x:v>
      </x:c>
      <x:c r="P31" t="str">
        <x:v>Present</x:v>
      </x:c>
      <x:c r="Q31" t="str">
        <x:v>Absent</x:v>
      </x:c>
      <x:c r="R31" t="str">
        <x:v>Absent</x:v>
      </x:c>
      <x:c r="S31" t="str">
        <x:v>Absent</x:v>
      </x:c>
      <x:c r="T31" t="str">
        <x:v>Present</x:v>
      </x:c>
      <x:c r="U31" t="str">
        <x:v>Absent</x:v>
      </x:c>
      <x:c r="V31" t="str">
        <x:v>Present</x:v>
      </x:c>
      <x:c r="W31" t="str">
        <x:v>Present</x:v>
      </x:c>
      <x:c r="X31" t="str">
        <x:v>Absent</x:v>
      </x:c>
      <x:c r="Y31" t="str">
        <x:v>Absent</x:v>
      </x:c>
      <x:c r="Z31" t="str">
        <x:v>Absent</x:v>
      </x:c>
      <x:c r="AA31" t="str">
        <x:v> </x:v>
      </x:c>
    </x:row>
    <x:row r="32">
      <x:c r="A32" t="str">
        <x:v>30</x:v>
      </x:c>
      <x:c r="B32" t="str">
        <x:v>30</x:v>
      </x:c>
      <x:c r="C32" t="str">
        <x:v>Benthic Habitat Maps for the Insular Shelf South of St. Thomas and St. John</x:v>
      </x:c>
      <x:c r="D32" t="str">
        <x:v>Puerto Rico</x:v>
      </x:c>
      <x:c r="E32" t="str">
        <x:v>AA</x:v>
      </x:c>
      <x:c r="F32" t="str">
        <x:v>HD Seaviewer Drop Camera</x:v>
      </x:c>
      <x:c r="G32" t="str">
        <x:v>AA2017_031</x:v>
      </x:c>
      <x:c r="H32" t="str">
        <x:v>2/1/2017</x:v>
      </x:c>
      <x:c r="I32" t="str">
        <x:v>13:15:16</x:v>
      </x:c>
      <x:c r="J32" t="str">
        <x:v>18.16622558</x:v>
      </x:c>
      <x:c r="K32" t="str">
        <x:v>-65.19681254</x:v>
      </x:c>
      <x:c r="L32" t="str">
        <x:v>2057014.16</x:v>
      </x:c>
      <x:c r="M32" t="str">
        <x:v>-7257675.973</x:v>
      </x:c>
      <x:c r="N32" t="str">
        <x:v>-37.52000046</x:v>
      </x:c>
      <x:c r="O32" t="str">
        <x:v>https://nccospublicstor.blob.core.windows.net/biomapper/usviinsularshelf2017/videos/low/AA2017_031.mp4</x:v>
      </x:c>
      <x:c r="P32" t="str">
        <x:v>Present</x:v>
      </x:c>
      <x:c r="Q32" t="str">
        <x:v>Absent</x:v>
      </x:c>
      <x:c r="R32" t="str">
        <x:v>Absent</x:v>
      </x:c>
      <x:c r="S32" t="str">
        <x:v>Absent</x:v>
      </x:c>
      <x:c r="T32" t="str">
        <x:v>Present</x:v>
      </x:c>
      <x:c r="U32" t="str">
        <x:v>Present</x:v>
      </x:c>
      <x:c r="V32" t="str">
        <x:v>Present</x:v>
      </x:c>
      <x:c r="W32" t="str">
        <x:v>Present</x:v>
      </x:c>
      <x:c r="X32" t="str">
        <x:v>Absent</x:v>
      </x:c>
      <x:c r="Y32" t="str">
        <x:v>Absent</x:v>
      </x:c>
      <x:c r="Z32" t="str">
        <x:v>Absent</x:v>
      </x:c>
      <x:c r="AA32" t="str">
        <x:v>30% live hard coral</x:v>
      </x:c>
    </x:row>
    <x:row r="33">
      <x:c r="A33" t="str">
        <x:v>31</x:v>
      </x:c>
      <x:c r="B33" t="str">
        <x:v>31</x:v>
      </x:c>
      <x:c r="C33" t="str">
        <x:v>Benthic Habitat Maps for the Insular Shelf South of St. Thomas and St. John</x:v>
      </x:c>
      <x:c r="D33" t="str">
        <x:v>Puerto Rico</x:v>
      </x:c>
      <x:c r="E33" t="str">
        <x:v>AA</x:v>
      </x:c>
      <x:c r="F33" t="str">
        <x:v>HD Seaviewer Drop Camera</x:v>
      </x:c>
      <x:c r="G33" t="str">
        <x:v>AA2017_032</x:v>
      </x:c>
      <x:c r="H33" t="str">
        <x:v>2/2/2017</x:v>
      </x:c>
      <x:c r="I33" t="str">
        <x:v>12:15:29</x:v>
      </x:c>
      <x:c r="J33" t="str">
        <x:v>18.2035708</x:v>
      </x:c>
      <x:c r="K33" t="str">
        <x:v>-65.19512509</x:v>
      </x:c>
      <x:c r="L33" t="str">
        <x:v>2061389.963</x:v>
      </x:c>
      <x:c r="M33" t="str">
        <x:v>-7257488.127</x:v>
      </x:c>
      <x:c r="N33" t="str">
        <x:v>-34.31579971</x:v>
      </x:c>
      <x:c r="O33" t="str">
        <x:v>https://nccospublicstor.blob.core.windows.net/biomapper/usviinsularshelf2017/videos/low/AA2017_032.mp4</x:v>
      </x:c>
      <x:c r="P33" t="str">
        <x:v>Present</x:v>
      </x:c>
      <x:c r="Q33" t="str">
        <x:v>Absent</x:v>
      </x:c>
      <x:c r="R33" t="str">
        <x:v>Absent</x:v>
      </x:c>
      <x:c r="S33" t="str">
        <x:v>Absent</x:v>
      </x:c>
      <x:c r="T33" t="str">
        <x:v>Present</x:v>
      </x:c>
      <x:c r="U33" t="str">
        <x:v>Absent</x:v>
      </x:c>
      <x:c r="V33" t="str">
        <x:v>Present</x:v>
      </x:c>
      <x:c r="W33" t="str">
        <x:v>Present</x:v>
      </x:c>
      <x:c r="X33" t="str">
        <x:v>Absent</x:v>
      </x:c>
      <x:c r="Y33" t="str">
        <x:v>Absent</x:v>
      </x:c>
      <x:c r="Z33" t="str">
        <x:v>Absent</x:v>
      </x:c>
      <x:c r="AA33" t="str">
        <x:v> </x:v>
      </x:c>
    </x:row>
    <x:row r="34">
      <x:c r="A34" t="str">
        <x:v>32</x:v>
      </x:c>
      <x:c r="B34" t="str">
        <x:v>32</x:v>
      </x:c>
      <x:c r="C34" t="str">
        <x:v>Benthic Habitat Maps for the Insular Shelf South of St. Thomas and St. John</x:v>
      </x:c>
      <x:c r="D34" t="str">
        <x:v>Puerto Rico</x:v>
      </x:c>
      <x:c r="E34" t="str">
        <x:v>AA</x:v>
      </x:c>
      <x:c r="F34" t="str">
        <x:v>HD Seaviewer Drop Camera</x:v>
      </x:c>
      <x:c r="G34" t="str">
        <x:v>AA2017_033</x:v>
      </x:c>
      <x:c r="H34" t="str">
        <x:v>1/31/2017</x:v>
      </x:c>
      <x:c r="I34" t="str">
        <x:v>9:15:27</x:v>
      </x:c>
      <x:c r="J34" t="str">
        <x:v>18.14304863</x:v>
      </x:c>
      <x:c r="K34" t="str">
        <x:v>-65.19555248</x:v>
      </x:c>
      <x:c r="L34" t="str">
        <x:v>2054298.948</x:v>
      </x:c>
      <x:c r="M34" t="str">
        <x:v>-7257535.704</x:v>
      </x:c>
      <x:c r="N34" t="str">
        <x:v>-37.72380066</x:v>
      </x:c>
      <x:c r="O34" t="str">
        <x:v>https://nccospublicstor.blob.core.windows.net/biomapper/usviinsularshelf2017/videos/low/AA2017_033.mp4</x:v>
      </x:c>
      <x:c r="P34" t="str">
        <x:v>Present</x:v>
      </x:c>
      <x:c r="Q34" t="str">
        <x:v>Absent</x:v>
      </x:c>
      <x:c r="R34" t="str">
        <x:v>Absent</x:v>
      </x:c>
      <x:c r="S34" t="str">
        <x:v>Absent</x:v>
      </x:c>
      <x:c r="T34" t="str">
        <x:v>Present</x:v>
      </x:c>
      <x:c r="U34" t="str">
        <x:v>Absent</x:v>
      </x:c>
      <x:c r="V34" t="str">
        <x:v>Present</x:v>
      </x:c>
      <x:c r="W34" t="str">
        <x:v>Absent</x:v>
      </x:c>
      <x:c r="X34" t="str">
        <x:v>Absent</x:v>
      </x:c>
      <x:c r="Y34" t="str">
        <x:v>Absent</x:v>
      </x:c>
      <x:c r="Z34" t="str">
        <x:v>Absent</x:v>
      </x:c>
      <x:c r="AA34" t="str">
        <x:v>pseudodiploria strigosa</x:v>
      </x:c>
    </x:row>
    <x:row r="35">
      <x:c r="A35" t="str">
        <x:v>33</x:v>
      </x:c>
      <x:c r="B35" t="str">
        <x:v>33</x:v>
      </x:c>
      <x:c r="C35" t="str">
        <x:v>Benthic Habitat Maps for the Insular Shelf South of St. Thomas and St. John</x:v>
      </x:c>
      <x:c r="D35" t="str">
        <x:v>Puerto Rico</x:v>
      </x:c>
      <x:c r="E35" t="str">
        <x:v>AA</x:v>
      </x:c>
      <x:c r="F35" t="str">
        <x:v>HD Seaviewer Drop Camera</x:v>
      </x:c>
      <x:c r="G35" t="str">
        <x:v>AA2017_034</x:v>
      </x:c>
      <x:c r="H35" t="str">
        <x:v>2/1/2017</x:v>
      </x:c>
      <x:c r="I35" t="str">
        <x:v>13:26:38</x:v>
      </x:c>
      <x:c r="J35" t="str">
        <x:v>18.17551078</x:v>
      </x:c>
      <x:c r="K35" t="str">
        <x:v>-65.19412366</x:v>
      </x:c>
      <x:c r="L35" t="str">
        <x:v>2058102.035</x:v>
      </x:c>
      <x:c r="M35" t="str">
        <x:v>-7257376.649</x:v>
      </x:c>
      <x:c r="N35" t="str">
        <x:v>-41.51369858</x:v>
      </x:c>
      <x:c r="O35" t="str">
        <x:v>https://nccospublicstor.blob.core.windows.net/biomapper/usviinsularshelf2017/videos/low/AA2017_034.mp4</x:v>
      </x:c>
      <x:c r="P35" t="str">
        <x:v>Present</x:v>
      </x:c>
      <x:c r="Q35" t="str">
        <x:v>Absent</x:v>
      </x:c>
      <x:c r="R35" t="str">
        <x:v>Absent</x:v>
      </x:c>
      <x:c r="S35" t="str">
        <x:v>Absent</x:v>
      </x:c>
      <x:c r="T35" t="str">
        <x:v>Present</x:v>
      </x:c>
      <x:c r="U35" t="str">
        <x:v>Absent</x:v>
      </x:c>
      <x:c r="V35" t="str">
        <x:v>Present</x:v>
      </x:c>
      <x:c r="W35" t="str">
        <x:v>Present</x:v>
      </x:c>
      <x:c r="X35" t="str">
        <x:v>Absent</x:v>
      </x:c>
      <x:c r="Y35" t="str">
        <x:v>Absent</x:v>
      </x:c>
      <x:c r="Z35" t="str">
        <x:v>Absent</x:v>
      </x:c>
      <x:c r="AA35" t="str">
        <x:v> </x:v>
      </x:c>
    </x:row>
    <x:row r="36">
      <x:c r="A36" t="str">
        <x:v>34</x:v>
      </x:c>
      <x:c r="B36" t="str">
        <x:v>34</x:v>
      </x:c>
      <x:c r="C36" t="str">
        <x:v>Benthic Habitat Maps for the Insular Shelf South of St. Thomas and St. John</x:v>
      </x:c>
      <x:c r="D36" t="str">
        <x:v>Puerto Rico</x:v>
      </x:c>
      <x:c r="E36" t="str">
        <x:v>AA</x:v>
      </x:c>
      <x:c r="F36" t="str">
        <x:v>HD Seaviewer Drop Camera</x:v>
      </x:c>
      <x:c r="G36" t="str">
        <x:v>AA2017_035</x:v>
      </x:c>
      <x:c r="H36" t="str">
        <x:v>2/2/2017</x:v>
      </x:c>
      <x:c r="I36" t="str">
        <x:v>12:07:05</x:v>
      </x:c>
      <x:c r="J36" t="str">
        <x:v>18.20793029</x:v>
      </x:c>
      <x:c r="K36" t="str">
        <x:v>-65.19179996</x:v>
      </x:c>
      <x:c r="L36" t="str">
        <x:v>2061900.833</x:v>
      </x:c>
      <x:c r="M36" t="str">
        <x:v>-7257117.975</x:v>
      </x:c>
      <x:c r="N36" t="str">
        <x:v>-30.81839943</x:v>
      </x:c>
      <x:c r="O36" t="str">
        <x:v>https://nccospublicstor.blob.core.windows.net/biomapper/usviinsularshelf2017/videos/low/AA2017_035.mp4</x:v>
      </x:c>
      <x:c r="P36" t="str">
        <x:v>Present</x:v>
      </x:c>
      <x:c r="Q36" t="str">
        <x:v>Absent</x:v>
      </x:c>
      <x:c r="R36" t="str">
        <x:v>Absent</x:v>
      </x:c>
      <x:c r="S36" t="str">
        <x:v>Absent</x:v>
      </x:c>
      <x:c r="T36" t="str">
        <x:v>Present</x:v>
      </x:c>
      <x:c r="U36" t="str">
        <x:v>Present</x:v>
      </x:c>
      <x:c r="V36" t="str">
        <x:v>Present</x:v>
      </x:c>
      <x:c r="W36" t="str">
        <x:v>Absent</x:v>
      </x:c>
      <x:c r="X36" t="str">
        <x:v>Absent</x:v>
      </x:c>
      <x:c r="Y36" t="str">
        <x:v>Absent</x:v>
      </x:c>
      <x:c r="Z36" t="str">
        <x:v>Absent</x:v>
      </x:c>
      <x:c r="AA36" t="str">
        <x:v> </x:v>
      </x:c>
    </x:row>
    <x:row r="37">
      <x:c r="A37" t="str">
        <x:v>35</x:v>
      </x:c>
      <x:c r="B37" t="str">
        <x:v>35</x:v>
      </x:c>
      <x:c r="C37" t="str">
        <x:v>Benthic Habitat Maps for the Insular Shelf South of St. Thomas and St. John</x:v>
      </x:c>
      <x:c r="D37" t="str">
        <x:v>Puerto Rico</x:v>
      </x:c>
      <x:c r="E37" t="str">
        <x:v>AA</x:v>
      </x:c>
      <x:c r="F37" t="str">
        <x:v>HD Seaviewer Drop Camera</x:v>
      </x:c>
      <x:c r="G37" t="str">
        <x:v>AA2017_036</x:v>
      </x:c>
      <x:c r="H37" t="str">
        <x:v>1/31/2017</x:v>
      </x:c>
      <x:c r="I37" t="str">
        <x:v>9:23:07</x:v>
      </x:c>
      <x:c r="J37" t="str">
        <x:v>18.14178459</x:v>
      </x:c>
      <x:c r="K37" t="str">
        <x:v>-65.1924405</x:v>
      </x:c>
      <x:c r="L37" t="str">
        <x:v>2054150.874</x:v>
      </x:c>
      <x:c r="M37" t="str">
        <x:v>-7257189.28</x:v>
      </x:c>
      <x:c r="N37" t="str">
        <x:v>-41.16930008</x:v>
      </x:c>
      <x:c r="O37" t="str">
        <x:v>https://nccospublicstor.blob.core.windows.net/biomapper/usviinsularshelf2017/videos/low/AA2017_036.mp4</x:v>
      </x:c>
      <x:c r="P37" t="str">
        <x:v>Present</x:v>
      </x:c>
      <x:c r="Q37" t="str">
        <x:v>Absent</x:v>
      </x:c>
      <x:c r="R37" t="str">
        <x:v>Absent</x:v>
      </x:c>
      <x:c r="S37" t="str">
        <x:v>Present</x:v>
      </x:c>
      <x:c r="T37" t="str">
        <x:v>Present</x:v>
      </x:c>
      <x:c r="U37" t="str">
        <x:v>Absent</x:v>
      </x:c>
      <x:c r="V37" t="str">
        <x:v>Present</x:v>
      </x:c>
      <x:c r="W37" t="str">
        <x:v>Absent</x:v>
      </x:c>
      <x:c r="X37" t="str">
        <x:v>Absent</x:v>
      </x:c>
      <x:c r="Y37" t="str">
        <x:v>Absent</x:v>
      </x:c>
      <x:c r="Z37" t="str">
        <x:v>Absent</x:v>
      </x:c>
      <x:c r="AA37" t="str">
        <x:v> </x:v>
      </x:c>
    </x:row>
    <x:row r="38">
      <x:c r="A38" t="str">
        <x:v>36</x:v>
      </x:c>
      <x:c r="B38" t="str">
        <x:v>36</x:v>
      </x:c>
      <x:c r="C38" t="str">
        <x:v>Benthic Habitat Maps for the Insular Shelf South of St. Thomas and St. John</x:v>
      </x:c>
      <x:c r="D38" t="str">
        <x:v>Puerto Rico</x:v>
      </x:c>
      <x:c r="E38" t="str">
        <x:v>AA</x:v>
      </x:c>
      <x:c r="F38" t="str">
        <x:v>HD Seaviewer Drop Camera</x:v>
      </x:c>
      <x:c r="G38" t="str">
        <x:v>AA2017_037</x:v>
      </x:c>
      <x:c r="H38" t="str">
        <x:v>2/2/2017</x:v>
      </x:c>
      <x:c r="I38" t="str">
        <x:v>12:33:52</x:v>
      </x:c>
      <x:c r="J38" t="str">
        <x:v>18.22329415</x:v>
      </x:c>
      <x:c r="K38" t="str">
        <x:v>-65.19425565</x:v>
      </x:c>
      <x:c r="L38" t="str">
        <x:v>2063701.36</x:v>
      </x:c>
      <x:c r="M38" t="str">
        <x:v>-7257391.342</x:v>
      </x:c>
      <x:c r="N38" t="str">
        <x:v>-26.99110031</x:v>
      </x:c>
      <x:c r="O38" t="str">
        <x:v>https://nccospublicstor.blob.core.windows.net/biomapper/usviinsularshelf2017/videos/low/AA2017_037.mp4</x:v>
      </x:c>
      <x:c r="P38" t="str">
        <x:v>Present</x:v>
      </x:c>
      <x:c r="Q38" t="str">
        <x:v>Absent</x:v>
      </x:c>
      <x:c r="R38" t="str">
        <x:v>Absent</x:v>
      </x:c>
      <x:c r="S38" t="str">
        <x:v>Absent</x:v>
      </x:c>
      <x:c r="T38" t="str">
        <x:v>Present</x:v>
      </x:c>
      <x:c r="U38" t="str">
        <x:v>Absent</x:v>
      </x:c>
      <x:c r="V38" t="str">
        <x:v>Present</x:v>
      </x:c>
      <x:c r="W38" t="str">
        <x:v>Absent</x:v>
      </x:c>
      <x:c r="X38" t="str">
        <x:v>Absent</x:v>
      </x:c>
      <x:c r="Y38" t="str">
        <x:v>Absent</x:v>
      </x:c>
      <x:c r="Z38" t="str">
        <x:v>Absent</x:v>
      </x:c>
      <x:c r="AA38" t="str">
        <x:v> </x:v>
      </x:c>
    </x:row>
    <x:row r="39">
      <x:c r="A39" t="str">
        <x:v>37</x:v>
      </x:c>
      <x:c r="B39" t="str">
        <x:v>37</x:v>
      </x:c>
      <x:c r="C39" t="str">
        <x:v>Benthic Habitat Maps for the Insular Shelf South of St. Thomas and St. John</x:v>
      </x:c>
      <x:c r="D39" t="str">
        <x:v>Puerto Rico</x:v>
      </x:c>
      <x:c r="E39" t="str">
        <x:v>AA</x:v>
      </x:c>
      <x:c r="F39" t="str">
        <x:v>HD Seaviewer Drop Camera</x:v>
      </x:c>
      <x:c r="G39" t="str">
        <x:v>AA2017_038</x:v>
      </x:c>
      <x:c r="H39" t="str">
        <x:v>2/2/2017</x:v>
      </x:c>
      <x:c r="I39" t="str">
        <x:v>10:24:52</x:v>
      </x:c>
      <x:c r="J39" t="str">
        <x:v>18.19390382</x:v>
      </x:c>
      <x:c r="K39" t="str">
        <x:v>-65.18999967</x:v>
      </x:c>
      <x:c r="L39" t="str">
        <x:v>2060257.177</x:v>
      </x:c>
      <x:c r="M39" t="str">
        <x:v>-7256917.568</x:v>
      </x:c>
      <x:c r="N39" t="str">
        <x:v>-35.85039902</x:v>
      </x:c>
      <x:c r="O39" t="str">
        <x:v>https://nccospublicstor.blob.core.windows.net/biomapper/usviinsularshelf2017/videos/low/AA2017_038.mp4</x:v>
      </x:c>
      <x:c r="P39" t="str">
        <x:v>Present</x:v>
      </x:c>
      <x:c r="Q39" t="str">
        <x:v>Absent</x:v>
      </x:c>
      <x:c r="R39" t="str">
        <x:v>Absent</x:v>
      </x:c>
      <x:c r="S39" t="str">
        <x:v>Absent</x:v>
      </x:c>
      <x:c r="T39" t="str">
        <x:v>Present</x:v>
      </x:c>
      <x:c r="U39" t="str">
        <x:v>Absent</x:v>
      </x:c>
      <x:c r="V39" t="str">
        <x:v>Present</x:v>
      </x:c>
      <x:c r="W39" t="str">
        <x:v>Present</x:v>
      </x:c>
      <x:c r="X39" t="str">
        <x:v>Absent</x:v>
      </x:c>
      <x:c r="Y39" t="str">
        <x:v>Absent</x:v>
      </x:c>
      <x:c r="Z39" t="str">
        <x:v>Absent</x:v>
      </x:c>
      <x:c r="AA39" t="str">
        <x:v> </x:v>
      </x:c>
    </x:row>
    <x:row r="40">
      <x:c r="A40" t="str">
        <x:v>38</x:v>
      </x:c>
      <x:c r="B40" t="str">
        <x:v>38</x:v>
      </x:c>
      <x:c r="C40" t="str">
        <x:v>Benthic Habitat Maps for the Insular Shelf South of St. Thomas and St. John</x:v>
      </x:c>
      <x:c r="D40" t="str">
        <x:v>Puerto Rico</x:v>
      </x:c>
      <x:c r="E40" t="str">
        <x:v>AA</x:v>
      </x:c>
      <x:c r="F40" t="str">
        <x:v>HD Seaviewer Drop Camera</x:v>
      </x:c>
      <x:c r="G40" t="str">
        <x:v>AA2017_040</x:v>
      </x:c>
      <x:c r="H40" t="str">
        <x:v>1/31/2017</x:v>
      </x:c>
      <x:c r="I40" t="str">
        <x:v>9:30:44</x:v>
      </x:c>
      <x:c r="J40" t="str">
        <x:v>18.13674675</x:v>
      </x:c>
      <x:c r="K40" t="str">
        <x:v>-65.18710941</x:v>
      </x:c>
      <x:c r="L40" t="str">
        <x:v>2053560.736</x:v>
      </x:c>
      <x:c r="M40" t="str">
        <x:v>-7256595.826</x:v>
      </x:c>
      <x:c r="N40" t="str">
        <x:v>-47.23770142</x:v>
      </x:c>
      <x:c r="O40" t="str">
        <x:v>https://nccospublicstor.blob.core.windows.net/biomapper/usviinsularshelf2017/videos/low/AA2017_040.mp4</x:v>
      </x:c>
      <x:c r="P40" t="str">
        <x:v>Present</x:v>
      </x:c>
      <x:c r="Q40" t="str">
        <x:v>Absent</x:v>
      </x:c>
      <x:c r="R40" t="str">
        <x:v>Present</x:v>
      </x:c>
      <x:c r="S40" t="str">
        <x:v>Absent</x:v>
      </x:c>
      <x:c r="T40" t="str">
        <x:v>Present</x:v>
      </x:c>
      <x:c r="U40" t="str">
        <x:v>Absent</x:v>
      </x:c>
      <x:c r="V40" t="str">
        <x:v>Absent</x:v>
      </x:c>
      <x:c r="W40" t="str">
        <x:v>Absent</x:v>
      </x:c>
      <x:c r="X40" t="str">
        <x:v>Absent</x:v>
      </x:c>
      <x:c r="Y40" t="str">
        <x:v>Absent</x:v>
      </x:c>
      <x:c r="Z40" t="str">
        <x:v>Absent</x:v>
      </x:c>
      <x:c r="AA40" t="str">
        <x:v>Camera dropped on agg reef/rhodo boundary.  GPS points look to be on rhodos</x:v>
      </x:c>
    </x:row>
    <x:row r="41">
      <x:c r="A41" t="str">
        <x:v>39</x:v>
      </x:c>
      <x:c r="B41" t="str">
        <x:v>39</x:v>
      </x:c>
      <x:c r="C41" t="str">
        <x:v>Benthic Habitat Maps for the Insular Shelf South of St. Thomas and St. John</x:v>
      </x:c>
      <x:c r="D41" t="str">
        <x:v>Puerto Rico</x:v>
      </x:c>
      <x:c r="E41" t="str">
        <x:v>AA</x:v>
      </x:c>
      <x:c r="F41" t="str">
        <x:v>HD Seaviewer Drop Camera</x:v>
      </x:c>
      <x:c r="G41" t="str">
        <x:v>AA2017_041</x:v>
      </x:c>
      <x:c r="H41" t="str">
        <x:v>2/2/2017</x:v>
      </x:c>
      <x:c r="I41" t="str">
        <x:v>10:56:25</x:v>
      </x:c>
      <x:c r="J41" t="str">
        <x:v>18.20404056</x:v>
      </x:c>
      <x:c r="K41" t="str">
        <x:v>-65.18761895</x:v>
      </x:c>
      <x:c r="L41" t="str">
        <x:v>2061445.012</x:v>
      </x:c>
      <x:c r="M41" t="str">
        <x:v>-7256652.548</x:v>
      </x:c>
      <x:c r="N41" t="str">
        <x:v>-33.58959961</x:v>
      </x:c>
      <x:c r="O41" t="str">
        <x:v>https://nccospublicstor.blob.core.windows.net/biomapper/usviinsularshelf2017/videos/low/AA2017_041.mp4</x:v>
      </x:c>
      <x:c r="P41" t="str">
        <x:v>Present</x:v>
      </x:c>
      <x:c r="Q41" t="str">
        <x:v>Absent</x:v>
      </x:c>
      <x:c r="R41" t="str">
        <x:v>Absent</x:v>
      </x:c>
      <x:c r="S41" t="str">
        <x:v>Absent</x:v>
      </x:c>
      <x:c r="T41" t="str">
        <x:v>Present</x:v>
      </x:c>
      <x:c r="U41" t="str">
        <x:v>Present</x:v>
      </x:c>
      <x:c r="V41" t="str">
        <x:v>Present</x:v>
      </x:c>
      <x:c r="W41" t="str">
        <x:v>Absent</x:v>
      </x:c>
      <x:c r="X41" t="str">
        <x:v>Absent</x:v>
      </x:c>
      <x:c r="Y41" t="str">
        <x:v>Absent</x:v>
      </x:c>
      <x:c r="Z41" t="str">
        <x:v>Absent</x:v>
      </x:c>
      <x:c r="AA41" t="str">
        <x:v> </x:v>
      </x:c>
    </x:row>
    <x:row r="42">
      <x:c r="A42" t="str">
        <x:v>40</x:v>
      </x:c>
      <x:c r="B42" t="str">
        <x:v>40</x:v>
      </x:c>
      <x:c r="C42" t="str">
        <x:v>Benthic Habitat Maps for the Insular Shelf South of St. Thomas and St. John</x:v>
      </x:c>
      <x:c r="D42" t="str">
        <x:v>Puerto Rico</x:v>
      </x:c>
      <x:c r="E42" t="str">
        <x:v>AA</x:v>
      </x:c>
      <x:c r="F42" t="str">
        <x:v>HD Seaviewer Drop Camera</x:v>
      </x:c>
      <x:c r="G42" t="str">
        <x:v>AA2017_042</x:v>
      </x:c>
      <x:c r="H42" t="str">
        <x:v>2/1/2017</x:v>
      </x:c>
      <x:c r="I42" t="str">
        <x:v>13:37:08</x:v>
      </x:c>
      <x:c r="J42" t="str">
        <x:v>18.18100293</x:v>
      </x:c>
      <x:c r="K42" t="str">
        <x:v>-65.18662921</x:v>
      </x:c>
      <x:c r="L42" t="str">
        <x:v>2058745.535</x:v>
      </x:c>
      <x:c r="M42" t="str">
        <x:v>-7256542.37</x:v>
      </x:c>
      <x:c r="N42" t="str">
        <x:v>-38.43230057</x:v>
      </x:c>
      <x:c r="O42" t="str">
        <x:v>https://nccospublicstor.blob.core.windows.net/biomapper/usviinsularshelf2017/videos/low/AA2017_042.mp4</x:v>
      </x:c>
      <x:c r="P42" t="str">
        <x:v>Present</x:v>
      </x:c>
      <x:c r="Q42" t="str">
        <x:v>Absent</x:v>
      </x:c>
      <x:c r="R42" t="str">
        <x:v>Absent</x:v>
      </x:c>
      <x:c r="S42" t="str">
        <x:v>Absent</x:v>
      </x:c>
      <x:c r="T42" t="str">
        <x:v>Present</x:v>
      </x:c>
      <x:c r="U42" t="str">
        <x:v>Absent</x:v>
      </x:c>
      <x:c r="V42" t="str">
        <x:v>Present</x:v>
      </x:c>
      <x:c r="W42" t="str">
        <x:v>Absent</x:v>
      </x:c>
      <x:c r="X42" t="str">
        <x:v>Absent</x:v>
      </x:c>
      <x:c r="Y42" t="str">
        <x:v>Absent</x:v>
      </x:c>
      <x:c r="Z42" t="str">
        <x:v>Absent</x:v>
      </x:c>
      <x:c r="AA42" t="str">
        <x:v>Isophyllia rigida</x:v>
      </x:c>
    </x:row>
    <x:row r="43">
      <x:c r="A43" t="str">
        <x:v>41</x:v>
      </x:c>
      <x:c r="B43" t="str">
        <x:v>41</x:v>
      </x:c>
      <x:c r="C43" t="str">
        <x:v>Benthic Habitat Maps for the Insular Shelf South of St. Thomas and St. John</x:v>
      </x:c>
      <x:c r="D43" t="str">
        <x:v>Puerto Rico</x:v>
      </x:c>
      <x:c r="E43" t="str">
        <x:v>AA</x:v>
      </x:c>
      <x:c r="F43" t="str">
        <x:v>HD Seaviewer Drop Camera</x:v>
      </x:c>
      <x:c r="G43" t="str">
        <x:v>AA2017_043</x:v>
      </x:c>
      <x:c r="H43" t="str">
        <x:v>2/1/2017</x:v>
      </x:c>
      <x:c r="I43" t="str">
        <x:v>13:01:50</x:v>
      </x:c>
      <x:c r="J43" t="str">
        <x:v>18.16889562</x:v>
      </x:c>
      <x:c r="K43" t="str">
        <x:v>-65.18605764</x:v>
      </x:c>
      <x:c r="L43" t="str">
        <x:v>2057326.982</x:v>
      </x:c>
      <x:c r="M43" t="str">
        <x:v>-7256478.743</x:v>
      </x:c>
      <x:c r="N43" t="str">
        <x:v>-37.37440109</x:v>
      </x:c>
      <x:c r="O43" t="str">
        <x:v>https://nccospublicstor.blob.core.windows.net/biomapper/usviinsularshelf2017/videos/low/AA2017_043.mp4</x:v>
      </x:c>
      <x:c r="P43" t="str">
        <x:v>Present</x:v>
      </x:c>
      <x:c r="Q43" t="str">
        <x:v>Absent</x:v>
      </x:c>
      <x:c r="R43" t="str">
        <x:v>Absent</x:v>
      </x:c>
      <x:c r="S43" t="str">
        <x:v>Absent</x:v>
      </x:c>
      <x:c r="T43" t="str">
        <x:v>Present</x:v>
      </x:c>
      <x:c r="U43" t="str">
        <x:v>Present</x:v>
      </x:c>
      <x:c r="V43" t="str">
        <x:v>Absent</x:v>
      </x:c>
      <x:c r="W43" t="str">
        <x:v>Present</x:v>
      </x:c>
      <x:c r="X43" t="str">
        <x:v>Absent</x:v>
      </x:c>
      <x:c r="Y43" t="str">
        <x:v>Absent</x:v>
      </x:c>
      <x:c r="Z43" t="str">
        <x:v>Absent</x:v>
      </x:c>
      <x:c r="AA43" t="str">
        <x:v>40-50% live hard coral</x:v>
      </x:c>
    </x:row>
    <x:row r="44">
      <x:c r="A44" t="str">
        <x:v>42</x:v>
      </x:c>
      <x:c r="B44" t="str">
        <x:v>42</x:v>
      </x:c>
      <x:c r="C44" t="str">
        <x:v>Benthic Habitat Maps for the Insular Shelf South of St. Thomas and St. John</x:v>
      </x:c>
      <x:c r="D44" t="str">
        <x:v>Puerto Rico</x:v>
      </x:c>
      <x:c r="E44" t="str">
        <x:v>AA</x:v>
      </x:c>
      <x:c r="F44" t="str">
        <x:v>HD Seaviewer Drop Camera</x:v>
      </x:c>
      <x:c r="G44" t="str">
        <x:v>AA2017_044</x:v>
      </x:c>
      <x:c r="H44" t="str">
        <x:v>2/2/2017</x:v>
      </x:c>
      <x:c r="I44" t="str">
        <x:v>10:17:24</x:v>
      </x:c>
      <x:c r="J44" t="str">
        <x:v>18.19662479</x:v>
      </x:c>
      <x:c r="K44" t="str">
        <x:v>-65.18281047</x:v>
      </x:c>
      <x:c r="L44" t="str">
        <x:v>2060576.016</x:v>
      </x:c>
      <x:c r="M44" t="str">
        <x:v>-7256117.27</x:v>
      </x:c>
      <x:c r="N44" t="str">
        <x:v>-34.59109879</x:v>
      </x:c>
      <x:c r="O44" t="str">
        <x:v>https://nccospublicstor.blob.core.windows.net/biomapper/usviinsularshelf2017/videos/low/AA2017_044.mp4</x:v>
      </x:c>
      <x:c r="P44" t="str">
        <x:v>Present</x:v>
      </x:c>
      <x:c r="Q44" t="str">
        <x:v>Absent</x:v>
      </x:c>
      <x:c r="R44" t="str">
        <x:v>Absent</x:v>
      </x:c>
      <x:c r="S44" t="str">
        <x:v>Absent</x:v>
      </x:c>
      <x:c r="T44" t="str">
        <x:v>Present</x:v>
      </x:c>
      <x:c r="U44" t="str">
        <x:v>Absent</x:v>
      </x:c>
      <x:c r="V44" t="str">
        <x:v>Present</x:v>
      </x:c>
      <x:c r="W44" t="str">
        <x:v>Present</x:v>
      </x:c>
      <x:c r="X44" t="str">
        <x:v>Absent</x:v>
      </x:c>
      <x:c r="Y44" t="str">
        <x:v>Absent</x:v>
      </x:c>
      <x:c r="Z44" t="str">
        <x:v>Absent</x:v>
      </x:c>
      <x:c r="AA44" t="str">
        <x:v> </x:v>
      </x:c>
    </x:row>
    <x:row r="45">
      <x:c r="A45" t="str">
        <x:v>43</x:v>
      </x:c>
      <x:c r="B45" t="str">
        <x:v>43</x:v>
      </x:c>
      <x:c r="C45" t="str">
        <x:v>Benthic Habitat Maps for the Insular Shelf South of St. Thomas and St. John</x:v>
      </x:c>
      <x:c r="D45" t="str">
        <x:v>Puerto Rico</x:v>
      </x:c>
      <x:c r="E45" t="str">
        <x:v>AA</x:v>
      </x:c>
      <x:c r="F45" t="str">
        <x:v>HD Seaviewer Drop Camera</x:v>
      </x:c>
      <x:c r="G45" t="str">
        <x:v>AA2017_045</x:v>
      </x:c>
      <x:c r="H45" t="str">
        <x:v>2/2/2017</x:v>
      </x:c>
      <x:c r="I45" t="str">
        <x:v>10:36:23</x:v>
      </x:c>
      <x:c r="J45" t="str">
        <x:v>18.21212612</x:v>
      </x:c>
      <x:c r="K45" t="str">
        <x:v>-65.18255946</x:v>
      </x:c>
      <x:c r="L45" t="str">
        <x:v>2062392.536</x:v>
      </x:c>
      <x:c r="M45" t="str">
        <x:v>-7256089.328</x:v>
      </x:c>
      <x:c r="N45" t="str">
        <x:v>-41.11619949</x:v>
      </x:c>
      <x:c r="O45" t="str">
        <x:v>https://nccospublicstor.blob.core.windows.net/biomapper/usviinsularshelf2017/videos/low/AA2017_045.mp4</x:v>
      </x:c>
      <x:c r="P45" t="str">
        <x:v>Absent</x:v>
      </x:c>
      <x:c r="Q45" t="str">
        <x:v>Absent</x:v>
      </x:c>
      <x:c r="R45" t="str">
        <x:v>Absent</x:v>
      </x:c>
      <x:c r="S45" t="str">
        <x:v>Present</x:v>
      </x:c>
      <x:c r="T45" t="str">
        <x:v>Absent</x:v>
      </x:c>
      <x:c r="U45" t="str">
        <x:v>Absent</x:v>
      </x:c>
      <x:c r="V45" t="str">
        <x:v>Absent</x:v>
      </x:c>
      <x:c r="W45" t="str">
        <x:v>Absent</x:v>
      </x:c>
      <x:c r="X45" t="str">
        <x:v>Absent</x:v>
      </x:c>
      <x:c r="Y45" t="str">
        <x:v>Absent</x:v>
      </x:c>
      <x:c r="Z45" t="str">
        <x:v>Absent</x:v>
      </x:c>
      <x:c r="AA45" t="str">
        <x:v>This site is on the edge of agg reef.  GPS point in agg reef.  Reassess when doing AA.</x:v>
      </x:c>
    </x:row>
    <x:row r="46">
      <x:c r="A46" t="str">
        <x:v>44</x:v>
      </x:c>
      <x:c r="B46" t="str">
        <x:v>44</x:v>
      </x:c>
      <x:c r="C46" t="str">
        <x:v>Benthic Habitat Maps for the Insular Shelf South of St. Thomas and St. John</x:v>
      </x:c>
      <x:c r="D46" t="str">
        <x:v>Puerto Rico</x:v>
      </x:c>
      <x:c r="E46" t="str">
        <x:v>AA</x:v>
      </x:c>
      <x:c r="F46" t="str">
        <x:v>HD Seaviewer Drop Camera</x:v>
      </x:c>
      <x:c r="G46" t="str">
        <x:v>AA2017_047</x:v>
      </x:c>
      <x:c r="H46" t="str">
        <x:v>2/2/2017</x:v>
      </x:c>
      <x:c r="I46" t="str">
        <x:v>10:49:15</x:v>
      </x:c>
      <x:c r="J46" t="str">
        <x:v>18.2082291</x:v>
      </x:c>
      <x:c r="K46" t="str">
        <x:v>-65.18130476</x:v>
      </x:c>
      <x:c r="L46" t="str">
        <x:v>2061935.85</x:v>
      </x:c>
      <x:c r="M46" t="str">
        <x:v>-7255949.655</x:v>
      </x:c>
      <x:c r="N46" t="str">
        <x:v>-34.61930084</x:v>
      </x:c>
      <x:c r="O46" t="str">
        <x:v>https://nccospublicstor.blob.core.windows.net/biomapper/usviinsularshelf2017/videos/low/AA2017_047.mp4</x:v>
      </x:c>
      <x:c r="P46" t="str">
        <x:v>Present</x:v>
      </x:c>
      <x:c r="Q46" t="str">
        <x:v>Absent</x:v>
      </x:c>
      <x:c r="R46" t="str">
        <x:v>Absent</x:v>
      </x:c>
      <x:c r="S46" t="str">
        <x:v>Absent</x:v>
      </x:c>
      <x:c r="T46" t="str">
        <x:v>Present</x:v>
      </x:c>
      <x:c r="U46" t="str">
        <x:v>Absent</x:v>
      </x:c>
      <x:c r="V46" t="str">
        <x:v>Present</x:v>
      </x:c>
      <x:c r="W46" t="str">
        <x:v>Present</x:v>
      </x:c>
      <x:c r="X46" t="str">
        <x:v>Absent</x:v>
      </x:c>
      <x:c r="Y46" t="str">
        <x:v>Absent</x:v>
      </x:c>
      <x:c r="Z46" t="str">
        <x:v>Absent</x:v>
      </x:c>
      <x:c r="AA46" t="str">
        <x:v> </x:v>
      </x:c>
    </x:row>
    <x:row r="47">
      <x:c r="A47" t="str">
        <x:v>45</x:v>
      </x:c>
      <x:c r="B47" t="str">
        <x:v>45</x:v>
      </x:c>
      <x:c r="C47" t="str">
        <x:v>Benthic Habitat Maps for the Insular Shelf South of St. Thomas and St. John</x:v>
      </x:c>
      <x:c r="D47" t="str">
        <x:v>Puerto Rico</x:v>
      </x:c>
      <x:c r="E47" t="str">
        <x:v>AA</x:v>
      </x:c>
      <x:c r="F47" t="str">
        <x:v>HD Seaviewer Drop Camera</x:v>
      </x:c>
      <x:c r="G47" t="str">
        <x:v>AA2017_048</x:v>
      </x:c>
      <x:c r="H47" t="str">
        <x:v>2/1/2017</x:v>
      </x:c>
      <x:c r="I47" t="str">
        <x:v>13:49:02</x:v>
      </x:c>
      <x:c r="J47" t="str">
        <x:v>18.17996355</x:v>
      </x:c>
      <x:c r="K47" t="str">
        <x:v>-65.17839068</x:v>
      </x:c>
      <x:c r="L47" t="str">
        <x:v>2058623.752</x:v>
      </x:c>
      <x:c r="M47" t="str">
        <x:v>-7255625.261</x:v>
      </x:c>
      <x:c r="N47" t="str">
        <x:v>-39.44869995</x:v>
      </x:c>
      <x:c r="O47" t="str">
        <x:v>https://nccospublicstor.blob.core.windows.net/biomapper/usviinsularshelf2017/videos/low/AA2017_048.mp4</x:v>
      </x:c>
      <x:c r="P47" t="str">
        <x:v>Present</x:v>
      </x:c>
      <x:c r="Q47" t="str">
        <x:v>Absent</x:v>
      </x:c>
      <x:c r="R47" t="str">
        <x:v>Absent</x:v>
      </x:c>
      <x:c r="S47" t="str">
        <x:v>Absent</x:v>
      </x:c>
      <x:c r="T47" t="str">
        <x:v>Present</x:v>
      </x:c>
      <x:c r="U47" t="str">
        <x:v>Absent</x:v>
      </x:c>
      <x:c r="V47" t="str">
        <x:v>Present</x:v>
      </x:c>
      <x:c r="W47" t="str">
        <x:v>Absent</x:v>
      </x:c>
      <x:c r="X47" t="str">
        <x:v>Absent</x:v>
      </x:c>
      <x:c r="Y47" t="str">
        <x:v>Absent</x:v>
      </x:c>
      <x:c r="Z47" t="str">
        <x:v>Absent</x:v>
      </x:c>
      <x:c r="AA47" t="str">
        <x:v> </x:v>
      </x:c>
    </x:row>
    <x:row r="48">
      <x:c r="A48" t="str">
        <x:v>46</x:v>
      </x:c>
      <x:c r="B48" t="str">
        <x:v>46</x:v>
      </x:c>
      <x:c r="C48" t="str">
        <x:v>Benthic Habitat Maps for the Insular Shelf South of St. Thomas and St. John</x:v>
      </x:c>
      <x:c r="D48" t="str">
        <x:v>Puerto Rico</x:v>
      </x:c>
      <x:c r="E48" t="str">
        <x:v>AA</x:v>
      </x:c>
      <x:c r="F48" t="str">
        <x:v>HD Seaviewer Drop Camera</x:v>
      </x:c>
      <x:c r="G48" t="str">
        <x:v>AA2017_049</x:v>
      </x:c>
      <x:c r="H48" t="str">
        <x:v>2/1/2017</x:v>
      </x:c>
      <x:c r="I48" t="str">
        <x:v>12:53:40</x:v>
      </x:c>
      <x:c r="J48" t="str">
        <x:v>18.16743751</x:v>
      </x:c>
      <x:c r="K48" t="str">
        <x:v>-65.17738314</x:v>
      </x:c>
      <x:c r="L48" t="str">
        <x:v>2057156.149</x:v>
      </x:c>
      <x:c r="M48" t="str">
        <x:v>-7255513.102</x:v>
      </x:c>
      <x:c r="N48" t="str">
        <x:v>-43.40999985</x:v>
      </x:c>
      <x:c r="O48" t="str">
        <x:v>https://nccospublicstor.blob.core.windows.net/biomapper/usviinsularshelf2017/videos/low/AA2017_049.mp4</x:v>
      </x:c>
      <x:c r="P48" t="str">
        <x:v>Present</x:v>
      </x:c>
      <x:c r="Q48" t="str">
        <x:v>Absent</x:v>
      </x:c>
      <x:c r="R48" t="str">
        <x:v>Absent</x:v>
      </x:c>
      <x:c r="S48" t="str">
        <x:v>Absent</x:v>
      </x:c>
      <x:c r="T48" t="str">
        <x:v>Present</x:v>
      </x:c>
      <x:c r="U48" t="str">
        <x:v>Absent</x:v>
      </x:c>
      <x:c r="V48" t="str">
        <x:v>Present</x:v>
      </x:c>
      <x:c r="W48" t="str">
        <x:v>Present</x:v>
      </x:c>
      <x:c r="X48" t="str">
        <x:v>Absent</x:v>
      </x:c>
      <x:c r="Y48" t="str">
        <x:v>Absent</x:v>
      </x:c>
      <x:c r="Z48" t="str">
        <x:v>Absent</x:v>
      </x:c>
      <x:c r="AA48" t="str">
        <x:v> </x:v>
      </x:c>
    </x:row>
    <x:row r="49">
      <x:c r="A49" t="str">
        <x:v>47</x:v>
      </x:c>
      <x:c r="B49" t="str">
        <x:v>47</x:v>
      </x:c>
      <x:c r="C49" t="str">
        <x:v>Benthic Habitat Maps for the Insular Shelf South of St. Thomas and St. John</x:v>
      </x:c>
      <x:c r="D49" t="str">
        <x:v>Puerto Rico</x:v>
      </x:c>
      <x:c r="E49" t="str">
        <x:v>AA</x:v>
      </x:c>
      <x:c r="F49" t="str">
        <x:v>HD Seaviewer Drop Camera</x:v>
      </x:c>
      <x:c r="G49" t="str">
        <x:v>AA2017_050</x:v>
      </x:c>
      <x:c r="H49" t="str">
        <x:v>2/2/2017</x:v>
      </x:c>
      <x:c r="I49" t="str">
        <x:v>12:46:06</x:v>
      </x:c>
      <x:c r="J49" t="str">
        <x:v>18.23036214</x:v>
      </x:c>
      <x:c r="K49" t="str">
        <x:v>-65.17726519</x:v>
      </x:c>
      <x:c r="L49" t="str">
        <x:v>2064529.728</x:v>
      </x:c>
      <x:c r="M49" t="str">
        <x:v>-7255499.972</x:v>
      </x:c>
      <x:c r="N49" t="str">
        <x:v>-32.36220169</x:v>
      </x:c>
      <x:c r="O49" t="str">
        <x:v>https://nccospublicstor.blob.core.windows.net/biomapper/usviinsularshelf2017/videos/low/AA2017_050.mp4</x:v>
      </x:c>
      <x:c r="P49" t="str">
        <x:v>Present</x:v>
      </x:c>
      <x:c r="Q49" t="str">
        <x:v>Absent</x:v>
      </x:c>
      <x:c r="R49" t="str">
        <x:v>Absent</x:v>
      </x:c>
      <x:c r="S49" t="str">
        <x:v>Absent</x:v>
      </x:c>
      <x:c r="T49" t="str">
        <x:v>Present</x:v>
      </x:c>
      <x:c r="U49" t="str">
        <x:v>Present</x:v>
      </x:c>
      <x:c r="V49" t="str">
        <x:v>Present</x:v>
      </x:c>
      <x:c r="W49" t="str">
        <x:v>Present</x:v>
      </x:c>
      <x:c r="X49" t="str">
        <x:v>Absent</x:v>
      </x:c>
      <x:c r="Y49" t="str">
        <x:v>Absent</x:v>
      </x:c>
      <x:c r="Z49" t="str">
        <x:v>Absent</x:v>
      </x:c>
      <x:c r="AA49" t="str">
        <x:v>Sand visible on decent</x:v>
      </x:c>
    </x:row>
    <x:row r="50">
      <x:c r="A50" t="str">
        <x:v>48</x:v>
      </x:c>
      <x:c r="B50" t="str">
        <x:v>48</x:v>
      </x:c>
      <x:c r="C50" t="str">
        <x:v>Benthic Habitat Maps for the Insular Shelf South of St. Thomas and St. John</x:v>
      </x:c>
      <x:c r="D50" t="str">
        <x:v>Puerto Rico</x:v>
      </x:c>
      <x:c r="E50" t="str">
        <x:v>AA</x:v>
      </x:c>
      <x:c r="F50" t="str">
        <x:v>HD Seaviewer Drop Camera</x:v>
      </x:c>
      <x:c r="G50" t="str">
        <x:v>AA2017_051</x:v>
      </x:c>
      <x:c r="H50" t="str">
        <x:v>2/2/2017</x:v>
      </x:c>
      <x:c r="I50" t="str">
        <x:v>9:51:24</x:v>
      </x:c>
      <x:c r="J50" t="str">
        <x:v>18.19917464</x:v>
      </x:c>
      <x:c r="K50" t="str">
        <x:v>-65.17617978</x:v>
      </x:c>
      <x:c r="L50" t="str">
        <x:v>2060874.809</x:v>
      </x:c>
      <x:c r="M50" t="str">
        <x:v>-7255379.145</x:v>
      </x:c>
      <x:c r="N50" t="str">
        <x:v>-41.79050064</x:v>
      </x:c>
      <x:c r="O50" t="str">
        <x:v>https://nccospublicstor.blob.core.windows.net/biomapper/usviinsularshelf2017/videos/low/AA2017_051.mp4</x:v>
      </x:c>
      <x:c r="P50" t="str">
        <x:v>Present</x:v>
      </x:c>
      <x:c r="Q50" t="str">
        <x:v>Absent</x:v>
      </x:c>
      <x:c r="R50" t="str">
        <x:v>Absent</x:v>
      </x:c>
      <x:c r="S50" t="str">
        <x:v>Present</x:v>
      </x:c>
      <x:c r="T50" t="str">
        <x:v>Present</x:v>
      </x:c>
      <x:c r="U50" t="str">
        <x:v>Absent</x:v>
      </x:c>
      <x:c r="V50" t="str">
        <x:v>Present</x:v>
      </x:c>
      <x:c r="W50" t="str">
        <x:v>Present</x:v>
      </x:c>
      <x:c r="X50" t="str">
        <x:v>Absent</x:v>
      </x:c>
      <x:c r="Y50" t="str">
        <x:v>Absent</x:v>
      </x:c>
      <x:c r="Z50" t="str">
        <x:v>Absent</x:v>
      </x:c>
      <x:c r="AA50" t="str">
        <x:v> </x:v>
      </x:c>
    </x:row>
    <x:row r="51">
      <x:c r="A51" t="str">
        <x:v>49</x:v>
      </x:c>
      <x:c r="B51" t="str">
        <x:v>49</x:v>
      </x:c>
      <x:c r="C51" t="str">
        <x:v>Benthic Habitat Maps for the Insular Shelf South of St. Thomas and St. John</x:v>
      </x:c>
      <x:c r="D51" t="str">
        <x:v>Puerto Rico</x:v>
      </x:c>
      <x:c r="E51" t="str">
        <x:v>AA</x:v>
      </x:c>
      <x:c r="F51" t="str">
        <x:v>HD Seaviewer Drop Camera</x:v>
      </x:c>
      <x:c r="G51" t="str">
        <x:v>AA2017_052</x:v>
      </x:c>
      <x:c r="H51" t="str">
        <x:v>2/2/2017</x:v>
      </x:c>
      <x:c r="I51" t="str">
        <x:v>10:08:14</x:v>
      </x:c>
      <x:c r="J51" t="str">
        <x:v>18.20793334</x:v>
      </x:c>
      <x:c r="K51" t="str">
        <x:v>-65.17472332</x:v>
      </x:c>
      <x:c r="L51" t="str">
        <x:v>2061901.19</x:v>
      </x:c>
      <x:c r="M51" t="str">
        <x:v>-7255217.013</x:v>
      </x:c>
      <x:c r="N51" t="str">
        <x:v>-37.98460007</x:v>
      </x:c>
      <x:c r="O51" t="str">
        <x:v>https://nccospublicstor.blob.core.windows.net/biomapper/usviinsularshelf2017/videos/low/AA2017_052.mp4</x:v>
      </x:c>
      <x:c r="P51" t="str">
        <x:v>Present</x:v>
      </x:c>
      <x:c r="Q51" t="str">
        <x:v>Absent</x:v>
      </x:c>
      <x:c r="R51" t="str">
        <x:v>Absent</x:v>
      </x:c>
      <x:c r="S51" t="str">
        <x:v>Present</x:v>
      </x:c>
      <x:c r="T51" t="str">
        <x:v>Present</x:v>
      </x:c>
      <x:c r="U51" t="str">
        <x:v>Absent</x:v>
      </x:c>
      <x:c r="V51" t="str">
        <x:v>Present</x:v>
      </x:c>
      <x:c r="W51" t="str">
        <x:v>Present</x:v>
      </x:c>
      <x:c r="X51" t="str">
        <x:v>Absent</x:v>
      </x:c>
      <x:c r="Y51" t="str">
        <x:v>Absent</x:v>
      </x:c>
      <x:c r="Z51" t="str">
        <x:v>Absent</x:v>
      </x:c>
      <x:c r="AA51" t="str">
        <x:v> </x:v>
      </x:c>
    </x:row>
    <x:row r="52">
      <x:c r="A52" t="str">
        <x:v>50</x:v>
      </x:c>
      <x:c r="B52" t="str">
        <x:v>50</x:v>
      </x:c>
      <x:c r="C52" t="str">
        <x:v>Benthic Habitat Maps for the Insular Shelf South of St. Thomas and St. John</x:v>
      </x:c>
      <x:c r="D52" t="str">
        <x:v>Puerto Rico</x:v>
      </x:c>
      <x:c r="E52" t="str">
        <x:v>AA</x:v>
      </x:c>
      <x:c r="F52" t="str">
        <x:v>HD Seaviewer Drop Camera</x:v>
      </x:c>
      <x:c r="G52" t="str">
        <x:v>AA2017_053</x:v>
      </x:c>
      <x:c r="H52" t="str">
        <x:v>2/1/2017</x:v>
      </x:c>
      <x:c r="I52" t="str">
        <x:v>13:59:05</x:v>
      </x:c>
      <x:c r="J52" t="str">
        <x:v>18.18482781</x:v>
      </x:c>
      <x:c r="K52" t="str">
        <x:v>-65.17350963</x:v>
      </x:c>
      <x:c r="L52" t="str">
        <x:v>2059193.698</x:v>
      </x:c>
      <x:c r="M52" t="str">
        <x:v>-7255081.905</x:v>
      </x:c>
      <x:c r="N52" t="str">
        <x:v>-38.2580986</x:v>
      </x:c>
      <x:c r="O52" t="str">
        <x:v>https://nccospublicstor.blob.core.windows.net/biomapper/usviinsularshelf2017/videos/low/AA2017_053.mp4</x:v>
      </x:c>
      <x:c r="P52" t="str">
        <x:v>Present</x:v>
      </x:c>
      <x:c r="Q52" t="str">
        <x:v>Absent</x:v>
      </x:c>
      <x:c r="R52" t="str">
        <x:v>Absent</x:v>
      </x:c>
      <x:c r="S52" t="str">
        <x:v>Absent</x:v>
      </x:c>
      <x:c r="T52" t="str">
        <x:v>Present</x:v>
      </x:c>
      <x:c r="U52" t="str">
        <x:v>Present</x:v>
      </x:c>
      <x:c r="V52" t="str">
        <x:v>Present</x:v>
      </x:c>
      <x:c r="W52" t="str">
        <x:v>Absent</x:v>
      </x:c>
      <x:c r="X52" t="str">
        <x:v>Absent</x:v>
      </x:c>
      <x:c r="Y52" t="str">
        <x:v>Absent</x:v>
      </x:c>
      <x:c r="Z52" t="str">
        <x:v>Absent</x:v>
      </x:c>
      <x:c r="AA52" t="str">
        <x:v> </x:v>
      </x:c>
    </x:row>
    <x:row r="53">
      <x:c r="A53" t="str">
        <x:v>51</x:v>
      </x:c>
      <x:c r="B53" t="str">
        <x:v>51</x:v>
      </x:c>
      <x:c r="C53" t="str">
        <x:v>Benthic Habitat Maps for the Insular Shelf South of St. Thomas and St. John</x:v>
      </x:c>
      <x:c r="D53" t="str">
        <x:v>Puerto Rico</x:v>
      </x:c>
      <x:c r="E53" t="str">
        <x:v>AA</x:v>
      </x:c>
      <x:c r="F53" t="str">
        <x:v>HD Seaviewer Drop Camera</x:v>
      </x:c>
      <x:c r="G53" t="str">
        <x:v>AA2017_054</x:v>
      </x:c>
      <x:c r="H53" t="str">
        <x:v>2/2/2017</x:v>
      </x:c>
      <x:c r="I53" t="str">
        <x:v>10:00:35</x:v>
      </x:c>
      <x:c r="J53" t="str">
        <x:v>18.20959388</x:v>
      </x:c>
      <x:c r="K53" t="str">
        <x:v>-65.17091066</x:v>
      </x:c>
      <x:c r="L53" t="str">
        <x:v>2062095.785</x:v>
      </x:c>
      <x:c r="M53" t="str">
        <x:v>-7254792.589</x:v>
      </x:c>
      <x:c r="N53" t="str">
        <x:v>-36.99919891</x:v>
      </x:c>
      <x:c r="O53" t="str">
        <x:v>https://nccospublicstor.blob.core.windows.net/biomapper/usviinsularshelf2017/videos/low/AA2017_054.mp4</x:v>
      </x:c>
      <x:c r="P53" t="str">
        <x:v>Present</x:v>
      </x:c>
      <x:c r="Q53" t="str">
        <x:v>Absent</x:v>
      </x:c>
      <x:c r="R53" t="str">
        <x:v>Absent</x:v>
      </x:c>
      <x:c r="S53" t="str">
        <x:v>Present</x:v>
      </x:c>
      <x:c r="T53" t="str">
        <x:v>Present</x:v>
      </x:c>
      <x:c r="U53" t="str">
        <x:v>Present</x:v>
      </x:c>
      <x:c r="V53" t="str">
        <x:v>Present</x:v>
      </x:c>
      <x:c r="W53" t="str">
        <x:v>Present</x:v>
      </x:c>
      <x:c r="X53" t="str">
        <x:v>Absent</x:v>
      </x:c>
      <x:c r="Y53" t="str">
        <x:v>Absent</x:v>
      </x:c>
      <x:c r="Z53" t="str">
        <x:v>Absent</x:v>
      </x:c>
      <x:c r="AA53" t="str">
        <x:v> </x:v>
      </x:c>
    </x:row>
    <x:row r="54">
      <x:c r="A54" t="str">
        <x:v>52</x:v>
      </x:c>
      <x:c r="B54" t="str">
        <x:v>52</x:v>
      </x:c>
      <x:c r="C54" t="str">
        <x:v>Benthic Habitat Maps for the Insular Shelf South of St. Thomas and St. John</x:v>
      </x:c>
      <x:c r="D54" t="str">
        <x:v>Puerto Rico</x:v>
      </x:c>
      <x:c r="E54" t="str">
        <x:v>AA</x:v>
      </x:c>
      <x:c r="F54" t="str">
        <x:v>HD Seaviewer Drop Camera</x:v>
      </x:c>
      <x:c r="G54" t="str">
        <x:v>AA2017_055</x:v>
      </x:c>
      <x:c r="H54" t="str">
        <x:v>2/2/2017</x:v>
      </x:c>
      <x:c r="I54" t="str">
        <x:v>12:56:17</x:v>
      </x:c>
      <x:c r="J54" t="str">
        <x:v>18.22181874</x:v>
      </x:c>
      <x:c r="K54" t="str">
        <x:v>-65.17008645</x:v>
      </x:c>
      <x:c r="L54" t="str">
        <x:v>2063528.446</x:v>
      </x:c>
      <x:c r="M54" t="str">
        <x:v>-7254700.839</x:v>
      </x:c>
      <x:c r="N54" t="str">
        <x:v>-38.06769943</x:v>
      </x:c>
      <x:c r="O54" t="str">
        <x:v>https://nccospublicstor.blob.core.windows.net/biomapper/usviinsularshelf2017/videos/low/AA2017_055.mp4</x:v>
      </x:c>
      <x:c r="P54" t="str">
        <x:v>Present</x:v>
      </x:c>
      <x:c r="Q54" t="str">
        <x:v>Absent</x:v>
      </x:c>
      <x:c r="R54" t="str">
        <x:v>Absent</x:v>
      </x:c>
      <x:c r="S54" t="str">
        <x:v>Absent</x:v>
      </x:c>
      <x:c r="T54" t="str">
        <x:v>Present</x:v>
      </x:c>
      <x:c r="U54" t="str">
        <x:v>Absent</x:v>
      </x:c>
      <x:c r="V54" t="str">
        <x:v>Present</x:v>
      </x:c>
      <x:c r="W54" t="str">
        <x:v>Absent</x:v>
      </x:c>
      <x:c r="X54" t="str">
        <x:v>Absent</x:v>
      </x:c>
      <x:c r="Y54" t="str">
        <x:v>Absent</x:v>
      </x:c>
      <x:c r="Z54" t="str">
        <x:v>Absent</x:v>
      </x:c>
      <x:c r="AA54" t="str">
        <x:v> </x:v>
      </x:c>
    </x:row>
    <x:row r="55">
      <x:c r="A55" t="str">
        <x:v>53</x:v>
      </x:c>
      <x:c r="B55" t="str">
        <x:v>53</x:v>
      </x:c>
      <x:c r="C55" t="str">
        <x:v>Benthic Habitat Maps for the Insular Shelf South of St. Thomas and St. John</x:v>
      </x:c>
      <x:c r="D55" t="str">
        <x:v>Puerto Rico</x:v>
      </x:c>
      <x:c r="E55" t="str">
        <x:v>AA</x:v>
      </x:c>
      <x:c r="F55" t="str">
        <x:v>HD Seaviewer Drop Camera</x:v>
      </x:c>
      <x:c r="G55" t="str">
        <x:v>AA2017_057</x:v>
      </x:c>
      <x:c r="H55" t="str">
        <x:v>2/2/2017</x:v>
      </x:c>
      <x:c r="I55" t="str">
        <x:v>9:36:48</x:v>
      </x:c>
      <x:c r="J55" t="str">
        <x:v>18.18200846</x:v>
      </x:c>
      <x:c r="K55" t="str">
        <x:v>-65.16211936</x:v>
      </x:c>
      <x:c r="L55" t="str">
        <x:v>2058863.352</x:v>
      </x:c>
      <x:c r="M55" t="str">
        <x:v>-7253813.946</x:v>
      </x:c>
      <x:c r="N55" t="str">
        <x:v>-40.24909973</x:v>
      </x:c>
      <x:c r="O55" t="str">
        <x:v>https://nccospublicstor.blob.core.windows.net/biomapper/usviinsularshelf2017/videos/low/AA2017_057.mp4</x:v>
      </x:c>
      <x:c r="P55" t="str">
        <x:v>Present</x:v>
      </x:c>
      <x:c r="Q55" t="str">
        <x:v>Absent</x:v>
      </x:c>
      <x:c r="R55" t="str">
        <x:v>Absent</x:v>
      </x:c>
      <x:c r="S55" t="str">
        <x:v>Absent</x:v>
      </x:c>
      <x:c r="T55" t="str">
        <x:v>Present</x:v>
      </x:c>
      <x:c r="U55" t="str">
        <x:v>Present</x:v>
      </x:c>
      <x:c r="V55" t="str">
        <x:v>Present</x:v>
      </x:c>
      <x:c r="W55" t="str">
        <x:v>Present</x:v>
      </x:c>
      <x:c r="X55" t="str">
        <x:v>Absent</x:v>
      </x:c>
      <x:c r="Y55" t="str">
        <x:v>Absent</x:v>
      </x:c>
      <x:c r="Z55" t="str">
        <x:v>Absent</x:v>
      </x:c>
      <x:c r="AA55" t="str">
        <x:v> </x:v>
      </x:c>
    </x:row>
    <x:row r="56">
      <x:c r="A56" t="str">
        <x:v>54</x:v>
      </x:c>
      <x:c r="B56" t="str">
        <x:v>54</x:v>
      </x:c>
      <x:c r="C56" t="str">
        <x:v>Benthic Habitat Maps for the Insular Shelf South of St. Thomas and St. John</x:v>
      </x:c>
      <x:c r="D56" t="str">
        <x:v>Puerto Rico</x:v>
      </x:c>
      <x:c r="E56" t="str">
        <x:v>AA</x:v>
      </x:c>
      <x:c r="F56" t="str">
        <x:v>HD Seaviewer Drop Camera</x:v>
      </x:c>
      <x:c r="G56" t="str">
        <x:v>AA2017_058</x:v>
      </x:c>
      <x:c r="H56" t="str">
        <x:v>2/1/2017</x:v>
      </x:c>
      <x:c r="I56" t="str">
        <x:v>12:33:57</x:v>
      </x:c>
      <x:c r="J56" t="str">
        <x:v>18.1708677</x:v>
      </x:c>
      <x:c r="K56" t="str">
        <x:v>-65.15965372</x:v>
      </x:c>
      <x:c r="L56" t="str">
        <x:v>2057558.034</x:v>
      </x:c>
      <x:c r="M56" t="str">
        <x:v>-7253539.472</x:v>
      </x:c>
      <x:c r="N56" t="str">
        <x:v>-47.0625</x:v>
      </x:c>
      <x:c r="O56" t="str">
        <x:v>https://nccospublicstor.blob.core.windows.net/biomapper/usviinsularshelf2017/videos/low/AA2017_058.mp4</x:v>
      </x:c>
      <x:c r="P56" t="str">
        <x:v>Present</x:v>
      </x:c>
      <x:c r="Q56" t="str">
        <x:v>Absent</x:v>
      </x:c>
      <x:c r="R56" t="str">
        <x:v>Present</x:v>
      </x:c>
      <x:c r="S56" t="str">
        <x:v>Present</x:v>
      </x:c>
      <x:c r="T56" t="str">
        <x:v>Present</x:v>
      </x:c>
      <x:c r="U56" t="str">
        <x:v>Absent</x:v>
      </x:c>
      <x:c r="V56" t="str">
        <x:v>Present</x:v>
      </x:c>
      <x:c r="W56" t="str">
        <x:v>Present</x:v>
      </x:c>
      <x:c r="X56" t="str">
        <x:v>Absent</x:v>
      </x:c>
      <x:c r="Y56" t="str">
        <x:v>Absent</x:v>
      </x:c>
      <x:c r="Z56" t="str">
        <x:v>Absent</x:v>
      </x:c>
      <x:c r="AA56" t="str">
        <x:v> </x:v>
      </x:c>
    </x:row>
    <x:row r="57">
      <x:c r="A57" t="str">
        <x:v>55</x:v>
      </x:c>
      <x:c r="B57" t="str">
        <x:v>55</x:v>
      </x:c>
      <x:c r="C57" t="str">
        <x:v>Benthic Habitat Maps for the Insular Shelf South of St. Thomas and St. John</x:v>
      </x:c>
      <x:c r="D57" t="str">
        <x:v>Puerto Rico</x:v>
      </x:c>
      <x:c r="E57" t="str">
        <x:v>AA</x:v>
      </x:c>
      <x:c r="F57" t="str">
        <x:v>HD Seaviewer Drop Camera</x:v>
      </x:c>
      <x:c r="G57" t="str">
        <x:v>AA2017_059</x:v>
      </x:c>
      <x:c r="H57" t="str">
        <x:v>2/2/2017</x:v>
      </x:c>
      <x:c r="I57" t="str">
        <x:v>13:44:27</x:v>
      </x:c>
      <x:c r="J57" t="str">
        <x:v>18.24087282</x:v>
      </x:c>
      <x:c r="K57" t="str">
        <x:v>-65.16122472</x:v>
      </x:c>
      <x:c r="L57" t="str">
        <x:v>2065761.641</x:v>
      </x:c>
      <x:c r="M57" t="str">
        <x:v>-7253714.355</x:v>
      </x:c>
      <x:c r="N57" t="str">
        <x:v>-34.46409988</x:v>
      </x:c>
      <x:c r="O57" t="str">
        <x:v>https://nccospublicstor.blob.core.windows.net/biomapper/usviinsularshelf2017/videos/low/AA2017_059.mp4</x:v>
      </x:c>
      <x:c r="P57" t="str">
        <x:v>Present</x:v>
      </x:c>
      <x:c r="Q57" t="str">
        <x:v>Absent</x:v>
      </x:c>
      <x:c r="R57" t="str">
        <x:v>Absent</x:v>
      </x:c>
      <x:c r="S57" t="str">
        <x:v>Present</x:v>
      </x:c>
      <x:c r="T57" t="str">
        <x:v>Present</x:v>
      </x:c>
      <x:c r="U57" t="str">
        <x:v>Absent</x:v>
      </x:c>
      <x:c r="V57" t="str">
        <x:v>Present</x:v>
      </x:c>
      <x:c r="W57" t="str">
        <x:v>Absent</x:v>
      </x:c>
      <x:c r="X57" t="str">
        <x:v>Absent</x:v>
      </x:c>
      <x:c r="Y57" t="str">
        <x:v>Absent</x:v>
      </x:c>
      <x:c r="Z57" t="str">
        <x:v>Absent</x:v>
      </x:c>
      <x:c r="AA57" t="str">
        <x:v> </x:v>
      </x:c>
    </x:row>
    <x:row r="58">
      <x:c r="A58" t="str">
        <x:v>56</x:v>
      </x:c>
      <x:c r="B58" t="str">
        <x:v>56</x:v>
      </x:c>
      <x:c r="C58" t="str">
        <x:v>Benthic Habitat Maps for the Insular Shelf South of St. Thomas and St. John</x:v>
      </x:c>
      <x:c r="D58" t="str">
        <x:v>Puerto Rico</x:v>
      </x:c>
      <x:c r="E58" t="str">
        <x:v>AA</x:v>
      </x:c>
      <x:c r="F58" t="str">
        <x:v>HD Seaviewer Drop Camera</x:v>
      </x:c>
      <x:c r="G58" t="str">
        <x:v>AA2017_060</x:v>
      </x:c>
      <x:c r="H58" t="str">
        <x:v>2/2/2017</x:v>
      </x:c>
      <x:c r="I58" t="str">
        <x:v>13:07:03</x:v>
      </x:c>
      <x:c r="J58" t="str">
        <x:v>18.21632465</x:v>
      </x:c>
      <x:c r="K58" t="str">
        <x:v>-65.16004563</x:v>
      </x:c>
      <x:c r="L58" t="str">
        <x:v>2062884.568</x:v>
      </x:c>
      <x:c r="M58" t="str">
        <x:v>-7253583.1</x:v>
      </x:c>
      <x:c r="N58" t="str">
        <x:v>-35.2806015</x:v>
      </x:c>
      <x:c r="O58" t="str">
        <x:v>https://nccospublicstor.blob.core.windows.net/biomapper/usviinsularshelf2017/videos/low/AA2017_060.mp4</x:v>
      </x:c>
      <x:c r="P58" t="str">
        <x:v>Present</x:v>
      </x:c>
      <x:c r="Q58" t="str">
        <x:v>Absent</x:v>
      </x:c>
      <x:c r="R58" t="str">
        <x:v>Absent</x:v>
      </x:c>
      <x:c r="S58" t="str">
        <x:v>Absent</x:v>
      </x:c>
      <x:c r="T58" t="str">
        <x:v>Present</x:v>
      </x:c>
      <x:c r="U58" t="str">
        <x:v>Absent</x:v>
      </x:c>
      <x:c r="V58" t="str">
        <x:v>Present</x:v>
      </x:c>
      <x:c r="W58" t="str">
        <x:v>Present</x:v>
      </x:c>
      <x:c r="X58" t="str">
        <x:v>Absent</x:v>
      </x:c>
      <x:c r="Y58" t="str">
        <x:v>Absent</x:v>
      </x:c>
      <x:c r="Z58" t="str">
        <x:v>Absent</x:v>
      </x:c>
      <x:c r="AA58" t="str">
        <x:v>Sand visible on decent</x:v>
      </x:c>
    </x:row>
    <x:row r="59">
      <x:c r="A59" t="str">
        <x:v>57</x:v>
      </x:c>
      <x:c r="B59" t="str">
        <x:v>57</x:v>
      </x:c>
      <x:c r="C59" t="str">
        <x:v>Benthic Habitat Maps for the Insular Shelf South of St. Thomas and St. John</x:v>
      </x:c>
      <x:c r="D59" t="str">
        <x:v>Puerto Rico</x:v>
      </x:c>
      <x:c r="E59" t="str">
        <x:v>AA</x:v>
      </x:c>
      <x:c r="F59" t="str">
        <x:v>HD Seaviewer Drop Camera</x:v>
      </x:c>
      <x:c r="G59" t="str">
        <x:v>AA2017_061</x:v>
      </x:c>
      <x:c r="H59" t="str">
        <x:v>2/1/2017</x:v>
      </x:c>
      <x:c r="I59" t="str">
        <x:v>12:42:46</x:v>
      </x:c>
      <x:c r="J59" t="str">
        <x:v>18.17427942</x:v>
      </x:c>
      <x:c r="K59" t="str">
        <x:v>-65.15899631</x:v>
      </x:c>
      <x:c r="L59" t="str">
        <x:v>2057957.763</x:v>
      </x:c>
      <x:c r="M59" t="str">
        <x:v>-7253466.29</x:v>
      </x:c>
      <x:c r="N59" t="str">
        <x:v>-45.29130173</x:v>
      </x:c>
      <x:c r="O59" t="str">
        <x:v>https://nccospublicstor.blob.core.windows.net/biomapper/usviinsularshelf2017/videos/low/AA2017_061.mp4</x:v>
      </x:c>
      <x:c r="P59" t="str">
        <x:v>Present</x:v>
      </x:c>
      <x:c r="Q59" t="str">
        <x:v>Absent</x:v>
      </x:c>
      <x:c r="R59" t="str">
        <x:v>Absent</x:v>
      </x:c>
      <x:c r="S59" t="str">
        <x:v>Present</x:v>
      </x:c>
      <x:c r="T59" t="str">
        <x:v>Present</x:v>
      </x:c>
      <x:c r="U59" t="str">
        <x:v>Absent</x:v>
      </x:c>
      <x:c r="V59" t="str">
        <x:v>Present</x:v>
      </x:c>
      <x:c r="W59" t="str">
        <x:v>Present</x:v>
      </x:c>
      <x:c r="X59" t="str">
        <x:v>Absent</x:v>
      </x:c>
      <x:c r="Y59" t="str">
        <x:v>Absent</x:v>
      </x:c>
      <x:c r="Z59" t="str">
        <x:v>Absent</x:v>
      </x:c>
      <x:c r="AA59" t="str">
        <x:v> </x:v>
      </x:c>
    </x:row>
    <x:row r="60">
      <x:c r="A60" t="str">
        <x:v>58</x:v>
      </x:c>
      <x:c r="B60" t="str">
        <x:v>58</x:v>
      </x:c>
      <x:c r="C60" t="str">
        <x:v>Benthic Habitat Maps for the Insular Shelf South of St. Thomas and St. John</x:v>
      </x:c>
      <x:c r="D60" t="str">
        <x:v>Puerto Rico</x:v>
      </x:c>
      <x:c r="E60" t="str">
        <x:v>AA</x:v>
      </x:c>
      <x:c r="F60" t="str">
        <x:v>HD Seaviewer Drop Camera</x:v>
      </x:c>
      <x:c r="G60" t="str">
        <x:v>AA2017_062</x:v>
      </x:c>
      <x:c r="H60" t="str">
        <x:v>2/2/2017</x:v>
      </x:c>
      <x:c r="I60" t="str">
        <x:v>9:08:09</x:v>
      </x:c>
      <x:c r="J60" t="str">
        <x:v>18.19540323</x:v>
      </x:c>
      <x:c r="K60" t="str">
        <x:v>-65.1575891</x:v>
      </x:c>
      <x:c r="L60" t="str">
        <x:v>2060432.875</x:v>
      </x:c>
      <x:c r="M60" t="str">
        <x:v>-7253309.64</x:v>
      </x:c>
      <x:c r="N60" t="str">
        <x:v>-42.37889862</x:v>
      </x:c>
      <x:c r="O60" t="str">
        <x:v>https://nccospublicstor.blob.core.windows.net/biomapper/usviinsularshelf2017/videos/low/AA2017_062.mp4</x:v>
      </x:c>
      <x:c r="P60" t="str">
        <x:v>Present</x:v>
      </x:c>
      <x:c r="Q60" t="str">
        <x:v>Absent</x:v>
      </x:c>
      <x:c r="R60" t="str">
        <x:v>Absent</x:v>
      </x:c>
      <x:c r="S60" t="str">
        <x:v>Absent</x:v>
      </x:c>
      <x:c r="T60" t="str">
        <x:v>Present</x:v>
      </x:c>
      <x:c r="U60" t="str">
        <x:v>Absent</x:v>
      </x:c>
      <x:c r="V60" t="str">
        <x:v>Present</x:v>
      </x:c>
      <x:c r="W60" t="str">
        <x:v>Present</x:v>
      </x:c>
      <x:c r="X60" t="str">
        <x:v>Absent</x:v>
      </x:c>
      <x:c r="Y60" t="str">
        <x:v>Absent</x:v>
      </x:c>
      <x:c r="Z60" t="str">
        <x:v>Absent</x:v>
      </x:c>
      <x:c r="AA60" t="str">
        <x:v> </x:v>
      </x:c>
    </x:row>
    <x:row r="61">
      <x:c r="A61" t="str">
        <x:v>59</x:v>
      </x:c>
      <x:c r="B61" t="str">
        <x:v>59</x:v>
      </x:c>
      <x:c r="C61" t="str">
        <x:v>Benthic Habitat Maps for the Insular Shelf South of St. Thomas and St. John</x:v>
      </x:c>
      <x:c r="D61" t="str">
        <x:v>Puerto Rico</x:v>
      </x:c>
      <x:c r="E61" t="str">
        <x:v>AA</x:v>
      </x:c>
      <x:c r="F61" t="str">
        <x:v>HD Seaviewer Drop Camera</x:v>
      </x:c>
      <x:c r="G61" t="str">
        <x:v>AA2017_063</x:v>
      </x:c>
      <x:c r="H61" t="str">
        <x:v>2/2/2017</x:v>
      </x:c>
      <x:c r="I61" t="str">
        <x:v>13:35:31</x:v>
      </x:c>
      <x:c r="J61" t="str">
        <x:v>18.22752069</x:v>
      </x:c>
      <x:c r="K61" t="str">
        <x:v>-65.15711627</x:v>
      </x:c>
      <x:c r="L61" t="str">
        <x:v>2064196.706</x:v>
      </x:c>
      <x:c r="M61" t="str">
        <x:v>-7253257.005</x:v>
      </x:c>
      <x:c r="N61" t="str">
        <x:v>-36.00939941</x:v>
      </x:c>
      <x:c r="O61" t="str">
        <x:v>https://nccospublicstor.blob.core.windows.net/biomapper/usviinsularshelf2017/videos/low/AA2017_063.mp4</x:v>
      </x:c>
      <x:c r="P61" t="str">
        <x:v>Present</x:v>
      </x:c>
      <x:c r="Q61" t="str">
        <x:v>Absent</x:v>
      </x:c>
      <x:c r="R61" t="str">
        <x:v>Absent</x:v>
      </x:c>
      <x:c r="S61" t="str">
        <x:v>Absent</x:v>
      </x:c>
      <x:c r="T61" t="str">
        <x:v>Present</x:v>
      </x:c>
      <x:c r="U61" t="str">
        <x:v>Absent</x:v>
      </x:c>
      <x:c r="V61" t="str">
        <x:v>Present</x:v>
      </x:c>
      <x:c r="W61" t="str">
        <x:v>Absent</x:v>
      </x:c>
      <x:c r="X61" t="str">
        <x:v>Absent</x:v>
      </x:c>
      <x:c r="Y61" t="str">
        <x:v>Absent</x:v>
      </x:c>
      <x:c r="Z61" t="str">
        <x:v>Absent</x:v>
      </x:c>
      <x:c r="AA61" t="str">
        <x:v> </x:v>
      </x:c>
    </x:row>
    <x:row r="62">
      <x:c r="A62" t="str">
        <x:v>60</x:v>
      </x:c>
      <x:c r="B62" t="str">
        <x:v>60</x:v>
      </x:c>
      <x:c r="C62" t="str">
        <x:v>Benthic Habitat Maps for the Insular Shelf South of St. Thomas and St. John</x:v>
      </x:c>
      <x:c r="D62" t="str">
        <x:v>Puerto Rico</x:v>
      </x:c>
      <x:c r="E62" t="str">
        <x:v>AA</x:v>
      </x:c>
      <x:c r="F62" t="str">
        <x:v>HD Seaviewer Drop Camera</x:v>
      </x:c>
      <x:c r="G62" t="str">
        <x:v>AA2017_064</x:v>
      </x:c>
      <x:c r="H62" t="str">
        <x:v>2/1/2017</x:v>
      </x:c>
      <x:c r="I62" t="str">
        <x:v>12:23:50</x:v>
      </x:c>
      <x:c r="J62" t="str">
        <x:v>18.17256266</x:v>
      </x:c>
      <x:c r="K62" t="str">
        <x:v>-65.15258379</x:v>
      </x:c>
      <x:c r="L62" t="str">
        <x:v>2057756.62</x:v>
      </x:c>
      <x:c r="M62" t="str">
        <x:v>-7252752.451</x:v>
      </x:c>
      <x:c r="N62" t="str">
        <x:v>-45.06380081</x:v>
      </x:c>
      <x:c r="O62" t="str">
        <x:v>https://nccospublicstor.blob.core.windows.net/biomapper/usviinsularshelf2017/videos/low/AA2017_064.mp4</x:v>
      </x:c>
      <x:c r="P62" t="str">
        <x:v>Present</x:v>
      </x:c>
      <x:c r="Q62" t="str">
        <x:v>Absent</x:v>
      </x:c>
      <x:c r="R62" t="str">
        <x:v>Absent</x:v>
      </x:c>
      <x:c r="S62" t="str">
        <x:v>Present</x:v>
      </x:c>
      <x:c r="T62" t="str">
        <x:v>Present</x:v>
      </x:c>
      <x:c r="U62" t="str">
        <x:v>Absent</x:v>
      </x:c>
      <x:c r="V62" t="str">
        <x:v>Present</x:v>
      </x:c>
      <x:c r="W62" t="str">
        <x:v>Absent</x:v>
      </x:c>
      <x:c r="X62" t="str">
        <x:v>Absent</x:v>
      </x:c>
      <x:c r="Y62" t="str">
        <x:v>Absent</x:v>
      </x:c>
      <x:c r="Z62" t="str">
        <x:v>Absent</x:v>
      </x:c>
      <x:c r="AA62" t="str">
        <x:v> </x:v>
      </x:c>
    </x:row>
    <x:row r="63">
      <x:c r="A63" t="str">
        <x:v>61</x:v>
      </x:c>
      <x:c r="B63" t="str">
        <x:v>61</x:v>
      </x:c>
      <x:c r="C63" t="str">
        <x:v>Benthic Habitat Maps for the Insular Shelf South of St. Thomas and St. John</x:v>
      </x:c>
      <x:c r="D63" t="str">
        <x:v>Puerto Rico</x:v>
      </x:c>
      <x:c r="E63" t="str">
        <x:v>AA</x:v>
      </x:c>
      <x:c r="F63" t="str">
        <x:v>HD Seaviewer Drop Camera</x:v>
      </x:c>
      <x:c r="G63" t="str">
        <x:v>AA2017_065</x:v>
      </x:c>
      <x:c r="H63" t="str">
        <x:v>2/2/2017</x:v>
      </x:c>
      <x:c r="I63" t="str">
        <x:v>8:57:19</x:v>
      </x:c>
      <x:c r="J63" t="str">
        <x:v>18.20996105</x:v>
      </x:c>
      <x:c r="K63" t="str">
        <x:v>-65.15200011</x:v>
      </x:c>
      <x:c r="L63" t="str">
        <x:v>2062138.813</x:v>
      </x:c>
      <x:c r="M63" t="str">
        <x:v>-7252687.476</x:v>
      </x:c>
      <x:c r="N63" t="str">
        <x:v>-39.13180161</x:v>
      </x:c>
      <x:c r="O63" t="str">
        <x:v>https://nccospublicstor.blob.core.windows.net/biomapper/usviinsularshelf2017/videos/low/AA2017_065.mp4</x:v>
      </x:c>
      <x:c r="P63" t="str">
        <x:v>Present</x:v>
      </x:c>
      <x:c r="Q63" t="str">
        <x:v>Absent</x:v>
      </x:c>
      <x:c r="R63" t="str">
        <x:v>Absent</x:v>
      </x:c>
      <x:c r="S63" t="str">
        <x:v>Absent</x:v>
      </x:c>
      <x:c r="T63" t="str">
        <x:v>Present</x:v>
      </x:c>
      <x:c r="U63" t="str">
        <x:v>Absent</x:v>
      </x:c>
      <x:c r="V63" t="str">
        <x:v>Present</x:v>
      </x:c>
      <x:c r="W63" t="str">
        <x:v>Present</x:v>
      </x:c>
      <x:c r="X63" t="str">
        <x:v>Absent</x:v>
      </x:c>
      <x:c r="Y63" t="str">
        <x:v>Absent</x:v>
      </x:c>
      <x:c r="Z63" t="str">
        <x:v>Absent</x:v>
      </x:c>
      <x:c r="AA63" t="str">
        <x:v> </x:v>
      </x:c>
    </x:row>
    <x:row r="64">
      <x:c r="A64" t="str">
        <x:v>62</x:v>
      </x:c>
      <x:c r="B64" t="str">
        <x:v>62</x:v>
      </x:c>
      <x:c r="C64" t="str">
        <x:v>Benthic Habitat Maps for the Insular Shelf South of St. Thomas and St. John</x:v>
      </x:c>
      <x:c r="D64" t="str">
        <x:v>Puerto Rico</x:v>
      </x:c>
      <x:c r="E64" t="str">
        <x:v>AA</x:v>
      </x:c>
      <x:c r="F64" t="str">
        <x:v>HD Seaviewer Drop Camera</x:v>
      </x:c>
      <x:c r="G64" t="str">
        <x:v>AA2017_066</x:v>
      </x:c>
      <x:c r="H64" t="str">
        <x:v>2/2/2017</x:v>
      </x:c>
      <x:c r="I64" t="str">
        <x:v>9:28:47</x:v>
      </x:c>
      <x:c r="J64" t="str">
        <x:v>18.18110965</x:v>
      </x:c>
      <x:c r="K64" t="str">
        <x:v>-65.15141448</x:v>
      </x:c>
      <x:c r="L64" t="str">
        <x:v>2058758.039</x:v>
      </x:c>
      <x:c r="M64" t="str">
        <x:v>-7252622.284</x:v>
      </x:c>
      <x:c r="N64" t="str">
        <x:v>-45.29499817</x:v>
      </x:c>
      <x:c r="O64" t="str">
        <x:v>https://nccospublicstor.blob.core.windows.net/biomapper/usviinsularshelf2017/videos/low/AA2017_066.mp4</x:v>
      </x:c>
      <x:c r="P64" t="str">
        <x:v>Present</x:v>
      </x:c>
      <x:c r="Q64" t="str">
        <x:v>Absent</x:v>
      </x:c>
      <x:c r="R64" t="str">
        <x:v>Absent</x:v>
      </x:c>
      <x:c r="S64" t="str">
        <x:v>Absent</x:v>
      </x:c>
      <x:c r="T64" t="str">
        <x:v>Present</x:v>
      </x:c>
      <x:c r="U64" t="str">
        <x:v>Absent</x:v>
      </x:c>
      <x:c r="V64" t="str">
        <x:v>Present</x:v>
      </x:c>
      <x:c r="W64" t="str">
        <x:v>Present</x:v>
      </x:c>
      <x:c r="X64" t="str">
        <x:v>Absent</x:v>
      </x:c>
      <x:c r="Y64" t="str">
        <x:v>Absent</x:v>
      </x:c>
      <x:c r="Z64" t="str">
        <x:v>Absent</x:v>
      </x:c>
      <x:c r="AA64" t="str">
        <x:v> </x:v>
      </x:c>
    </x:row>
    <x:row r="65">
      <x:c r="A65" t="str">
        <x:v>63</x:v>
      </x:c>
      <x:c r="B65" t="str">
        <x:v>63</x:v>
      </x:c>
      <x:c r="C65" t="str">
        <x:v>Benthic Habitat Maps for the Insular Shelf South of St. Thomas and St. John</x:v>
      </x:c>
      <x:c r="D65" t="str">
        <x:v>Puerto Rico</x:v>
      </x:c>
      <x:c r="E65" t="str">
        <x:v>AA</x:v>
      </x:c>
      <x:c r="F65" t="str">
        <x:v>HD Seaviewer Drop Camera</x:v>
      </x:c>
      <x:c r="G65" t="str">
        <x:v>AA2017_067</x:v>
      </x:c>
      <x:c r="H65" t="str">
        <x:v>2/2/2017</x:v>
      </x:c>
      <x:c r="I65" t="str">
        <x:v>13:28:54</x:v>
      </x:c>
      <x:c r="J65" t="str">
        <x:v>18.22907836</x:v>
      </x:c>
      <x:c r="K65" t="str">
        <x:v>-65.15181224</x:v>
      </x:c>
      <x:c r="L65" t="str">
        <x:v>2064379.266</x:v>
      </x:c>
      <x:c r="M65" t="str">
        <x:v>-7252666.563</x:v>
      </x:c>
      <x:c r="N65" t="str">
        <x:v>-37.1332016</x:v>
      </x:c>
      <x:c r="O65" t="str">
        <x:v>https://nccospublicstor.blob.core.windows.net/biomapper/usviinsularshelf2017/videos/low/AA2017_067.mp4</x:v>
      </x:c>
      <x:c r="P65" t="str">
        <x:v>Present</x:v>
      </x:c>
      <x:c r="Q65" t="str">
        <x:v>Absent</x:v>
      </x:c>
      <x:c r="R65" t="str">
        <x:v>Absent</x:v>
      </x:c>
      <x:c r="S65" t="str">
        <x:v>Present</x:v>
      </x:c>
      <x:c r="T65" t="str">
        <x:v>Present</x:v>
      </x:c>
      <x:c r="U65" t="str">
        <x:v>Absent</x:v>
      </x:c>
      <x:c r="V65" t="str">
        <x:v>Present</x:v>
      </x:c>
      <x:c r="W65" t="str">
        <x:v>Present</x:v>
      </x:c>
      <x:c r="X65" t="str">
        <x:v>Absent</x:v>
      </x:c>
      <x:c r="Y65" t="str">
        <x:v>Absent</x:v>
      </x:c>
      <x:c r="Z65" t="str">
        <x:v>Absent</x:v>
      </x:c>
      <x:c r="AA65" t="str">
        <x:v>large Porites porites</x:v>
      </x:c>
    </x:row>
    <x:row r="66">
      <x:c r="A66" t="str">
        <x:v>64</x:v>
      </x:c>
      <x:c r="B66" t="str">
        <x:v>64</x:v>
      </x:c>
      <x:c r="C66" t="str">
        <x:v>Benthic Habitat Maps for the Insular Shelf South of St. Thomas and St. John</x:v>
      </x:c>
      <x:c r="D66" t="str">
        <x:v>Puerto Rico</x:v>
      </x:c>
      <x:c r="E66" t="str">
        <x:v>AA</x:v>
      </x:c>
      <x:c r="F66" t="str">
        <x:v>HD Seaviewer Drop Camera</x:v>
      </x:c>
      <x:c r="G66" t="str">
        <x:v>AA2017_068</x:v>
      </x:c>
      <x:c r="H66" t="str">
        <x:v>2/2/2017</x:v>
      </x:c>
      <x:c r="I66" t="str">
        <x:v>9:19:27</x:v>
      </x:c>
      <x:c r="J66" t="str">
        <x:v>18.18648988</x:v>
      </x:c>
      <x:c r="K66" t="str">
        <x:v>-65.14970653</x:v>
      </x:c>
      <x:c r="L66" t="str">
        <x:v>2059388.446</x:v>
      </x:c>
      <x:c r="M66" t="str">
        <x:v>-7252432.156</x:v>
      </x:c>
      <x:c r="N66" t="str">
        <x:v>-37.24010086</x:v>
      </x:c>
      <x:c r="O66" t="str">
        <x:v>https://nccospublicstor.blob.core.windows.net/biomapper/usviinsularshelf2017/videos/low/AA2017_068.mp4</x:v>
      </x:c>
      <x:c r="P66" t="str">
        <x:v>Present</x:v>
      </x:c>
      <x:c r="Q66" t="str">
        <x:v>Absent</x:v>
      </x:c>
      <x:c r="R66" t="str">
        <x:v>Absent</x:v>
      </x:c>
      <x:c r="S66" t="str">
        <x:v>Absent</x:v>
      </x:c>
      <x:c r="T66" t="str">
        <x:v>Present</x:v>
      </x:c>
      <x:c r="U66" t="str">
        <x:v>Present</x:v>
      </x:c>
      <x:c r="V66" t="str">
        <x:v>Present</x:v>
      </x:c>
      <x:c r="W66" t="str">
        <x:v>Present</x:v>
      </x:c>
      <x:c r="X66" t="str">
        <x:v>Absent</x:v>
      </x:c>
      <x:c r="Y66" t="str">
        <x:v>Absent</x:v>
      </x:c>
      <x:c r="Z66" t="str">
        <x:v>Absent</x:v>
      </x:c>
      <x:c r="AA66" t="str">
        <x:v> </x:v>
      </x:c>
    </x:row>
    <x:row r="67">
      <x:c r="A67" t="str">
        <x:v>65</x:v>
      </x:c>
      <x:c r="B67" t="str">
        <x:v>65</x:v>
      </x:c>
      <x:c r="C67" t="str">
        <x:v>Benthic Habitat Maps for the Insular Shelf South of St. Thomas and St. John</x:v>
      </x:c>
      <x:c r="D67" t="str">
        <x:v>Puerto Rico</x:v>
      </x:c>
      <x:c r="E67" t="str">
        <x:v>AA</x:v>
      </x:c>
      <x:c r="F67" t="str">
        <x:v>HD Seaviewer Drop Camera</x:v>
      </x:c>
      <x:c r="G67" t="str">
        <x:v>AA2017_069</x:v>
      </x:c>
      <x:c r="H67" t="str">
        <x:v>2/1/2017</x:v>
      </x:c>
      <x:c r="I67" t="str">
        <x:v>12:15:41</x:v>
      </x:c>
      <x:c r="J67" t="str">
        <x:v>18.17389589</x:v>
      </x:c>
      <x:c r="K67" t="str">
        <x:v>-65.14510105</x:v>
      </x:c>
      <x:c r="L67" t="str">
        <x:v>2057912.827</x:v>
      </x:c>
      <x:c r="M67" t="str">
        <x:v>-7251919.477</x:v>
      </x:c>
      <x:c r="N67" t="str">
        <x:v>-41.47000122</x:v>
      </x:c>
      <x:c r="O67" t="str">
        <x:v>https://nccospublicstor.blob.core.windows.net/biomapper/usviinsularshelf2017/videos/low/AA2017_069.mp4</x:v>
      </x:c>
      <x:c r="P67" t="str">
        <x:v>Present</x:v>
      </x:c>
      <x:c r="Q67" t="str">
        <x:v>Absent</x:v>
      </x:c>
      <x:c r="R67" t="str">
        <x:v>Absent</x:v>
      </x:c>
      <x:c r="S67" t="str">
        <x:v>Absent</x:v>
      </x:c>
      <x:c r="T67" t="str">
        <x:v>Present</x:v>
      </x:c>
      <x:c r="U67" t="str">
        <x:v>Absent</x:v>
      </x:c>
      <x:c r="V67" t="str">
        <x:v>Present</x:v>
      </x:c>
      <x:c r="W67" t="str">
        <x:v>Present</x:v>
      </x:c>
      <x:c r="X67" t="str">
        <x:v>Absent</x:v>
      </x:c>
      <x:c r="Y67" t="str">
        <x:v>Absent</x:v>
      </x:c>
      <x:c r="Z67" t="str">
        <x:v>Absent</x:v>
      </x:c>
      <x:c r="AA67" t="str">
        <x:v> </x:v>
      </x:c>
    </x:row>
    <x:row r="68">
      <x:c r="A68" t="str">
        <x:v>66</x:v>
      </x:c>
      <x:c r="B68" t="str">
        <x:v>66</x:v>
      </x:c>
      <x:c r="C68" t="str">
        <x:v>Benthic Habitat Maps for the Insular Shelf South of St. Thomas and St. John</x:v>
      </x:c>
      <x:c r="D68" t="str">
        <x:v>Puerto Rico</x:v>
      </x:c>
      <x:c r="E68" t="str">
        <x:v>AA</x:v>
      </x:c>
      <x:c r="F68" t="str">
        <x:v>HD Seaviewer Drop Camera</x:v>
      </x:c>
      <x:c r="G68" t="str">
        <x:v>AA2017_071</x:v>
      </x:c>
      <x:c r="H68" t="str">
        <x:v>2/1/2017</x:v>
      </x:c>
      <x:c r="I68" t="str">
        <x:v>12:06:50</x:v>
      </x:c>
      <x:c r="J68" t="str">
        <x:v>18.17965653</x:v>
      </x:c>
      <x:c r="K68" t="str">
        <x:v>-65.14406848</x:v>
      </x:c>
      <x:c r="L68" t="str">
        <x:v>2058587.779</x:v>
      </x:c>
      <x:c r="M68" t="str">
        <x:v>-7251804.531</x:v>
      </x:c>
      <x:c r="N68" t="str">
        <x:v>-44.99629974</x:v>
      </x:c>
      <x:c r="O68" t="str">
        <x:v>https://nccospublicstor.blob.core.windows.net/biomapper/usviinsularshelf2017/videos/low/AA2017_071.mp4</x:v>
      </x:c>
      <x:c r="P68" t="str">
        <x:v>Present</x:v>
      </x:c>
      <x:c r="Q68" t="str">
        <x:v>Absent</x:v>
      </x:c>
      <x:c r="R68" t="str">
        <x:v>Absent</x:v>
      </x:c>
      <x:c r="S68" t="str">
        <x:v>Present</x:v>
      </x:c>
      <x:c r="T68" t="str">
        <x:v>Present</x:v>
      </x:c>
      <x:c r="U68" t="str">
        <x:v>Absent</x:v>
      </x:c>
      <x:c r="V68" t="str">
        <x:v>Present</x:v>
      </x:c>
      <x:c r="W68" t="str">
        <x:v>Absent</x:v>
      </x:c>
      <x:c r="X68" t="str">
        <x:v>Absent</x:v>
      </x:c>
      <x:c r="Y68" t="str">
        <x:v>Absent</x:v>
      </x:c>
      <x:c r="Z68" t="str">
        <x:v>Absent</x:v>
      </x:c>
      <x:c r="AA68" t="str">
        <x:v>great barracuda</x:v>
      </x:c>
    </x:row>
    <x:row r="69">
      <x:c r="A69" t="str">
        <x:v>67</x:v>
      </x:c>
      <x:c r="B69" t="str">
        <x:v>67</x:v>
      </x:c>
      <x:c r="C69" t="str">
        <x:v>Benthic Habitat Maps for the Insular Shelf South of St. Thomas and St. John</x:v>
      </x:c>
      <x:c r="D69" t="str">
        <x:v>Puerto Rico</x:v>
      </x:c>
      <x:c r="E69" t="str">
        <x:v>AA</x:v>
      </x:c>
      <x:c r="F69" t="str">
        <x:v>HD Seaviewer Drop Camera</x:v>
      </x:c>
      <x:c r="G69" t="str">
        <x:v>AA2017_072</x:v>
      </x:c>
      <x:c r="H69" t="str">
        <x:v>2/2/2017</x:v>
      </x:c>
      <x:c r="I69" t="str">
        <x:v>8:48:21</x:v>
      </x:c>
      <x:c r="J69" t="str">
        <x:v>18.2109251</x:v>
      </x:c>
      <x:c r="K69" t="str">
        <x:v>-65.14325</x:v>
      </x:c>
      <x:c r="L69" t="str">
        <x:v>2062251.789</x:v>
      </x:c>
      <x:c r="M69" t="str">
        <x:v>-7251713.419</x:v>
      </x:c>
      <x:c r="N69" t="str">
        <x:v>-40.93809891</x:v>
      </x:c>
      <x:c r="O69" t="str">
        <x:v>https://nccospublicstor.blob.core.windows.net/biomapper/usviinsularshelf2017/videos/low/AA2017_072.mp4</x:v>
      </x:c>
      <x:c r="P69" t="str">
        <x:v>Absent</x:v>
      </x:c>
      <x:c r="Q69" t="str">
        <x:v>Present</x:v>
      </x:c>
      <x:c r="R69" t="str">
        <x:v>Present</x:v>
      </x:c>
      <x:c r="S69" t="str">
        <x:v>Present</x:v>
      </x:c>
      <x:c r="T69" t="str">
        <x:v>Absent</x:v>
      </x:c>
      <x:c r="U69" t="str">
        <x:v>Absent</x:v>
      </x:c>
      <x:c r="V69" t="str">
        <x:v>Absent</x:v>
      </x:c>
      <x:c r="W69" t="str">
        <x:v>Present</x:v>
      </x:c>
      <x:c r="X69" t="str">
        <x:v>Absent</x:v>
      </x:c>
      <x:c r="Y69" t="str">
        <x:v>Absent</x:v>
      </x:c>
      <x:c r="Z69" t="str">
        <x:v>Absent</x:v>
      </x:c>
      <x:c r="AA69" t="str">
        <x:v> </x:v>
      </x:c>
    </x:row>
    <x:row r="70">
      <x:c r="A70" t="str">
        <x:v>68</x:v>
      </x:c>
      <x:c r="B70" t="str">
        <x:v>68</x:v>
      </x:c>
      <x:c r="C70" t="str">
        <x:v>Benthic Habitat Maps for the Insular Shelf South of St. Thomas and St. John</x:v>
      </x:c>
      <x:c r="D70" t="str">
        <x:v>Puerto Rico</x:v>
      </x:c>
      <x:c r="E70" t="str">
        <x:v>AA</x:v>
      </x:c>
      <x:c r="F70" t="str">
        <x:v>HD Seaviewer Drop Camera</x:v>
      </x:c>
      <x:c r="G70" t="str">
        <x:v>AA2017_073</x:v>
      </x:c>
      <x:c r="H70" t="str">
        <x:v>2/2/2017</x:v>
      </x:c>
      <x:c r="I70" t="str">
        <x:v>13:20:18</x:v>
      </x:c>
      <x:c r="J70" t="str">
        <x:v>18.23199146</x:v>
      </x:c>
      <x:c r="K70" t="str">
        <x:v>-65.14203332</x:v>
      </x:c>
      <x:c r="L70" t="str">
        <x:v>2064720.689</x:v>
      </x:c>
      <x:c r="M70" t="str">
        <x:v>-7251577.978</x:v>
      </x:c>
      <x:c r="N70" t="str">
        <x:v>-31.50589943</x:v>
      </x:c>
      <x:c r="O70" t="str">
        <x:v>https://nccospublicstor.blob.core.windows.net/biomapper/usviinsularshelf2017/videos/low/AA2017_073.mp4</x:v>
      </x:c>
      <x:c r="P70" t="str">
        <x:v>Present</x:v>
      </x:c>
      <x:c r="Q70" t="str">
        <x:v>Absent</x:v>
      </x:c>
      <x:c r="R70" t="str">
        <x:v>Absent</x:v>
      </x:c>
      <x:c r="S70" t="str">
        <x:v>Absent</x:v>
      </x:c>
      <x:c r="T70" t="str">
        <x:v>Present</x:v>
      </x:c>
      <x:c r="U70" t="str">
        <x:v>Present</x:v>
      </x:c>
      <x:c r="V70" t="str">
        <x:v>Present</x:v>
      </x:c>
      <x:c r="W70" t="str">
        <x:v>Present</x:v>
      </x:c>
      <x:c r="X70" t="str">
        <x:v>Absent</x:v>
      </x:c>
      <x:c r="Y70" t="str">
        <x:v>Absent</x:v>
      </x:c>
      <x:c r="Z70" t="str">
        <x:v>Absent</x:v>
      </x:c>
      <x:c r="AA70" t="str">
        <x:v> </x:v>
      </x:c>
    </x:row>
    <x:row r="71">
      <x:c r="A71" t="str">
        <x:v>69</x:v>
      </x:c>
      <x:c r="B71" t="str">
        <x:v>69</x:v>
      </x:c>
      <x:c r="C71" t="str">
        <x:v>Benthic Habitat Maps for the Insular Shelf South of St. Thomas and St. John</x:v>
      </x:c>
      <x:c r="D71" t="str">
        <x:v>Puerto Rico</x:v>
      </x:c>
      <x:c r="E71" t="str">
        <x:v>AA</x:v>
      </x:c>
      <x:c r="F71" t="str">
        <x:v>HD Seaviewer Drop Camera</x:v>
      </x:c>
      <x:c r="G71" t="str">
        <x:v>AA2017_074</x:v>
      </x:c>
      <x:c r="H71" t="str">
        <x:v>2/2/2017</x:v>
      </x:c>
      <x:c r="I71" t="str">
        <x:v>8:15:38</x:v>
      </x:c>
      <x:c r="J71" t="str">
        <x:v>18.21569861</x:v>
      </x:c>
      <x:c r="K71" t="str">
        <x:v>-65.14057967</x:v>
      </x:c>
      <x:c r="L71" t="str">
        <x:v>2062811.201</x:v>
      </x:c>
      <x:c r="M71" t="str">
        <x:v>-7251416.159</x:v>
      </x:c>
      <x:c r="N71" t="str">
        <x:v>-40.62760162</x:v>
      </x:c>
      <x:c r="O71" t="str">
        <x:v>https://nccospublicstor.blob.core.windows.net/biomapper/usviinsularshelf2017/videos/low/AA2017_074.mp4</x:v>
      </x:c>
      <x:c r="P71" t="str">
        <x:v>Present</x:v>
      </x:c>
      <x:c r="Q71" t="str">
        <x:v>Absent</x:v>
      </x:c>
      <x:c r="R71" t="str">
        <x:v>Absent</x:v>
      </x:c>
      <x:c r="S71" t="str">
        <x:v>Present</x:v>
      </x:c>
      <x:c r="T71" t="str">
        <x:v>Present</x:v>
      </x:c>
      <x:c r="U71" t="str">
        <x:v>Absent</x:v>
      </x:c>
      <x:c r="V71" t="str">
        <x:v>Absent</x:v>
      </x:c>
      <x:c r="W71" t="str">
        <x:v>Absent</x:v>
      </x:c>
      <x:c r="X71" t="str">
        <x:v>Absent</x:v>
      </x:c>
      <x:c r="Y71" t="str">
        <x:v>Absent</x:v>
      </x:c>
      <x:c r="Z71" t="str">
        <x:v>Absent</x:v>
      </x:c>
      <x:c r="AA71" t="str">
        <x:v> </x:v>
      </x:c>
    </x:row>
    <x:row r="72">
      <x:c r="A72" t="str">
        <x:v>70</x:v>
      </x:c>
      <x:c r="B72" t="str">
        <x:v>70</x:v>
      </x:c>
      <x:c r="C72" t="str">
        <x:v>Benthic Habitat Maps for the Insular Shelf South of St. Thomas and St. John</x:v>
      </x:c>
      <x:c r="D72" t="str">
        <x:v>Puerto Rico</x:v>
      </x:c>
      <x:c r="E72" t="str">
        <x:v>AA</x:v>
      </x:c>
      <x:c r="F72" t="str">
        <x:v>HD Seaviewer Drop Camera</x:v>
      </x:c>
      <x:c r="G72" t="str">
        <x:v>AA2017_075</x:v>
      </x:c>
      <x:c r="H72" t="str">
        <x:v>2/1/2017</x:v>
      </x:c>
      <x:c r="I72" t="str">
        <x:v>11:52:13</x:v>
      </x:c>
      <x:c r="J72" t="str">
        <x:v>18.17862086</x:v>
      </x:c>
      <x:c r="K72" t="str">
        <x:v>-65.13925064</x:v>
      </x:c>
      <x:c r="L72" t="str">
        <x:v>2058466.432</x:v>
      </x:c>
      <x:c r="M72" t="str">
        <x:v>-7251268.212</x:v>
      </x:c>
      <x:c r="N72" t="str">
        <x:v>-38.20859909</x:v>
      </x:c>
      <x:c r="O72" t="str">
        <x:v>https://nccospublicstor.blob.core.windows.net/biomapper/usviinsularshelf2017/videos/low/AA2017_075.mp4</x:v>
      </x:c>
      <x:c r="P72" t="str">
        <x:v>Present</x:v>
      </x:c>
      <x:c r="Q72" t="str">
        <x:v>Absent</x:v>
      </x:c>
      <x:c r="R72" t="str">
        <x:v>Absent</x:v>
      </x:c>
      <x:c r="S72" t="str">
        <x:v>Absent</x:v>
      </x:c>
      <x:c r="T72" t="str">
        <x:v>Present</x:v>
      </x:c>
      <x:c r="U72" t="str">
        <x:v>Absent</x:v>
      </x:c>
      <x:c r="V72" t="str">
        <x:v>Present</x:v>
      </x:c>
      <x:c r="W72" t="str">
        <x:v>Absent</x:v>
      </x:c>
      <x:c r="X72" t="str">
        <x:v>Absent</x:v>
      </x:c>
      <x:c r="Y72" t="str">
        <x:v>Absent</x:v>
      </x:c>
      <x:c r="Z72" t="str">
        <x:v>Absent</x:v>
      </x:c>
      <x:c r="AA72" t="str">
        <x:v>20-30% live hard coral cover</x:v>
      </x:c>
    </x:row>
    <x:row r="73">
      <x:c r="A73" t="str">
        <x:v>71</x:v>
      </x:c>
      <x:c r="B73" t="str">
        <x:v>71</x:v>
      </x:c>
      <x:c r="C73" t="str">
        <x:v>Benthic Habitat Maps for the Insular Shelf South of St. Thomas and St. John</x:v>
      </x:c>
      <x:c r="D73" t="str">
        <x:v>Puerto Rico</x:v>
      </x:c>
      <x:c r="E73" t="str">
        <x:v>AA</x:v>
      </x:c>
      <x:c r="F73" t="str">
        <x:v>HD Seaviewer Drop Camera</x:v>
      </x:c>
      <x:c r="G73" t="str">
        <x:v>AA2017_076</x:v>
      </x:c>
      <x:c r="H73" t="str">
        <x:v>2/1/2017</x:v>
      </x:c>
      <x:c r="I73" t="str">
        <x:v>11:43:29</x:v>
      </x:c>
      <x:c r="J73" t="str">
        <x:v>18.18439393</x:v>
      </x:c>
      <x:c r="K73" t="str">
        <x:v>-65.13745294</x:v>
      </x:c>
      <x:c r="L73" t="str">
        <x:v>2059142.859</x:v>
      </x:c>
      <x:c r="M73" t="str">
        <x:v>-7251068.093</x:v>
      </x:c>
      <x:c r="N73" t="str">
        <x:v>-42.95470047</x:v>
      </x:c>
      <x:c r="O73" t="str">
        <x:v>https://nccospublicstor.blob.core.windows.net/biomapper/usviinsularshelf2017/videos/low/AA2017_076.mp4</x:v>
      </x:c>
      <x:c r="P73" t="str">
        <x:v>Present</x:v>
      </x:c>
      <x:c r="Q73" t="str">
        <x:v>Absent</x:v>
      </x:c>
      <x:c r="R73" t="str">
        <x:v>Absent</x:v>
      </x:c>
      <x:c r="S73" t="str">
        <x:v>Present</x:v>
      </x:c>
      <x:c r="T73" t="str">
        <x:v>Present</x:v>
      </x:c>
      <x:c r="U73" t="str">
        <x:v>Absent</x:v>
      </x:c>
      <x:c r="V73" t="str">
        <x:v>Present</x:v>
      </x:c>
      <x:c r="W73" t="str">
        <x:v>Absent</x:v>
      </x:c>
      <x:c r="X73" t="str">
        <x:v>Absent</x:v>
      </x:c>
      <x:c r="Y73" t="str">
        <x:v>Absent</x:v>
      </x:c>
      <x:c r="Z73" t="str">
        <x:v>Absent</x:v>
      </x:c>
      <x:c r="AA73" t="str">
        <x:v> </x:v>
      </x:c>
    </x:row>
    <x:row r="74">
      <x:c r="A74" t="str">
        <x:v>72</x:v>
      </x:c>
      <x:c r="B74" t="str">
        <x:v>72</x:v>
      </x:c>
      <x:c r="C74" t="str">
        <x:v>Benthic Habitat Maps for the Insular Shelf South of St. Thomas and St. John</x:v>
      </x:c>
      <x:c r="D74" t="str">
        <x:v>Puerto Rico</x:v>
      </x:c>
      <x:c r="E74" t="str">
        <x:v>AA</x:v>
      </x:c>
      <x:c r="F74" t="str">
        <x:v>HD Seaviewer Drop Camera</x:v>
      </x:c>
      <x:c r="G74" t="str">
        <x:v>AA2017_077</x:v>
      </x:c>
      <x:c r="H74" t="str">
        <x:v>2/2/2017</x:v>
      </x:c>
      <x:c r="I74" t="str">
        <x:v>8:37:14</x:v>
      </x:c>
      <x:c r="J74" t="str">
        <x:v>18.21231408</x:v>
      </x:c>
      <x:c r="K74" t="str">
        <x:v>-65.13668855</x:v>
      </x:c>
      <x:c r="L74" t="str">
        <x:v>2062414.563</x:v>
      </x:c>
      <x:c r="M74" t="str">
        <x:v>-7250983.001</x:v>
      </x:c>
      <x:c r="N74" t="str">
        <x:v>-40.98740005</x:v>
      </x:c>
      <x:c r="O74" t="str">
        <x:v>https://nccospublicstor.blob.core.windows.net/biomapper/usviinsularshelf2017/videos/low/AA2017_077.mp4</x:v>
      </x:c>
      <x:c r="P74" t="str">
        <x:v>Absent</x:v>
      </x:c>
      <x:c r="Q74" t="str">
        <x:v>Absent</x:v>
      </x:c>
      <x:c r="R74" t="str">
        <x:v>Absent</x:v>
      </x:c>
      <x:c r="S74" t="str">
        <x:v>Present</x:v>
      </x:c>
      <x:c r="T74" t="str">
        <x:v>Absent</x:v>
      </x:c>
      <x:c r="U74" t="str">
        <x:v>Absent</x:v>
      </x:c>
      <x:c r="V74" t="str">
        <x:v>Absent</x:v>
      </x:c>
      <x:c r="W74" t="str">
        <x:v>Absent</x:v>
      </x:c>
      <x:c r="X74" t="str">
        <x:v>Absent</x:v>
      </x:c>
      <x:c r="Y74" t="str">
        <x:v>Present</x:v>
      </x:c>
      <x:c r="Z74" t="str">
        <x:v>Absent</x:v>
      </x:c>
      <x:c r="AA74" t="str">
        <x:v>Line; Patch reefs nearby</x:v>
      </x:c>
    </x:row>
    <x:row r="75">
      <x:c r="A75" t="str">
        <x:v>73</x:v>
      </x:c>
      <x:c r="B75" t="str">
        <x:v>73</x:v>
      </x:c>
      <x:c r="C75" t="str">
        <x:v>Benthic Habitat Maps for the Insular Shelf South of St. Thomas and St. John</x:v>
      </x:c>
      <x:c r="D75" t="str">
        <x:v>Puerto Rico</x:v>
      </x:c>
      <x:c r="E75" t="str">
        <x:v>AA</x:v>
      </x:c>
      <x:c r="F75" t="str">
        <x:v>HD Seaviewer Drop Camera</x:v>
      </x:c>
      <x:c r="G75" t="str">
        <x:v>AA2017_078</x:v>
      </x:c>
      <x:c r="H75" t="str">
        <x:v>2/1/2017</x:v>
      </x:c>
      <x:c r="I75" t="str">
        <x:v>11:33:35</x:v>
      </x:c>
      <x:c r="J75" t="str">
        <x:v>18.19999502</x:v>
      </x:c>
      <x:c r="K75" t="str">
        <x:v>-65.13899578</x:v>
      </x:c>
      <x:c r="L75" t="str">
        <x:v>2060970.942</x:v>
      </x:c>
      <x:c r="M75" t="str">
        <x:v>-7251239.841</x:v>
      </x:c>
      <x:c r="N75" t="str">
        <x:v>-38.05469894</x:v>
      </x:c>
      <x:c r="O75" t="str">
        <x:v>https://nccospublicstor.blob.core.windows.net/biomapper/usviinsularshelf2017/videos/low/AA2017_078.mp4</x:v>
      </x:c>
      <x:c r="P75" t="str">
        <x:v>Present</x:v>
      </x:c>
      <x:c r="Q75" t="str">
        <x:v>Absent</x:v>
      </x:c>
      <x:c r="R75" t="str">
        <x:v>Absent</x:v>
      </x:c>
      <x:c r="S75" t="str">
        <x:v>Absent</x:v>
      </x:c>
      <x:c r="T75" t="str">
        <x:v>Present</x:v>
      </x:c>
      <x:c r="U75" t="str">
        <x:v>Present</x:v>
      </x:c>
      <x:c r="V75" t="str">
        <x:v>Present</x:v>
      </x:c>
      <x:c r="W75" t="str">
        <x:v>Present</x:v>
      </x:c>
      <x:c r="X75" t="str">
        <x:v>Absent</x:v>
      </x:c>
      <x:c r="Y75" t="str">
        <x:v>Absent</x:v>
      </x:c>
      <x:c r="Z75" t="str">
        <x:v>Absent</x:v>
      </x:c>
      <x:c r="AA75" t="str">
        <x:v> </x:v>
      </x:c>
    </x:row>
    <x:row r="76">
      <x:c r="A76" t="str">
        <x:v>74</x:v>
      </x:c>
      <x:c r="B76" t="str">
        <x:v>74</x:v>
      </x:c>
      <x:c r="C76" t="str">
        <x:v>Benthic Habitat Maps for the Insular Shelf South of St. Thomas and St. John</x:v>
      </x:c>
      <x:c r="D76" t="str">
        <x:v>St. Thomas, USVI</x:v>
      </x:c>
      <x:c r="E76" t="str">
        <x:v>AA</x:v>
      </x:c>
      <x:c r="F76" t="str">
        <x:v>HD Seaviewer Drop Camera</x:v>
      </x:c>
      <x:c r="G76" t="str">
        <x:v>AA2017_079</x:v>
      </x:c>
      <x:c r="H76" t="str">
        <x:v>2/2/2017</x:v>
      </x:c>
      <x:c r="I76" t="str">
        <x:v>14:02:48</x:v>
      </x:c>
      <x:c r="J76" t="str">
        <x:v>18.27075461</x:v>
      </x:c>
      <x:c r="K76" t="str">
        <x:v>-65.1334338</x:v>
      </x:c>
      <x:c r="L76" t="str">
        <x:v>2069264.368</x:v>
      </x:c>
      <x:c r="M76" t="str">
        <x:v>-7250620.684</x:v>
      </x:c>
      <x:c r="N76" t="str">
        <x:v>-32.21670151</x:v>
      </x:c>
      <x:c r="O76" t="str">
        <x:v>https://nccospublicstor.blob.core.windows.net/biomapper/usviinsularshelf2017/videos/low/AA2017_079.mp4</x:v>
      </x:c>
      <x:c r="P76" t="str">
        <x:v>Present</x:v>
      </x:c>
      <x:c r="Q76" t="str">
        <x:v>Absent</x:v>
      </x:c>
      <x:c r="R76" t="str">
        <x:v>Absent</x:v>
      </x:c>
      <x:c r="S76" t="str">
        <x:v>Present</x:v>
      </x:c>
      <x:c r="T76" t="str">
        <x:v>Present</x:v>
      </x:c>
      <x:c r="U76" t="str">
        <x:v>Present</x:v>
      </x:c>
      <x:c r="V76" t="str">
        <x:v>Present</x:v>
      </x:c>
      <x:c r="W76" t="str">
        <x:v>Present</x:v>
      </x:c>
      <x:c r="X76" t="str">
        <x:v>Absent</x:v>
      </x:c>
      <x:c r="Y76" t="str">
        <x:v>Absent</x:v>
      </x:c>
      <x:c r="Z76" t="str">
        <x:v>Absent</x:v>
      </x:c>
      <x:c r="AA76" t="str">
        <x:v> </x:v>
      </x:c>
    </x:row>
    <x:row r="77">
      <x:c r="A77" t="str">
        <x:v>75</x:v>
      </x:c>
      <x:c r="B77" t="str">
        <x:v>75</x:v>
      </x:c>
      <x:c r="C77" t="str">
        <x:v>Benthic Habitat Maps for the Insular Shelf South of St. Thomas and St. John</x:v>
      </x:c>
      <x:c r="D77" t="str">
        <x:v>St. Thomas, USVI</x:v>
      </x:c>
      <x:c r="E77" t="str">
        <x:v>AA</x:v>
      </x:c>
      <x:c r="F77" t="str">
        <x:v>HD Seaviewer Drop Camera</x:v>
      </x:c>
      <x:c r="G77" t="str">
        <x:v>AA2017_080</x:v>
      </x:c>
      <x:c r="H77" t="str">
        <x:v>2/2/2017</x:v>
      </x:c>
      <x:c r="I77" t="str">
        <x:v>14:09:25</x:v>
      </x:c>
      <x:c r="J77" t="str">
        <x:v>18.28241923</x:v>
      </x:c>
      <x:c r="K77" t="str">
        <x:v>-65.13127599</x:v>
      </x:c>
      <x:c r="L77" t="str">
        <x:v>2070631.852</x:v>
      </x:c>
      <x:c r="M77" t="str">
        <x:v>-7250380.478</x:v>
      </x:c>
      <x:c r="N77" t="str">
        <x:v>-24.99839973</x:v>
      </x:c>
      <x:c r="O77" t="str">
        <x:v>https://nccospublicstor.blob.core.windows.net/biomapper/usviinsularshelf2017/videos/low/AA2017_080.mp4</x:v>
      </x:c>
      <x:c r="P77" t="str">
        <x:v>Present</x:v>
      </x:c>
      <x:c r="Q77" t="str">
        <x:v>Absent</x:v>
      </x:c>
      <x:c r="R77" t="str">
        <x:v>Absent</x:v>
      </x:c>
      <x:c r="S77" t="str">
        <x:v>Absent</x:v>
      </x:c>
      <x:c r="T77" t="str">
        <x:v>Present</x:v>
      </x:c>
      <x:c r="U77" t="str">
        <x:v>Absent</x:v>
      </x:c>
      <x:c r="V77" t="str">
        <x:v>Present</x:v>
      </x:c>
      <x:c r="W77" t="str">
        <x:v>Present</x:v>
      </x:c>
      <x:c r="X77" t="str">
        <x:v>Absent</x:v>
      </x:c>
      <x:c r="Y77" t="str">
        <x:v>Absent</x:v>
      </x:c>
      <x:c r="Z77" t="str">
        <x:v>Absent</x:v>
      </x:c>
      <x:c r="AA77" t="str">
        <x:v>low rugosity agg reef</x:v>
      </x:c>
    </x:row>
    <x:row r="78">
      <x:c r="A78" t="str">
        <x:v>76</x:v>
      </x:c>
      <x:c r="B78" t="str">
        <x:v>76</x:v>
      </x:c>
      <x:c r="C78" t="str">
        <x:v>Benthic Habitat Maps for the Insular Shelf South of St. Thomas and St. John</x:v>
      </x:c>
      <x:c r="D78" t="str">
        <x:v>St. Thomas, USVI</x:v>
      </x:c>
      <x:c r="E78" t="str">
        <x:v>AA</x:v>
      </x:c>
      <x:c r="F78" t="str">
        <x:v>HD Seaviewer Drop Camera</x:v>
      </x:c>
      <x:c r="G78" t="str">
        <x:v>AA2017_081</x:v>
      </x:c>
      <x:c r="H78" t="str">
        <x:v>2/1/2017</x:v>
      </x:c>
      <x:c r="I78" t="str">
        <x:v>11:25:19</x:v>
      </x:c>
      <x:c r="J78" t="str">
        <x:v>18.19996528</x:v>
      </x:c>
      <x:c r="K78" t="str">
        <x:v>-65.13053616</x:v>
      </x:c>
      <x:c r="L78" t="str">
        <x:v>2060967.457</x:v>
      </x:c>
      <x:c r="M78" t="str">
        <x:v>-7250298.12</x:v>
      </x:c>
      <x:c r="N78" t="str">
        <x:v>-41.14479828</x:v>
      </x:c>
      <x:c r="O78" t="str">
        <x:v>https://nccospublicstor.blob.core.windows.net/biomapper/usviinsularshelf2017/videos/low/AA2017_081.mp4</x:v>
      </x:c>
      <x:c r="P78" t="str">
        <x:v>Present</x:v>
      </x:c>
      <x:c r="Q78" t="str">
        <x:v>Absent</x:v>
      </x:c>
      <x:c r="R78" t="str">
        <x:v>Absent</x:v>
      </x:c>
      <x:c r="S78" t="str">
        <x:v>Present</x:v>
      </x:c>
      <x:c r="T78" t="str">
        <x:v>Present</x:v>
      </x:c>
      <x:c r="U78" t="str">
        <x:v>Absent</x:v>
      </x:c>
      <x:c r="V78" t="str">
        <x:v>Absent</x:v>
      </x:c>
      <x:c r="W78" t="str">
        <x:v>Present</x:v>
      </x:c>
      <x:c r="X78" t="str">
        <x:v>Absent</x:v>
      </x:c>
      <x:c r="Y78" t="str">
        <x:v>Absent</x:v>
      </x:c>
      <x:c r="Z78" t="str">
        <x:v>Absent</x:v>
      </x:c>
      <x:c r="AA78" t="str">
        <x:v> </x:v>
      </x:c>
    </x:row>
    <x:row r="79">
      <x:c r="A79" t="str">
        <x:v>77</x:v>
      </x:c>
      <x:c r="B79" t="str">
        <x:v>77</x:v>
      </x:c>
      <x:c r="C79" t="str">
        <x:v>Benthic Habitat Maps for the Insular Shelf South of St. Thomas and St. John</x:v>
      </x:c>
      <x:c r="D79" t="str">
        <x:v>St. Thomas, USVI</x:v>
      </x:c>
      <x:c r="E79" t="str">
        <x:v>AA</x:v>
      </x:c>
      <x:c r="F79" t="str">
        <x:v>HD Seaviewer Drop Camera</x:v>
      </x:c>
      <x:c r="G79" t="str">
        <x:v>AA2017_082</x:v>
      </x:c>
      <x:c r="H79" t="str">
        <x:v>2/1/2017</x:v>
      </x:c>
      <x:c r="I79" t="str">
        <x:v>11:10:56</x:v>
      </x:c>
      <x:c r="J79" t="str">
        <x:v>18.21665292</x:v>
      </x:c>
      <x:c r="K79" t="str">
        <x:v>-65.12950517</x:v>
      </x:c>
      <x:c r="L79" t="str">
        <x:v>2062923.039</x:v>
      </x:c>
      <x:c r="M79" t="str">
        <x:v>-7250183.351</x:v>
      </x:c>
      <x:c r="N79" t="str">
        <x:v>-40.69530106</x:v>
      </x:c>
      <x:c r="O79" t="str">
        <x:v>https://nccospublicstor.blob.core.windows.net/biomapper/usviinsularshelf2017/videos/low/AA2017_082.mp4</x:v>
      </x:c>
      <x:c r="P79" t="str">
        <x:v>Present</x:v>
      </x:c>
      <x:c r="Q79" t="str">
        <x:v>Absent</x:v>
      </x:c>
      <x:c r="R79" t="str">
        <x:v>Absent</x:v>
      </x:c>
      <x:c r="S79" t="str">
        <x:v>Present</x:v>
      </x:c>
      <x:c r="T79" t="str">
        <x:v>Present</x:v>
      </x:c>
      <x:c r="U79" t="str">
        <x:v>Absent</x:v>
      </x:c>
      <x:c r="V79" t="str">
        <x:v>Present</x:v>
      </x:c>
      <x:c r="W79" t="str">
        <x:v>Present</x:v>
      </x:c>
      <x:c r="X79" t="str">
        <x:v>Absent</x:v>
      </x:c>
      <x:c r="Y79" t="str">
        <x:v>Absent</x:v>
      </x:c>
      <x:c r="Z79" t="str">
        <x:v>Absent</x:v>
      </x:c>
      <x:c r="AA79" t="str">
        <x:v> </x:v>
      </x:c>
    </x:row>
    <x:row r="80">
      <x:c r="A80" t="str">
        <x:v>78</x:v>
      </x:c>
      <x:c r="B80" t="str">
        <x:v>78</x:v>
      </x:c>
      <x:c r="C80" t="str">
        <x:v>Benthic Habitat Maps for the Insular Shelf South of St. Thomas and St. John</x:v>
      </x:c>
      <x:c r="D80" t="str">
        <x:v>St. Thomas, USVI</x:v>
      </x:c>
      <x:c r="E80" t="str">
        <x:v>AA</x:v>
      </x:c>
      <x:c r="F80" t="str">
        <x:v>HD Seaviewer Drop Camera</x:v>
      </x:c>
      <x:c r="G80" t="str">
        <x:v>AA2017_083</x:v>
      </x:c>
      <x:c r="H80" t="str">
        <x:v>1/30/2017</x:v>
      </x:c>
      <x:c r="I80" t="str">
        <x:v>13:33:33</x:v>
      </x:c>
      <x:c r="J80" t="str">
        <x:v>18.18446156</x:v>
      </x:c>
      <x:c r="K80" t="str">
        <x:v>-65.12445317</x:v>
      </x:c>
      <x:c r="L80" t="str">
        <x:v>2059150.784</x:v>
      </x:c>
      <x:c r="M80" t="str">
        <x:v>-7249620.965</x:v>
      </x:c>
      <x:c r="N80" t="str">
        <x:v>-42.91239929</x:v>
      </x:c>
      <x:c r="O80" t="str">
        <x:v>https://nccospublicstor.blob.core.windows.net/biomapper/usviinsularshelf2017/videos/low/AA2017_083.mp4</x:v>
      </x:c>
      <x:c r="P80" t="str">
        <x:v>Present</x:v>
      </x:c>
      <x:c r="Q80" t="str">
        <x:v>Absent</x:v>
      </x:c>
      <x:c r="R80" t="str">
        <x:v>Absent</x:v>
      </x:c>
      <x:c r="S80" t="str">
        <x:v>Present</x:v>
      </x:c>
      <x:c r="T80" t="str">
        <x:v>Present</x:v>
      </x:c>
      <x:c r="U80" t="str">
        <x:v>Absent</x:v>
      </x:c>
      <x:c r="V80" t="str">
        <x:v>Present</x:v>
      </x:c>
      <x:c r="W80" t="str">
        <x:v>Absent</x:v>
      </x:c>
      <x:c r="X80" t="str">
        <x:v>Absent</x:v>
      </x:c>
      <x:c r="Y80" t="str">
        <x:v>Absent</x:v>
      </x:c>
      <x:c r="Z80" t="str">
        <x:v>Absent</x:v>
      </x:c>
      <x:c r="AA80" t="str">
        <x:v>Spur and groove habitat</x:v>
      </x:c>
    </x:row>
    <x:row r="81">
      <x:c r="A81" t="str">
        <x:v>79</x:v>
      </x:c>
      <x:c r="B81" t="str">
        <x:v>79</x:v>
      </x:c>
      <x:c r="C81" t="str">
        <x:v>Benthic Habitat Maps for the Insular Shelf South of St. Thomas and St. John</x:v>
      </x:c>
      <x:c r="D81" t="str">
        <x:v>St. Thomas, USVI</x:v>
      </x:c>
      <x:c r="E81" t="str">
        <x:v>AA</x:v>
      </x:c>
      <x:c r="F81" t="str">
        <x:v>HD Seaviewer Drop Camera</x:v>
      </x:c>
      <x:c r="G81" t="str">
        <x:v>AA2017_084</x:v>
      </x:c>
      <x:c r="H81" t="str">
        <x:v>2/1/2017</x:v>
      </x:c>
      <x:c r="I81" t="str">
        <x:v>11:02:43</x:v>
      </x:c>
      <x:c r="J81" t="str">
        <x:v>18.21978329</x:v>
      </x:c>
      <x:c r="K81" t="str">
        <x:v>-65.1217625</x:v>
      </x:c>
      <x:c r="L81" t="str">
        <x:v>2063289.9</x:v>
      </x:c>
      <x:c r="M81" t="str">
        <x:v>-7249321.441</x:v>
      </x:c>
      <x:c r="N81" t="str">
        <x:v>-40.18569946</x:v>
      </x:c>
      <x:c r="O81" t="str">
        <x:v>https://nccospublicstor.blob.core.windows.net/biomapper/usviinsularshelf2017/videos/low/AA2017_084.mp4</x:v>
      </x:c>
      <x:c r="P81" t="str">
        <x:v>Present</x:v>
      </x:c>
      <x:c r="Q81" t="str">
        <x:v>Absent</x:v>
      </x:c>
      <x:c r="R81" t="str">
        <x:v>Absent</x:v>
      </x:c>
      <x:c r="S81" t="str">
        <x:v>Present</x:v>
      </x:c>
      <x:c r="T81" t="str">
        <x:v>Present</x:v>
      </x:c>
      <x:c r="U81" t="str">
        <x:v>Absent</x:v>
      </x:c>
      <x:c r="V81" t="str">
        <x:v>Present</x:v>
      </x:c>
      <x:c r="W81" t="str">
        <x:v>Present</x:v>
      </x:c>
      <x:c r="X81" t="str">
        <x:v>Absent</x:v>
      </x:c>
      <x:c r="Y81" t="str">
        <x:v>Absent</x:v>
      </x:c>
      <x:c r="Z81" t="str">
        <x:v>Absent</x:v>
      </x:c>
      <x:c r="AA81" t="str">
        <x:v> </x:v>
      </x:c>
    </x:row>
    <x:row r="82">
      <x:c r="A82" t="str">
        <x:v>80</x:v>
      </x:c>
      <x:c r="B82" t="str">
        <x:v>80</x:v>
      </x:c>
      <x:c r="C82" t="str">
        <x:v>Benthic Habitat Maps for the Insular Shelf South of St. Thomas and St. John</x:v>
      </x:c>
      <x:c r="D82" t="str">
        <x:v>St. Thomas, USVI</x:v>
      </x:c>
      <x:c r="E82" t="str">
        <x:v>AA</x:v>
      </x:c>
      <x:c r="F82" t="str">
        <x:v>HD Seaviewer Drop Camera</x:v>
      </x:c>
      <x:c r="G82" t="str">
        <x:v>AA2017_085</x:v>
      </x:c>
      <x:c r="H82" t="str">
        <x:v>1/30/2017</x:v>
      </x:c>
      <x:c r="I82" t="str">
        <x:v>13:46:38</x:v>
      </x:c>
      <x:c r="J82" t="str">
        <x:v>18.18962653</x:v>
      </x:c>
      <x:c r="K82" t="str">
        <x:v>-65.12108076</x:v>
      </x:c>
      <x:c r="L82" t="str">
        <x:v>2059755.979</x:v>
      </x:c>
      <x:c r="M82" t="str">
        <x:v>-7249245.55</x:v>
      </x:c>
      <x:c r="N82" t="str">
        <x:v>-41.8280983</x:v>
      </x:c>
      <x:c r="O82" t="str">
        <x:v>https://nccospublicstor.blob.core.windows.net/biomapper/usviinsularshelf2017/videos/low/AA2017_085.mp4</x:v>
      </x:c>
      <x:c r="P82" t="str">
        <x:v>Present</x:v>
      </x:c>
      <x:c r="Q82" t="str">
        <x:v>Absent</x:v>
      </x:c>
      <x:c r="R82" t="str">
        <x:v>Absent</x:v>
      </x:c>
      <x:c r="S82" t="str">
        <x:v>Absent</x:v>
      </x:c>
      <x:c r="T82" t="str">
        <x:v>Present</x:v>
      </x:c>
      <x:c r="U82" t="str">
        <x:v>Absent</x:v>
      </x:c>
      <x:c r="V82" t="str">
        <x:v>Present</x:v>
      </x:c>
      <x:c r="W82" t="str">
        <x:v>Absent</x:v>
      </x:c>
      <x:c r="X82" t="str">
        <x:v>Absent</x:v>
      </x:c>
      <x:c r="Y82" t="str">
        <x:v>Absent</x:v>
      </x:c>
      <x:c r="Z82" t="str">
        <x:v>Absent</x:v>
      </x:c>
      <x:c r="AA82" t="str">
        <x:v> </x:v>
      </x:c>
    </x:row>
    <x:row r="83">
      <x:c r="A83" t="str">
        <x:v>81</x:v>
      </x:c>
      <x:c r="B83" t="str">
        <x:v>81</x:v>
      </x:c>
      <x:c r="C83" t="str">
        <x:v>Benthic Habitat Maps for the Insular Shelf South of St. Thomas and St. John</x:v>
      </x:c>
      <x:c r="D83" t="str">
        <x:v>St. Thomas, USVI</x:v>
      </x:c>
      <x:c r="E83" t="str">
        <x:v>AA</x:v>
      </x:c>
      <x:c r="F83" t="str">
        <x:v>HD Seaviewer Drop Camera</x:v>
      </x:c>
      <x:c r="G83" t="str">
        <x:v>AA2017_086</x:v>
      </x:c>
      <x:c r="H83" t="str">
        <x:v>1/30/2017</x:v>
      </x:c>
      <x:c r="I83" t="str">
        <x:v>14:44:03</x:v>
      </x:c>
      <x:c r="J83" t="str">
        <x:v>18.21311505</x:v>
      </x:c>
      <x:c r="K83" t="str">
        <x:v>-65.11656772</x:v>
      </x:c>
      <x:c r="L83" t="str">
        <x:v>2062508.43</x:v>
      </x:c>
      <x:c r="M83" t="str">
        <x:v>-7248743.161</x:v>
      </x:c>
      <x:c r="N83" t="str">
        <x:v>-33.71549988</x:v>
      </x:c>
      <x:c r="O83" t="str">
        <x:v>https://nccospublicstor.blob.core.windows.net/biomapper/usviinsularshelf2017/videos/low/AA2017_086.mp4</x:v>
      </x:c>
      <x:c r="P83" t="str">
        <x:v>Present</x:v>
      </x:c>
      <x:c r="Q83" t="str">
        <x:v>Absent</x:v>
      </x:c>
      <x:c r="R83" t="str">
        <x:v>Absent</x:v>
      </x:c>
      <x:c r="S83" t="str">
        <x:v>Absent</x:v>
      </x:c>
      <x:c r="T83" t="str">
        <x:v>Present</x:v>
      </x:c>
      <x:c r="U83" t="str">
        <x:v>Present</x:v>
      </x:c>
      <x:c r="V83" t="str">
        <x:v>Present</x:v>
      </x:c>
      <x:c r="W83" t="str">
        <x:v>Absent</x:v>
      </x:c>
      <x:c r="X83" t="str">
        <x:v>Absent</x:v>
      </x:c>
      <x:c r="Y83" t="str">
        <x:v>Absent</x:v>
      </x:c>
      <x:c r="Z83" t="str">
        <x:v>Absent</x:v>
      </x:c>
      <x:c r="AA83" t="str">
        <x:v> </x:v>
      </x:c>
    </x:row>
    <x:row r="84">
      <x:c r="A84" t="str">
        <x:v>82</x:v>
      </x:c>
      <x:c r="B84" t="str">
        <x:v>82</x:v>
      </x:c>
      <x:c r="C84" t="str">
        <x:v>Benthic Habitat Maps for the Insular Shelf South of St. Thomas and St. John</x:v>
      </x:c>
      <x:c r="D84" t="str">
        <x:v>St. Thomas, USVI</x:v>
      </x:c>
      <x:c r="E84" t="str">
        <x:v>AA</x:v>
      </x:c>
      <x:c r="F84" t="str">
        <x:v>HD Seaviewer Drop Camera</x:v>
      </x:c>
      <x:c r="G84" t="str">
        <x:v>AA2017_087</x:v>
      </x:c>
      <x:c r="H84" t="str">
        <x:v>2/2/2017</x:v>
      </x:c>
      <x:c r="I84" t="str">
        <x:v>14:18:14</x:v>
      </x:c>
      <x:c r="J84" t="str">
        <x:v>18.28502707</x:v>
      </x:c>
      <x:c r="K84" t="str">
        <x:v>-65.116795</x:v>
      </x:c>
      <x:c r="L84" t="str">
        <x:v>2070937.591</x:v>
      </x:c>
      <x:c r="M84" t="str">
        <x:v>-7248768.462</x:v>
      </x:c>
      <x:c r="N84" t="str">
        <x:v>-24.3003006</x:v>
      </x:c>
      <x:c r="O84" t="str">
        <x:v>https://nccospublicstor.blob.core.windows.net/biomapper/usviinsularshelf2017/videos/low/AA2017_087.mp4</x:v>
      </x:c>
      <x:c r="P84" t="str">
        <x:v>Present</x:v>
      </x:c>
      <x:c r="Q84" t="str">
        <x:v>Absent</x:v>
      </x:c>
      <x:c r="R84" t="str">
        <x:v>Absent</x:v>
      </x:c>
      <x:c r="S84" t="str">
        <x:v>Present</x:v>
      </x:c>
      <x:c r="T84" t="str">
        <x:v>Present</x:v>
      </x:c>
      <x:c r="U84" t="str">
        <x:v>Present</x:v>
      </x:c>
      <x:c r="V84" t="str">
        <x:v>Absent</x:v>
      </x:c>
      <x:c r="W84" t="str">
        <x:v>Present</x:v>
      </x:c>
      <x:c r="X84" t="str">
        <x:v>Absent</x:v>
      </x:c>
      <x:c r="Y84" t="str">
        <x:v>Absent</x:v>
      </x:c>
      <x:c r="Z84" t="str">
        <x:v>Absent</x:v>
      </x:c>
      <x:c r="AA84" t="str">
        <x:v>low rugosity agg reef, Diploria labyrinthiformis</x:v>
      </x:c>
    </x:row>
    <x:row r="85">
      <x:c r="A85" t="str">
        <x:v>83</x:v>
      </x:c>
      <x:c r="B85" t="str">
        <x:v>83</x:v>
      </x:c>
      <x:c r="C85" t="str">
        <x:v>Benthic Habitat Maps for the Insular Shelf South of St. Thomas and St. John</x:v>
      </x:c>
      <x:c r="D85" t="str">
        <x:v>St. Thomas, USVI</x:v>
      </x:c>
      <x:c r="E85" t="str">
        <x:v>AA</x:v>
      </x:c>
      <x:c r="F85" t="str">
        <x:v>HD Seaviewer Drop Camera</x:v>
      </x:c>
      <x:c r="G85" t="str">
        <x:v>AA2017_088</x:v>
      </x:c>
      <x:c r="H85" t="str">
        <x:v>2/3/2017</x:v>
      </x:c>
      <x:c r="I85" t="str">
        <x:v>9:21:10</x:v>
      </x:c>
      <x:c r="J85" t="str">
        <x:v>18.27355888</x:v>
      </x:c>
      <x:c r="K85" t="str">
        <x:v>-65.11730895</x:v>
      </x:c>
      <x:c r="L85" t="str">
        <x:v>2069593.114</x:v>
      </x:c>
      <x:c r="M85" t="str">
        <x:v>-7248825.674</x:v>
      </x:c>
      <x:c r="N85" t="str">
        <x:v>-27.24970055</x:v>
      </x:c>
      <x:c r="O85" t="str">
        <x:v>https://nccospublicstor.blob.core.windows.net/biomapper/usviinsularshelf2017/videos/low/AA2017_088.mp4</x:v>
      </x:c>
      <x:c r="P85" t="str">
        <x:v>Present</x:v>
      </x:c>
      <x:c r="Q85" t="str">
        <x:v>Absent</x:v>
      </x:c>
      <x:c r="R85" t="str">
        <x:v>Absent</x:v>
      </x:c>
      <x:c r="S85" t="str">
        <x:v>Absent</x:v>
      </x:c>
      <x:c r="T85" t="str">
        <x:v>Present</x:v>
      </x:c>
      <x:c r="U85" t="str">
        <x:v>Absent</x:v>
      </x:c>
      <x:c r="V85" t="str">
        <x:v>Present</x:v>
      </x:c>
      <x:c r="W85" t="str">
        <x:v>Present</x:v>
      </x:c>
      <x:c r="X85" t="str">
        <x:v>Absent</x:v>
      </x:c>
      <x:c r="Y85" t="str">
        <x:v>Absent</x:v>
      </x:c>
      <x:c r="Z85" t="str">
        <x:v>Absent</x:v>
      </x:c>
      <x:c r="AA85" t="str">
        <x:v>low rugosity reef; sand present on descent</x:v>
      </x:c>
    </x:row>
    <x:row r="86">
      <x:c r="A86" t="str">
        <x:v>84</x:v>
      </x:c>
      <x:c r="B86" t="str">
        <x:v>84</x:v>
      </x:c>
      <x:c r="C86" t="str">
        <x:v>Benthic Habitat Maps for the Insular Shelf South of St. Thomas and St. John</x:v>
      </x:c>
      <x:c r="D86" t="str">
        <x:v>St. Thomas, USVI</x:v>
      </x:c>
      <x:c r="E86" t="str">
        <x:v>AA</x:v>
      </x:c>
      <x:c r="F86" t="str">
        <x:v>HD Seaviewer Drop Camera</x:v>
      </x:c>
      <x:c r="G86" t="str">
        <x:v>AA2017_089</x:v>
      </x:c>
      <x:c r="H86" t="str">
        <x:v>1/30/2017</x:v>
      </x:c>
      <x:c r="I86" t="str">
        <x:v>14:27:59</x:v>
      </x:c>
      <x:c r="J86" t="str">
        <x:v>18.20683532</x:v>
      </x:c>
      <x:c r="K86" t="str">
        <x:v>-65.11356789</x:v>
      </x:c>
      <x:c r="L86" t="str">
        <x:v>2061772.517</x:v>
      </x:c>
      <x:c r="M86" t="str">
        <x:v>-7248409.221</x:v>
      </x:c>
      <x:c r="N86" t="str">
        <x:v>-34.89009857</x:v>
      </x:c>
      <x:c r="O86" t="str">
        <x:v>https://nccospublicstor.blob.core.windows.net/biomapper/usviinsularshelf2017/videos/low/AA2017_089.mp4</x:v>
      </x:c>
      <x:c r="P86" t="str">
        <x:v>Present</x:v>
      </x:c>
      <x:c r="Q86" t="str">
        <x:v>Absent</x:v>
      </x:c>
      <x:c r="R86" t="str">
        <x:v>Absent</x:v>
      </x:c>
      <x:c r="S86" t="str">
        <x:v>Absent</x:v>
      </x:c>
      <x:c r="T86" t="str">
        <x:v>Present</x:v>
      </x:c>
      <x:c r="U86" t="str">
        <x:v>Absent</x:v>
      </x:c>
      <x:c r="V86" t="str">
        <x:v>Absent</x:v>
      </x:c>
      <x:c r="W86" t="str">
        <x:v>Absent</x:v>
      </x:c>
      <x:c r="X86" t="str">
        <x:v>Absent</x:v>
      </x:c>
      <x:c r="Y86" t="str">
        <x:v>Absent</x:v>
      </x:c>
      <x:c r="Z86" t="str">
        <x:v>Absent</x:v>
      </x:c>
      <x:c r="AA86" t="str">
        <x:v>Live hard coral 40-50%</x:v>
      </x:c>
    </x:row>
    <x:row r="87">
      <x:c r="A87" t="str">
        <x:v>85</x:v>
      </x:c>
      <x:c r="B87" t="str">
        <x:v>85</x:v>
      </x:c>
      <x:c r="C87" t="str">
        <x:v>Benthic Habitat Maps for the Insular Shelf South of St. Thomas and St. John</x:v>
      </x:c>
      <x:c r="D87" t="str">
        <x:v>St. Thomas, USVI</x:v>
      </x:c>
      <x:c r="E87" t="str">
        <x:v>AA</x:v>
      </x:c>
      <x:c r="F87" t="str">
        <x:v>HD Seaviewer Drop Camera</x:v>
      </x:c>
      <x:c r="G87" t="str">
        <x:v>AA2017_090</x:v>
      </x:c>
      <x:c r="H87" t="str">
        <x:v>1/30/2017</x:v>
      </x:c>
      <x:c r="I87" t="str">
        <x:v>13:17:25</x:v>
      </x:c>
      <x:c r="J87" t="str">
        <x:v>18.17674995</x:v>
      </x:c>
      <x:c r="K87" t="str">
        <x:v>-65.110089</x:v>
      </x:c>
      <x:c r="L87" t="str">
        <x:v>2058247.223</x:v>
      </x:c>
      <x:c r="M87" t="str">
        <x:v>-7248021.953</x:v>
      </x:c>
      <x:c r="N87" t="str">
        <x:v>-48.07389832</x:v>
      </x:c>
      <x:c r="O87" t="str">
        <x:v>https://nccospublicstor.blob.core.windows.net/biomapper/usviinsularshelf2017/videos/low/AA2017_090.mp4</x:v>
      </x:c>
      <x:c r="P87" t="str">
        <x:v>Present</x:v>
      </x:c>
      <x:c r="Q87" t="str">
        <x:v>Absent</x:v>
      </x:c>
      <x:c r="R87" t="str">
        <x:v>Absent</x:v>
      </x:c>
      <x:c r="S87" t="str">
        <x:v>Absent</x:v>
      </x:c>
      <x:c r="T87" t="str">
        <x:v>Present</x:v>
      </x:c>
      <x:c r="U87" t="str">
        <x:v>Absent</x:v>
      </x:c>
      <x:c r="V87" t="str">
        <x:v>Present</x:v>
      </x:c>
      <x:c r="W87" t="str">
        <x:v>Present</x:v>
      </x:c>
      <x:c r="X87" t="str">
        <x:v>Absent</x:v>
      </x:c>
      <x:c r="Y87" t="str">
        <x:v>Absent</x:v>
      </x:c>
      <x:c r="Z87" t="str">
        <x:v>Absent</x:v>
      </x:c>
      <x:c r="AA87" t="str">
        <x:v> </x:v>
      </x:c>
    </x:row>
    <x:row r="88">
      <x:c r="A88" t="str">
        <x:v>86</x:v>
      </x:c>
      <x:c r="B88" t="str">
        <x:v>86</x:v>
      </x:c>
      <x:c r="C88" t="str">
        <x:v>Benthic Habitat Maps for the Insular Shelf South of St. Thomas and St. John</x:v>
      </x:c>
      <x:c r="D88" t="str">
        <x:v>St. Thomas, USVI</x:v>
      </x:c>
      <x:c r="E88" t="str">
        <x:v>AA</x:v>
      </x:c>
      <x:c r="F88" t="str">
        <x:v>HD Seaviewer Drop Camera</x:v>
      </x:c>
      <x:c r="G88" t="str">
        <x:v>AA2017_091</x:v>
      </x:c>
      <x:c r="H88" t="str">
        <x:v>1/30/2017</x:v>
      </x:c>
      <x:c r="I88" t="str">
        <x:v>13:24:29</x:v>
      </x:c>
      <x:c r="J88" t="str">
        <x:v>18.1803757</x:v>
      </x:c>
      <x:c r="K88" t="str">
        <x:v>-65.11029608</x:v>
      </x:c>
      <x:c r="L88" t="str">
        <x:v>2058672.043</x:v>
      </x:c>
      <x:c r="M88" t="str">
        <x:v>-7248045.005</x:v>
      </x:c>
      <x:c r="N88" t="str">
        <x:v>-36.52130127</x:v>
      </x:c>
      <x:c r="O88" t="str">
        <x:v>https://nccospublicstor.blob.core.windows.net/biomapper/usviinsularshelf2017/videos/low/AA2017_091.mp4</x:v>
      </x:c>
      <x:c r="P88" t="str">
        <x:v>Present</x:v>
      </x:c>
      <x:c r="Q88" t="str">
        <x:v>Absent</x:v>
      </x:c>
      <x:c r="R88" t="str">
        <x:v>Absent</x:v>
      </x:c>
      <x:c r="S88" t="str">
        <x:v>Absent</x:v>
      </x:c>
      <x:c r="T88" t="str">
        <x:v>Present</x:v>
      </x:c>
      <x:c r="U88" t="str">
        <x:v>Absent</x:v>
      </x:c>
      <x:c r="V88" t="str">
        <x:v>Present</x:v>
      </x:c>
      <x:c r="W88" t="str">
        <x:v>Absent</x:v>
      </x:c>
      <x:c r="X88" t="str">
        <x:v>Absent</x:v>
      </x:c>
      <x:c r="Y88" t="str">
        <x:v>Absent</x:v>
      </x:c>
      <x:c r="Z88" t="str">
        <x:v>Absent</x:v>
      </x:c>
      <x:c r="AA88" t="str">
        <x:v>Live hard coral 60-70%; Orbicella franksi; Undaria spp.</x:v>
      </x:c>
    </x:row>
    <x:row r="89">
      <x:c r="A89" t="str">
        <x:v>87</x:v>
      </x:c>
      <x:c r="B89" t="str">
        <x:v>87</x:v>
      </x:c>
      <x:c r="C89" t="str">
        <x:v>Benthic Habitat Maps for the Insular Shelf South of St. Thomas and St. John</x:v>
      </x:c>
      <x:c r="D89" t="str">
        <x:v>St. Thomas, USVI</x:v>
      </x:c>
      <x:c r="E89" t="str">
        <x:v>AA</x:v>
      </x:c>
      <x:c r="F89" t="str">
        <x:v>HD Seaviewer Drop Camera</x:v>
      </x:c>
      <x:c r="G89" t="str">
        <x:v>AA2017_092</x:v>
      </x:c>
      <x:c r="H89" t="str">
        <x:v>1/30/2017</x:v>
      </x:c>
      <x:c r="I89" t="str">
        <x:v>14:45:08</x:v>
      </x:c>
      <x:c r="J89" t="str">
        <x:v>18.21295014</x:v>
      </x:c>
      <x:c r="K89" t="str">
        <x:v>-65.11665239</x:v>
      </x:c>
      <x:c r="L89" t="str">
        <x:v>2062489.104</x:v>
      </x:c>
      <x:c r="M89" t="str">
        <x:v>-7248752.586</x:v>
      </x:c>
      <x:c r="N89" t="str">
        <x:v>-33.55519867</x:v>
      </x:c>
      <x:c r="O89" t="str">
        <x:v>https://nccospublicstor.blob.core.windows.net/biomapper/usviinsularshelf2017/videos/low/AA2017_092.mp4</x:v>
      </x:c>
      <x:c r="P89" t="str">
        <x:v>Present</x:v>
      </x:c>
      <x:c r="Q89" t="str">
        <x:v>Absent</x:v>
      </x:c>
      <x:c r="R89" t="str">
        <x:v>Absent</x:v>
      </x:c>
      <x:c r="S89" t="str">
        <x:v>Absent</x:v>
      </x:c>
      <x:c r="T89" t="str">
        <x:v>Present</x:v>
      </x:c>
      <x:c r="U89" t="str">
        <x:v>Present</x:v>
      </x:c>
      <x:c r="V89" t="str">
        <x:v>Present</x:v>
      </x:c>
      <x:c r="W89" t="str">
        <x:v>Absent</x:v>
      </x:c>
      <x:c r="X89" t="str">
        <x:v>Absent</x:v>
      </x:c>
      <x:c r="Y89" t="str">
        <x:v>Absent</x:v>
      </x:c>
      <x:c r="Z89" t="str">
        <x:v>Absent</x:v>
      </x:c>
      <x:c r="AA89" t="str">
        <x:v> </x:v>
      </x:c>
    </x:row>
    <x:row r="90">
      <x:c r="A90" t="str">
        <x:v>88</x:v>
      </x:c>
      <x:c r="B90" t="str">
        <x:v>88</x:v>
      </x:c>
      <x:c r="C90" t="str">
        <x:v>Benthic Habitat Maps for the Insular Shelf South of St. Thomas and St. John</x:v>
      </x:c>
      <x:c r="D90" t="str">
        <x:v>St. Thomas, USVI</x:v>
      </x:c>
      <x:c r="E90" t="str">
        <x:v>AA</x:v>
      </x:c>
      <x:c r="F90" t="str">
        <x:v>HD Seaviewer Drop Camera</x:v>
      </x:c>
      <x:c r="G90" t="str">
        <x:v>AA2017_093</x:v>
      </x:c>
      <x:c r="H90" t="str">
        <x:v>1/30/2017</x:v>
      </x:c>
      <x:c r="I90" t="str">
        <x:v>14:21:06</x:v>
      </x:c>
      <x:c r="J90" t="str">
        <x:v>18.20999649</x:v>
      </x:c>
      <x:c r="K90" t="str">
        <x:v>-65.1098927</x:v>
      </x:c>
      <x:c r="L90" t="str">
        <x:v>2062142.967</x:v>
      </x:c>
      <x:c r="M90" t="str">
        <x:v>-7248000.101</x:v>
      </x:c>
      <x:c r="N90" t="str">
        <x:v>-41.5279007</x:v>
      </x:c>
      <x:c r="O90" t="str">
        <x:v>https://nccospublicstor.blob.core.windows.net/biomapper/usviinsularshelf2017/videos/low/AA2017_093.mp4</x:v>
      </x:c>
      <x:c r="P90" t="str">
        <x:v>Present</x:v>
      </x:c>
      <x:c r="Q90" t="str">
        <x:v>Absent</x:v>
      </x:c>
      <x:c r="R90" t="str">
        <x:v>Absent</x:v>
      </x:c>
      <x:c r="S90" t="str">
        <x:v>Present</x:v>
      </x:c>
      <x:c r="T90" t="str">
        <x:v>Present</x:v>
      </x:c>
      <x:c r="U90" t="str">
        <x:v>Absent</x:v>
      </x:c>
      <x:c r="V90" t="str">
        <x:v>Present</x:v>
      </x:c>
      <x:c r="W90" t="str">
        <x:v>Present</x:v>
      </x:c>
      <x:c r="X90" t="str">
        <x:v>Absent</x:v>
      </x:c>
      <x:c r="Y90" t="str">
        <x:v>Absent</x:v>
      </x:c>
      <x:c r="Z90" t="str">
        <x:v>Absent</x:v>
      </x:c>
      <x:c r="AA90" t="str">
        <x:v> </x:v>
      </x:c>
    </x:row>
    <x:row r="91">
      <x:c r="A91" t="str">
        <x:v>89</x:v>
      </x:c>
      <x:c r="B91" t="str">
        <x:v>89</x:v>
      </x:c>
      <x:c r="C91" t="str">
        <x:v>Benthic Habitat Maps for the Insular Shelf South of St. Thomas and St. John</x:v>
      </x:c>
      <x:c r="D91" t="str">
        <x:v>St. Thomas, USVI</x:v>
      </x:c>
      <x:c r="E91" t="str">
        <x:v>AA</x:v>
      </x:c>
      <x:c r="F91" t="str">
        <x:v>HD Seaviewer Drop Camera</x:v>
      </x:c>
      <x:c r="G91" t="str">
        <x:v>AA2017_094</x:v>
      </x:c>
      <x:c r="H91" t="str">
        <x:v>2/3/2017</x:v>
      </x:c>
      <x:c r="I91" t="str">
        <x:v>9:11:01</x:v>
      </x:c>
      <x:c r="J91" t="str">
        <x:v>18.27087506</x:v>
      </x:c>
      <x:c r="K91" t="str">
        <x:v>-65.11008525</x:v>
      </x:c>
      <x:c r="L91" t="str">
        <x:v>2069278.489</x:v>
      </x:c>
      <x:c r="M91" t="str">
        <x:v>-7248021.536</x:v>
      </x:c>
      <x:c r="N91" t="str">
        <x:v>-27.76519966</x:v>
      </x:c>
      <x:c r="O91" t="str">
        <x:v>https://nccospublicstor.blob.core.windows.net/biomapper/usviinsularshelf2017/videos/low/AA2017_094.mp4</x:v>
      </x:c>
      <x:c r="P91" t="str">
        <x:v>Present</x:v>
      </x:c>
      <x:c r="Q91" t="str">
        <x:v>Absent</x:v>
      </x:c>
      <x:c r="R91" t="str">
        <x:v>Absent</x:v>
      </x:c>
      <x:c r="S91" t="str">
        <x:v>Absent</x:v>
      </x:c>
      <x:c r="T91" t="str">
        <x:v>Present</x:v>
      </x:c>
      <x:c r="U91" t="str">
        <x:v>Absent</x:v>
      </x:c>
      <x:c r="V91" t="str">
        <x:v>Present</x:v>
      </x:c>
      <x:c r="W91" t="str">
        <x:v>Present</x:v>
      </x:c>
      <x:c r="X91" t="str">
        <x:v>Absent</x:v>
      </x:c>
      <x:c r="Y91" t="str">
        <x:v>Absent</x:v>
      </x:c>
      <x:c r="Z91" t="str">
        <x:v>Absent</x:v>
      </x:c>
      <x:c r="AA91" t="str">
        <x:v> </x:v>
      </x:c>
    </x:row>
    <x:row r="92">
      <x:c r="A92" t="str">
        <x:v>90</x:v>
      </x:c>
      <x:c r="B92" t="str">
        <x:v>90</x:v>
      </x:c>
      <x:c r="C92" t="str">
        <x:v>Benthic Habitat Maps for the Insular Shelf South of St. Thomas and St. John</x:v>
      </x:c>
      <x:c r="D92" t="str">
        <x:v>St. Thomas, USVI</x:v>
      </x:c>
      <x:c r="E92" t="str">
        <x:v>AA</x:v>
      </x:c>
      <x:c r="F92" t="str">
        <x:v>HD Seaviewer Drop Camera</x:v>
      </x:c>
      <x:c r="G92" t="str">
        <x:v>AA2017_095</x:v>
      </x:c>
      <x:c r="H92" t="str">
        <x:v>2/3/2017</x:v>
      </x:c>
      <x:c r="I92" t="str">
        <x:v>9:03:18</x:v>
      </x:c>
      <x:c r="J92" t="str">
        <x:v>18.28015716</x:v>
      </x:c>
      <x:c r="K92" t="str">
        <x:v>-65.11196698</x:v>
      </x:c>
      <x:c r="L92" t="str">
        <x:v>2070366.655</x:v>
      </x:c>
      <x:c r="M92" t="str">
        <x:v>-7248231.009</x:v>
      </x:c>
      <x:c r="N92" t="str">
        <x:v>-27.71879959</x:v>
      </x:c>
      <x:c r="O92" t="str">
        <x:v>https://nccospublicstor.blob.core.windows.net/biomapper/usviinsularshelf2017/videos/low/AA2017_095.mp4</x:v>
      </x:c>
      <x:c r="P92" t="str">
        <x:v>Present</x:v>
      </x:c>
      <x:c r="Q92" t="str">
        <x:v>Absent</x:v>
      </x:c>
      <x:c r="R92" t="str">
        <x:v>Absent</x:v>
      </x:c>
      <x:c r="S92" t="str">
        <x:v>Absent</x:v>
      </x:c>
      <x:c r="T92" t="str">
        <x:v>Present</x:v>
      </x:c>
      <x:c r="U92" t="str">
        <x:v>Present</x:v>
      </x:c>
      <x:c r="V92" t="str">
        <x:v>Present</x:v>
      </x:c>
      <x:c r="W92" t="str">
        <x:v>Present</x:v>
      </x:c>
      <x:c r="X92" t="str">
        <x:v>Absent</x:v>
      </x:c>
      <x:c r="Y92" t="str">
        <x:v>Absent</x:v>
      </x:c>
      <x:c r="Z92" t="str">
        <x:v>Absent</x:v>
      </x:c>
      <x:c r="AA92" t="str">
        <x:v> </x:v>
      </x:c>
    </x:row>
    <x:row r="93">
      <x:c r="A93" t="str">
        <x:v>91</x:v>
      </x:c>
      <x:c r="B93" t="str">
        <x:v>91</x:v>
      </x:c>
      <x:c r="C93" t="str">
        <x:v>Benthic Habitat Maps for the Insular Shelf South of St. Thomas and St. John</x:v>
      </x:c>
      <x:c r="D93" t="str">
        <x:v>St. Thomas, USVI</x:v>
      </x:c>
      <x:c r="E93" t="str">
        <x:v>AA</x:v>
      </x:c>
      <x:c r="F93" t="str">
        <x:v>HD Seaviewer Drop Camera</x:v>
      </x:c>
      <x:c r="G93" t="str">
        <x:v>AA2017_096</x:v>
      </x:c>
      <x:c r="H93" t="str">
        <x:v>2/3/2017</x:v>
      </x:c>
      <x:c r="I93" t="str">
        <x:v>8:28:44</x:v>
      </x:c>
      <x:c r="J93" t="str">
        <x:v>18.25200238</x:v>
      </x:c>
      <x:c r="K93" t="str">
        <x:v>-65.10937592</x:v>
      </x:c>
      <x:c r="L93" t="str">
        <x:v>2067066.171</x:v>
      </x:c>
      <x:c r="M93" t="str">
        <x:v>-7247942.573</x:v>
      </x:c>
      <x:c r="N93" t="str">
        <x:v>-28.68889999</x:v>
      </x:c>
      <x:c r="O93" t="str">
        <x:v>https://nccospublicstor.blob.core.windows.net/biomapper/usviinsularshelf2017/videos/low/AA2017_096.mp4</x:v>
      </x:c>
      <x:c r="P93" t="str">
        <x:v>Present</x:v>
      </x:c>
      <x:c r="Q93" t="str">
        <x:v>Absent</x:v>
      </x:c>
      <x:c r="R93" t="str">
        <x:v>Absent</x:v>
      </x:c>
      <x:c r="S93" t="str">
        <x:v>Absent</x:v>
      </x:c>
      <x:c r="T93" t="str">
        <x:v>Present</x:v>
      </x:c>
      <x:c r="U93" t="str">
        <x:v>Present</x:v>
      </x:c>
      <x:c r="V93" t="str">
        <x:v>Present</x:v>
      </x:c>
      <x:c r="W93" t="str">
        <x:v>Present</x:v>
      </x:c>
      <x:c r="X93" t="str">
        <x:v>Absent</x:v>
      </x:c>
      <x:c r="Y93" t="str">
        <x:v>Absent</x:v>
      </x:c>
      <x:c r="Z93" t="str">
        <x:v>Absent</x:v>
      </x:c>
      <x:c r="AA93" t="str">
        <x:v> </x:v>
      </x:c>
    </x:row>
    <x:row r="94">
      <x:c r="A94" t="str">
        <x:v>92</x:v>
      </x:c>
      <x:c r="B94" t="str">
        <x:v>92</x:v>
      </x:c>
      <x:c r="C94" t="str">
        <x:v>Benthic Habitat Maps for the Insular Shelf South of St. Thomas and St. John</x:v>
      </x:c>
      <x:c r="D94" t="str">
        <x:v>St. Thomas, USVI</x:v>
      </x:c>
      <x:c r="E94" t="str">
        <x:v>AA</x:v>
      </x:c>
      <x:c r="F94" t="str">
        <x:v>HD Seaviewer Drop Camera</x:v>
      </x:c>
      <x:c r="G94" t="str">
        <x:v>AA2017_097</x:v>
      </x:c>
      <x:c r="H94" t="str">
        <x:v>1/30/2017</x:v>
      </x:c>
      <x:c r="I94" t="str">
        <x:v>13:57:31</x:v>
      </x:c>
      <x:c r="J94" t="str">
        <x:v>18.19771418</x:v>
      </x:c>
      <x:c r="K94" t="str">
        <x:v>-65.10589302</x:v>
      </x:c>
      <x:c r="L94" t="str">
        <x:v>2060703.671</x:v>
      </x:c>
      <x:c r="M94" t="str">
        <x:v>-7247554.859</x:v>
      </x:c>
      <x:c r="N94" t="str">
        <x:v>-42.14490128</x:v>
      </x:c>
      <x:c r="O94" t="str">
        <x:v>https://nccospublicstor.blob.core.windows.net/biomapper/usviinsularshelf2017/videos/low/AA2017_097.mp4</x:v>
      </x:c>
      <x:c r="P94" t="str">
        <x:v>Present</x:v>
      </x:c>
      <x:c r="Q94" t="str">
        <x:v>Absent</x:v>
      </x:c>
      <x:c r="R94" t="str">
        <x:v>Absent</x:v>
      </x:c>
      <x:c r="S94" t="str">
        <x:v>Present</x:v>
      </x:c>
      <x:c r="T94" t="str">
        <x:v>Present</x:v>
      </x:c>
      <x:c r="U94" t="str">
        <x:v>Absent</x:v>
      </x:c>
      <x:c r="V94" t="str">
        <x:v>Absent</x:v>
      </x:c>
      <x:c r="W94" t="str">
        <x:v>Absent</x:v>
      </x:c>
      <x:c r="X94" t="str">
        <x:v>Absent</x:v>
      </x:c>
      <x:c r="Y94" t="str">
        <x:v>Present</x:v>
      </x:c>
      <x:c r="Z94" t="str">
        <x:v>Absent</x:v>
      </x:c>
      <x:c r="AA94" t="str">
        <x:v>Line on bottom; Camera dropped on agg reef/sand boundary in spur and groove habitat.  GPS points look to be on agg reef</x:v>
      </x:c>
    </x:row>
    <x:row r="95">
      <x:c r="A95" t="str">
        <x:v>93</x:v>
      </x:c>
      <x:c r="B95" t="str">
        <x:v>93</x:v>
      </x:c>
      <x:c r="C95" t="str">
        <x:v>Benthic Habitat Maps for the Insular Shelf South of St. Thomas and St. John</x:v>
      </x:c>
      <x:c r="D95" t="str">
        <x:v>St. Thomas, USVI</x:v>
      </x:c>
      <x:c r="E95" t="str">
        <x:v>AA</x:v>
      </x:c>
      <x:c r="F95" t="str">
        <x:v>HD Seaviewer Drop Camera</x:v>
      </x:c>
      <x:c r="G95" t="str">
        <x:v>AA2017_098</x:v>
      </x:c>
      <x:c r="H95" t="str">
        <x:v>2/1/2017</x:v>
      </x:c>
      <x:c r="I95" t="str">
        <x:v>10:50:00</x:v>
      </x:c>
      <x:c r="J95" t="str">
        <x:v>18.22760658</x:v>
      </x:c>
      <x:c r="K95" t="str">
        <x:v>-65.10645544</x:v>
      </x:c>
      <x:c r="L95" t="str">
        <x:v>2064206.773</x:v>
      </x:c>
      <x:c r="M95" t="str">
        <x:v>-7247617.467</x:v>
      </x:c>
      <x:c r="N95" t="str">
        <x:v>-32.96350098</x:v>
      </x:c>
      <x:c r="O95" t="str">
        <x:v>https://nccospublicstor.blob.core.windows.net/biomapper/usviinsularshelf2017/videos/low/AA2017_098.mp4</x:v>
      </x:c>
      <x:c r="P95" t="str">
        <x:v>Present</x:v>
      </x:c>
      <x:c r="Q95" t="str">
        <x:v>Absent</x:v>
      </x:c>
      <x:c r="R95" t="str">
        <x:v>Absent</x:v>
      </x:c>
      <x:c r="S95" t="str">
        <x:v>Absent</x:v>
      </x:c>
      <x:c r="T95" t="str">
        <x:v>Present</x:v>
      </x:c>
      <x:c r="U95" t="str">
        <x:v>Absent</x:v>
      </x:c>
      <x:c r="V95" t="str">
        <x:v>Present</x:v>
      </x:c>
      <x:c r="W95" t="str">
        <x:v>Present</x:v>
      </x:c>
      <x:c r="X95" t="str">
        <x:v>Absent</x:v>
      </x:c>
      <x:c r="Y95" t="str">
        <x:v>Absent</x:v>
      </x:c>
      <x:c r="Z95" t="str">
        <x:v>Absent</x:v>
      </x:c>
      <x:c r="AA95" t="str">
        <x:v> </x:v>
      </x:c>
    </x:row>
    <x:row r="96">
      <x:c r="A96" t="str">
        <x:v>94</x:v>
      </x:c>
      <x:c r="B96" t="str">
        <x:v>94</x:v>
      </x:c>
      <x:c r="C96" t="str">
        <x:v>Benthic Habitat Maps for the Insular Shelf South of St. Thomas and St. John</x:v>
      </x:c>
      <x:c r="D96" t="str">
        <x:v>St. Thomas, USVI</x:v>
      </x:c>
      <x:c r="E96" t="str">
        <x:v>AA</x:v>
      </x:c>
      <x:c r="F96" t="str">
        <x:v>HD Seaviewer Drop Camera</x:v>
      </x:c>
      <x:c r="G96" t="str">
        <x:v>AA2017_099</x:v>
      </x:c>
      <x:c r="H96" t="str">
        <x:v>1/30/2017</x:v>
      </x:c>
      <x:c r="I96" t="str">
        <x:v>14:57:46</x:v>
      </x:c>
      <x:c r="J96" t="str">
        <x:v>18.2169791</x:v>
      </x:c>
      <x:c r="K96" t="str">
        <x:v>-65.10596377</x:v>
      </x:c>
      <x:c r="L96" t="str">
        <x:v>2062961.265</x:v>
      </x:c>
      <x:c r="M96" t="str">
        <x:v>-7247562.735</x:v>
      </x:c>
      <x:c r="N96" t="str">
        <x:v>-39.53329849</x:v>
      </x:c>
      <x:c r="O96" t="str">
        <x:v>https://nccospublicstor.blob.core.windows.net/biomapper/usviinsularshelf2017/videos/low/AA2017_099.mp4</x:v>
      </x:c>
      <x:c r="P96" t="str">
        <x:v>Present</x:v>
      </x:c>
      <x:c r="Q96" t="str">
        <x:v>Absent</x:v>
      </x:c>
      <x:c r="R96" t="str">
        <x:v>Absent</x:v>
      </x:c>
      <x:c r="S96" t="str">
        <x:v>Absent</x:v>
      </x:c>
      <x:c r="T96" t="str">
        <x:v>Present</x:v>
      </x:c>
      <x:c r="U96" t="str">
        <x:v>Absent</x:v>
      </x:c>
      <x:c r="V96" t="str">
        <x:v>Present</x:v>
      </x:c>
      <x:c r="W96" t="str">
        <x:v>Absent</x:v>
      </x:c>
      <x:c r="X96" t="str">
        <x:v>Absent</x:v>
      </x:c>
      <x:c r="Y96" t="str">
        <x:v>Absent</x:v>
      </x:c>
      <x:c r="Z96" t="str">
        <x:v>Absent</x:v>
      </x:c>
      <x:c r="AA96" t="str">
        <x:v>1 lionfish</x:v>
      </x:c>
    </x:row>
    <x:row r="97">
      <x:c r="A97" t="str">
        <x:v>95</x:v>
      </x:c>
      <x:c r="B97" t="str">
        <x:v>95</x:v>
      </x:c>
      <x:c r="C97" t="str">
        <x:v>Benthic Habitat Maps for the Insular Shelf South of St. Thomas and St. John</x:v>
      </x:c>
      <x:c r="D97" t="str">
        <x:v>St. Thomas, USVI</x:v>
      </x:c>
      <x:c r="E97" t="str">
        <x:v>AA</x:v>
      </x:c>
      <x:c r="F97" t="str">
        <x:v>HD Seaviewer Drop Camera</x:v>
      </x:c>
      <x:c r="G97" t="str">
        <x:v>AA2017_101</x:v>
      </x:c>
      <x:c r="H97" t="str">
        <x:v>1/30/2017</x:v>
      </x:c>
      <x:c r="I97" t="str">
        <x:v>14:13:16</x:v>
      </x:c>
      <x:c r="J97" t="str">
        <x:v>18.20973483</x:v>
      </x:c>
      <x:c r="K97" t="str">
        <x:v>-65.10310859</x:v>
      </x:c>
      <x:c r="L97" t="str">
        <x:v>2062112.303</x:v>
      </x:c>
      <x:c r="M97" t="str">
        <x:v>-7247244.897</x:v>
      </x:c>
      <x:c r="N97" t="str">
        <x:v>-35.92760086</x:v>
      </x:c>
      <x:c r="O97" t="str">
        <x:v>https://nccospublicstor.blob.core.windows.net/biomapper/usviinsularshelf2017/videos/low/AA2017_101.mp4</x:v>
      </x:c>
      <x:c r="P97" t="str">
        <x:v>Present</x:v>
      </x:c>
      <x:c r="Q97" t="str">
        <x:v>Absent</x:v>
      </x:c>
      <x:c r="R97" t="str">
        <x:v>Absent</x:v>
      </x:c>
      <x:c r="S97" t="str">
        <x:v>Absent</x:v>
      </x:c>
      <x:c r="T97" t="str">
        <x:v>Present</x:v>
      </x:c>
      <x:c r="U97" t="str">
        <x:v>Present</x:v>
      </x:c>
      <x:c r="V97" t="str">
        <x:v>Present</x:v>
      </x:c>
      <x:c r="W97" t="str">
        <x:v>Absent</x:v>
      </x:c>
      <x:c r="X97" t="str">
        <x:v>Absent</x:v>
      </x:c>
      <x:c r="Y97" t="str">
        <x:v>Present</x:v>
      </x:c>
      <x:c r="Z97" t="str">
        <x:v>Absent</x:v>
      </x:c>
      <x:c r="AA97" t="str">
        <x:v>Line on bottom; Orbicella franksi; Montasteria cavernosa; Partial bleaching</x:v>
      </x:c>
    </x:row>
    <x:row r="98">
      <x:c r="A98" t="str">
        <x:v>96</x:v>
      </x:c>
      <x:c r="B98" t="str">
        <x:v>96</x:v>
      </x:c>
      <x:c r="C98" t="str">
        <x:v>Benthic Habitat Maps for the Insular Shelf South of St. Thomas and St. John</x:v>
      </x:c>
      <x:c r="D98" t="str">
        <x:v>St. Thomas, USVI</x:v>
      </x:c>
      <x:c r="E98" t="str">
        <x:v>AA</x:v>
      </x:c>
      <x:c r="F98" t="str">
        <x:v>HD Seaviewer Drop Camera</x:v>
      </x:c>
      <x:c r="G98" t="str">
        <x:v>AA2017_102</x:v>
      </x:c>
      <x:c r="H98" t="str">
        <x:v>1/30/2017</x:v>
      </x:c>
      <x:c r="I98" t="str">
        <x:v>14:05:07</x:v>
      </x:c>
      <x:c r="J98" t="str">
        <x:v>18.19958924</x:v>
      </x:c>
      <x:c r="K98" t="str">
        <x:v>-65.10184702</x:v>
      </x:c>
      <x:c r="L98" t="str">
        <x:v>2060923.392</x:v>
      </x:c>
      <x:c r="M98" t="str">
        <x:v>-7247104.46</x:v>
      </x:c>
      <x:c r="N98" t="str">
        <x:v>-41.90710068</x:v>
      </x:c>
      <x:c r="O98" t="str">
        <x:v>https://nccospublicstor.blob.core.windows.net/biomapper/usviinsularshelf2017/videos/low/AA2017_102.mp4</x:v>
      </x:c>
      <x:c r="P98" t="str">
        <x:v>Present</x:v>
      </x:c>
      <x:c r="Q98" t="str">
        <x:v>Absent</x:v>
      </x:c>
      <x:c r="R98" t="str">
        <x:v>Absent</x:v>
      </x:c>
      <x:c r="S98" t="str">
        <x:v>Present</x:v>
      </x:c>
      <x:c r="T98" t="str">
        <x:v>Present</x:v>
      </x:c>
      <x:c r="U98" t="str">
        <x:v>Absent</x:v>
      </x:c>
      <x:c r="V98" t="str">
        <x:v>Absent</x:v>
      </x:c>
      <x:c r="W98" t="str">
        <x:v>Absent</x:v>
      </x:c>
      <x:c r="X98" t="str">
        <x:v>Absent</x:v>
      </x:c>
      <x:c r="Y98" t="str">
        <x:v>Absent</x:v>
      </x:c>
      <x:c r="Z98" t="str">
        <x:v>Absent</x:v>
      </x:c>
      <x:c r="AA98" t="str">
        <x:v> </x:v>
      </x:c>
    </x:row>
    <x:row r="99">
      <x:c r="A99" t="str">
        <x:v>97</x:v>
      </x:c>
      <x:c r="B99" t="str">
        <x:v>97</x:v>
      </x:c>
      <x:c r="C99" t="str">
        <x:v>Benthic Habitat Maps for the Insular Shelf South of St. Thomas and St. John</x:v>
      </x:c>
      <x:c r="D99" t="str">
        <x:v>St. Thomas, USVI</x:v>
      </x:c>
      <x:c r="E99" t="str">
        <x:v>AA</x:v>
      </x:c>
      <x:c r="F99" t="str">
        <x:v>HD Seaviewer Drop Camera</x:v>
      </x:c>
      <x:c r="G99" t="str">
        <x:v>AA2017_103</x:v>
      </x:c>
      <x:c r="H99" t="str">
        <x:v>2/3/2017</x:v>
      </x:c>
      <x:c r="I99" t="str">
        <x:v>8:22:12</x:v>
      </x:c>
      <x:c r="J99" t="str">
        <x:v>18.25086352</x:v>
      </x:c>
      <x:c r="K99" t="str">
        <x:v>-65.10199366</x:v>
      </x:c>
      <x:c r="L99" t="str">
        <x:v>2066932.678</x:v>
      </x:c>
      <x:c r="M99" t="str">
        <x:v>-7247120.784</x:v>
      </x:c>
      <x:c r="N99" t="str">
        <x:v>-27.75620079</x:v>
      </x:c>
      <x:c r="O99" t="str">
        <x:v>https://nccospublicstor.blob.core.windows.net/biomapper/usviinsularshelf2017/videos/low/AA2017_103.mp4</x:v>
      </x:c>
      <x:c r="P99" t="str">
        <x:v>Present</x:v>
      </x:c>
      <x:c r="Q99" t="str">
        <x:v>Absent</x:v>
      </x:c>
      <x:c r="R99" t="str">
        <x:v>Absent</x:v>
      </x:c>
      <x:c r="S99" t="str">
        <x:v>Absent</x:v>
      </x:c>
      <x:c r="T99" t="str">
        <x:v>Present</x:v>
      </x:c>
      <x:c r="U99" t="str">
        <x:v>Present</x:v>
      </x:c>
      <x:c r="V99" t="str">
        <x:v>Present</x:v>
      </x:c>
      <x:c r="W99" t="str">
        <x:v>Absent</x:v>
      </x:c>
      <x:c r="X99" t="str">
        <x:v>Absent</x:v>
      </x:c>
      <x:c r="Y99" t="str">
        <x:v>Absent</x:v>
      </x:c>
      <x:c r="Z99" t="str">
        <x:v>Absent</x:v>
      </x:c>
      <x:c r="AA99" t="str">
        <x:v> </x:v>
      </x:c>
    </x:row>
    <x:row r="100">
      <x:c r="A100" t="str">
        <x:v>98</x:v>
      </x:c>
      <x:c r="B100" t="str">
        <x:v>98</x:v>
      </x:c>
      <x:c r="C100" t="str">
        <x:v>Benthic Habitat Maps for the Insular Shelf South of St. Thomas and St. John</x:v>
      </x:c>
      <x:c r="D100" t="str">
        <x:v>St. Thomas, USVI</x:v>
      </x:c>
      <x:c r="E100" t="str">
        <x:v>AA</x:v>
      </x:c>
      <x:c r="F100" t="str">
        <x:v>HD Seaviewer Drop Camera</x:v>
      </x:c>
      <x:c r="G100" t="str">
        <x:v>AA2017_104</x:v>
      </x:c>
      <x:c r="H100" t="str">
        <x:v>2/1/2017</x:v>
      </x:c>
      <x:c r="I100" t="str">
        <x:v>10:42:16</x:v>
      </x:c>
      <x:c r="J100" t="str">
        <x:v>18.22970909</x:v>
      </x:c>
      <x:c r="K100" t="str">
        <x:v>-65.10126136</x:v>
      </x:c>
      <x:c r="L100" t="str">
        <x:v>2064453.189</x:v>
      </x:c>
      <x:c r="M100" t="str">
        <x:v>-7247039.265</x:v>
      </x:c>
      <x:c r="N100" t="str">
        <x:v>-31.16119957</x:v>
      </x:c>
      <x:c r="O100" t="str">
        <x:v>https://nccospublicstor.blob.core.windows.net/biomapper/usviinsularshelf2017/videos/low/AA2017_104.mp4</x:v>
      </x:c>
      <x:c r="P100" t="str">
        <x:v>Present</x:v>
      </x:c>
      <x:c r="Q100" t="str">
        <x:v>Absent</x:v>
      </x:c>
      <x:c r="R100" t="str">
        <x:v>Absent</x:v>
      </x:c>
      <x:c r="S100" t="str">
        <x:v>Absent</x:v>
      </x:c>
      <x:c r="T100" t="str">
        <x:v>Present</x:v>
      </x:c>
      <x:c r="U100" t="str">
        <x:v>Absent</x:v>
      </x:c>
      <x:c r="V100" t="str">
        <x:v>Present</x:v>
      </x:c>
      <x:c r="W100" t="str">
        <x:v>Present</x:v>
      </x:c>
      <x:c r="X100" t="str">
        <x:v>Absent</x:v>
      </x:c>
      <x:c r="Y100" t="str">
        <x:v>Absent</x:v>
      </x:c>
      <x:c r="Z100" t="str">
        <x:v>Absent</x:v>
      </x:c>
      <x:c r="AA100" t="str">
        <x:v>20-30% live hard coral cover</x:v>
      </x:c>
    </x:row>
    <x:row r="101">
      <x:c r="A101" t="str">
        <x:v>99</x:v>
      </x:c>
      <x:c r="B101" t="str">
        <x:v>99</x:v>
      </x:c>
      <x:c r="C101" t="str">
        <x:v>Benthic Habitat Maps for the Insular Shelf South of St. Thomas and St. John</x:v>
      </x:c>
      <x:c r="D101" t="str">
        <x:v>St. Thomas, USVI</x:v>
      </x:c>
      <x:c r="E101" t="str">
        <x:v>AA</x:v>
      </x:c>
      <x:c r="F101" t="str">
        <x:v>HD Seaviewer Drop Camera</x:v>
      </x:c>
      <x:c r="G101" t="str">
        <x:v>AA2017_105</x:v>
      </x:c>
      <x:c r="H101" t="str">
        <x:v>2/3/2017</x:v>
      </x:c>
      <x:c r="I101" t="str">
        <x:v>8:54:21</x:v>
      </x:c>
      <x:c r="J101" t="str">
        <x:v>18.28031396</x:v>
      </x:c>
      <x:c r="K101" t="str">
        <x:v>-65.10175345</x:v>
      </x:c>
      <x:c r="L101" t="str">
        <x:v>2070385.037</x:v>
      </x:c>
      <x:c r="M101" t="str">
        <x:v>-7247094.044</x:v>
      </x:c>
      <x:c r="N101" t="str">
        <x:v>-33.19250107</x:v>
      </x:c>
      <x:c r="O101" t="str">
        <x:v>https://nccospublicstor.blob.core.windows.net/biomapper/usviinsularshelf2017/videos/low/AA2017_105.mp4</x:v>
      </x:c>
      <x:c r="P101" t="str">
        <x:v>Absent</x:v>
      </x:c>
      <x:c r="Q101" t="str">
        <x:v>Absent</x:v>
      </x:c>
      <x:c r="R101" t="str">
        <x:v>Absent</x:v>
      </x:c>
      <x:c r="S101" t="str">
        <x:v>Present</x:v>
      </x:c>
      <x:c r="T101" t="str">
        <x:v>Absent</x:v>
      </x:c>
      <x:c r="U101" t="str">
        <x:v>Absent</x:v>
      </x:c>
      <x:c r="V101" t="str">
        <x:v>Absent</x:v>
      </x:c>
      <x:c r="W101" t="str">
        <x:v>Absent</x:v>
      </x:c>
      <x:c r="X101" t="str">
        <x:v>Absent</x:v>
      </x:c>
      <x:c r="Y101" t="str">
        <x:v>Absent</x:v>
      </x:c>
      <x:c r="Z101" t="str">
        <x:v>Absent</x:v>
      </x:c>
      <x:c r="AA101" t="str">
        <x:v>Small patch reefs and sponges present on descent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13" hidden="0" customWidth="1"/>
    <x:col min="5" max="5" width="22" hidden="0" customWidth="1"/>
    <x:col min="6" max="6" width="2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6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36" hidden="0" customWidth="1"/>
    <x:col min="30" max="30" width="36" hidden="0" customWidth="1"/>
  </x:cols>
  <x:sheetData>
    <x:row r="1">
      <x:c r="A1" s="23" t="str">
        <x:v>record_uid</x:v>
      </x:c>
      <x:c r="B1" s="23" t="str">
        <x:v>fid</x:v>
      </x:c>
      <x:c r="C1" s="23" t="str">
        <x:v>geographic_region</x:v>
      </x:c>
      <x:c r="D1" s="23" t="str">
        <x:v>site_type</x:v>
      </x:c>
      <x:c r="E1" s="23" t="str">
        <x:v>site_type_label</x:v>
      </x:c>
      <x:c r="F1" s="23" t="str">
        <x:v>assessment_type</x:v>
      </x:c>
      <x:c r="G1" s="23" t="str">
        <x:v>site_id</x:v>
      </x:c>
      <x:c r="H1" s="23" t="str">
        <x:v>date_collected</x:v>
      </x:c>
      <x:c r="I1" s="23" t="str">
        <x:v>time_collected</x:v>
      </x:c>
      <x:c r="J1" s="23" t="str">
        <x:v>survey_year</x:v>
      </x:c>
      <x:c r="K1" s="23" t="str">
        <x:v>latitude</x:v>
      </x:c>
      <x:c r="L1" s="23" t="str">
        <x:v>longitude</x:v>
      </x:c>
      <x:c r="M1" s="23" t="str">
        <x:v>depth_m_abs</x:v>
      </x:c>
      <x:c r="N1" s="23" t="str">
        <x:v>url_link</x:v>
      </x:c>
      <x:c r="O1" s="23" t="str">
        <x:v>coral_reef_present</x:v>
      </x:c>
      <x:c r="P1" s="23" t="str">
        <x:v>pavement_present</x:v>
      </x:c>
      <x:c r="Q1" s="23" t="str">
        <x:v>rhodolith_present</x:v>
      </x:c>
      <x:c r="R1" s="23" t="str">
        <x:v>sand_present</x:v>
      </x:c>
      <x:c r="S1" s="23" t="str">
        <x:v>hard_coral_present</x:v>
      </x:c>
      <x:c r="T1" s="23" t="str">
        <x:v>soft_coral_present</x:v>
      </x:c>
      <x:c r="U1" s="23" t="str">
        <x:v>macroalgae_present</x:v>
      </x:c>
      <x:c r="V1" s="23" t="str">
        <x:v>sponge_present</x:v>
      </x:c>
      <x:c r="W1" s="23" t="str">
        <x:v>seagrass_present</x:v>
      </x:c>
      <x:c r="X1" s="23" t="str">
        <x:v>artificial_present</x:v>
      </x:c>
      <x:c r="Y1" s="23" t="str">
        <x:v>unknown_present</x:v>
      </x:c>
      <x:c r="Z1" s="23" t="str">
        <x:v>core_substrate_count</x:v>
      </x:c>
      <x:c r="AA1" s="23" t="str">
        <x:v>core_biological_cover_count</x:v>
      </x:c>
      <x:c r="AB1" s="23" t="str">
        <x:v>qa_status</x:v>
      </x:c>
      <x:c r="AC1" s="23" t="str">
        <x:v>qa_reason</x:v>
      </x:c>
      <x:c r="AD1" s="23" t="str">
        <x:v>notes</x:v>
      </x:c>
    </x:row>
    <x:row r="2">
      <x:c r="A2" t="str">
        <x:v>REC0001</x:v>
      </x:c>
      <x:c r="B2" t="n">
        <x:v>0</x:v>
      </x:c>
      <x:c r="C2" t="str">
        <x:v>Puerto Rico</x:v>
      </x:c>
      <x:c r="D2" t="str">
        <x:v>AA</x:v>
      </x:c>
      <x:c r="E2" t="str">
        <x:v>Accuracy Assessment</x:v>
      </x:c>
      <x:c r="F2" t="str">
        <x:v>HD Seaviewer Drop Camera</x:v>
      </x:c>
      <x:c r="G2" t="str">
        <x:v>AA2017_001</x:v>
      </x:c>
      <x:c r="H2" s="28" t="n">
        <x:v>42766</x:v>
      </x:c>
      <x:c r="I2" t="str">
        <x:v>11:18:14</x:v>
      </x:c>
      <x:c r="J2" t="n">
        <x:v>2017</x:v>
      </x:c>
      <x:c r="K2" t="n">
        <x:v>18.14177272</x:v>
      </x:c>
      <x:c r="L2" t="n">
        <x:v>-65.26049206</x:v>
      </x:c>
      <x:c r="M2" t="n">
        <x:v>29.57</x:v>
      </x:c>
      <x:c r="N2" t="str">
        <x:v>https://nccospublicstor.blob.core.windows.net/biomapper/usviinsularshelf2017/videos/low/AA2017_001.mp4</x:v>
      </x:c>
      <x:c r="O2" t="n">
        <x:v>0</x:v>
      </x:c>
      <x:c r="P2" t="n">
        <x:v>0</x:v>
      </x:c>
      <x:c r="Q2" t="n">
        <x:v>1</x:v>
      </x:c>
      <x:c r="R2" t="n">
        <x:v>0</x:v>
      </x:c>
      <x:c r="S2" t="n">
        <x:v>0</x:v>
      </x:c>
      <x:c r="T2" t="n">
        <x:v>0</x:v>
      </x:c>
      <x:c r="U2" t="n">
        <x:v>1</x:v>
      </x:c>
      <x:c r="V2" t="n">
        <x:v>1</x:v>
      </x:c>
      <x:c r="W2" t="n">
        <x:v>0</x:v>
      </x:c>
      <x:c r="X2" t="n">
        <x:v>0</x:v>
      </x:c>
      <x:c r="Y2" t="n">
        <x:v>0</x:v>
      </x:c>
      <x:c r="Z2" t="n">
        <x:v>1</x:v>
      </x:c>
      <x:c r="AA2" t="n">
        <x:v>2</x:v>
      </x:c>
      <x:c r="AB2" t="str">
        <x:v>Pass</x:v>
      </x:c>
      <x:c r="AC2" t="str"/>
      <x:c r="AD2" t="str"/>
    </x:row>
    <x:row r="3">
      <x:c r="A3" t="str">
        <x:v>REC0002</x:v>
      </x:c>
      <x:c r="B3" t="n">
        <x:v>1</x:v>
      </x:c>
      <x:c r="C3" t="str">
        <x:v>Puerto Rico</x:v>
      </x:c>
      <x:c r="D3" t="str">
        <x:v>AA</x:v>
      </x:c>
      <x:c r="E3" t="str">
        <x:v>Accuracy Assessment</x:v>
      </x:c>
      <x:c r="F3" t="str">
        <x:v>HD Seaviewer Drop Camera</x:v>
      </x:c>
      <x:c r="G3" t="str">
        <x:v>AA2017_002</x:v>
      </x:c>
      <x:c r="H3" s="28" t="n">
        <x:v>42766</x:v>
      </x:c>
      <x:c r="I3" t="str">
        <x:v>13:27:48</x:v>
      </x:c>
      <x:c r="J3" t="n">
        <x:v>2017</x:v>
      </x:c>
      <x:c r="K3" t="n">
        <x:v>18.17255858</x:v>
      </x:c>
      <x:c r="L3" t="n">
        <x:v>-65.25986648</x:v>
      </x:c>
      <x:c r="M3" t="n">
        <x:v>28.85</x:v>
      </x:c>
      <x:c r="N3" t="str">
        <x:v>https://nccospublicstor.blob.core.windows.net/biomapper/usviinsularshelf2017/videos/low/AA2017_002.mp4</x:v>
      </x:c>
      <x:c r="O3" t="n">
        <x:v>0</x:v>
      </x:c>
      <x:c r="P3" t="n">
        <x:v>1</x:v>
      </x:c>
      <x:c r="Q3" t="n">
        <x:v>1</x:v>
      </x:c>
      <x:c r="R3" t="n">
        <x:v>0</x:v>
      </x:c>
      <x:c r="S3" t="n">
        <x:v>1</x:v>
      </x:c>
      <x:c r="T3" t="n">
        <x:v>0</x:v>
      </x:c>
      <x:c r="U3" t="n">
        <x:v>1</x:v>
      </x:c>
      <x:c r="V3" t="n">
        <x:v>1</x:v>
      </x:c>
      <x:c r="W3" t="n">
        <x:v>0</x:v>
      </x:c>
      <x:c r="X3" t="n">
        <x:v>0</x:v>
      </x:c>
      <x:c r="Y3" t="n">
        <x:v>0</x:v>
      </x:c>
      <x:c r="Z3" t="n">
        <x:v>2</x:v>
      </x:c>
      <x:c r="AA3" t="n">
        <x:v>3</x:v>
      </x:c>
      <x:c r="AB3" t="str">
        <x:v>Pass</x:v>
      </x:c>
      <x:c r="AC3" t="str"/>
      <x:c r="AD3" t="str"/>
    </x:row>
    <x:row r="4">
      <x:c r="A4" t="str">
        <x:v>REC0003</x:v>
      </x:c>
      <x:c r="B4" t="n">
        <x:v>2</x:v>
      </x:c>
      <x:c r="C4" t="str">
        <x:v>Puerto Rico</x:v>
      </x:c>
      <x:c r="D4" t="str">
        <x:v>AA</x:v>
      </x:c>
      <x:c r="E4" t="str">
        <x:v>Accuracy Assessment</x:v>
      </x:c>
      <x:c r="F4" t="str">
        <x:v>HD Seaviewer Drop Camera</x:v>
      </x:c>
      <x:c r="G4" t="str">
        <x:v>AA2017_003</x:v>
      </x:c>
      <x:c r="H4" s="28" t="n">
        <x:v>42766</x:v>
      </x:c>
      <x:c r="I4" t="str">
        <x:v>13:18:48</x:v>
      </x:c>
      <x:c r="J4" t="n">
        <x:v>2017</x:v>
      </x:c>
      <x:c r="K4" t="n">
        <x:v>18.16452229</x:v>
      </x:c>
      <x:c r="L4" t="n">
        <x:v>-65.25818119</x:v>
      </x:c>
      <x:c r="M4" t="n">
        <x:v>29.08</x:v>
      </x:c>
      <x:c r="N4" t="str">
        <x:v>https://nccospublicstor.blob.core.windows.net/biomapper/usviinsularshelf2017/videos/low/AA2017_003.mp4</x:v>
      </x:c>
      <x:c r="O4" t="n">
        <x:v>0</x:v>
      </x:c>
      <x:c r="P4" t="n">
        <x:v>1</x:v>
      </x:c>
      <x:c r="Q4" t="n">
        <x:v>1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1</x:v>
      </x:c>
      <x:c r="W4" t="n">
        <x:v>0</x:v>
      </x:c>
      <x:c r="X4" t="n">
        <x:v>0</x:v>
      </x:c>
      <x:c r="Y4" t="n">
        <x:v>0</x:v>
      </x:c>
      <x:c r="Z4" t="n">
        <x:v>2</x:v>
      </x:c>
      <x:c r="AA4" t="n">
        <x:v>1</x:v>
      </x:c>
      <x:c r="AB4" t="str">
        <x:v>Pass</x:v>
      </x:c>
      <x:c r="AC4" t="str"/>
      <x:c r="AD4" t="str"/>
    </x:row>
    <x:row r="5">
      <x:c r="A5" t="str">
        <x:v>REC0004</x:v>
      </x:c>
      <x:c r="B5" t="n">
        <x:v>3</x:v>
      </x:c>
      <x:c r="C5" t="str">
        <x:v>Puerto Rico</x:v>
      </x:c>
      <x:c r="D5" t="str">
        <x:v>AA</x:v>
      </x:c>
      <x:c r="E5" t="str">
        <x:v>Accuracy Assessment</x:v>
      </x:c>
      <x:c r="F5" t="str">
        <x:v>HD Seaviewer Drop Camera</x:v>
      </x:c>
      <x:c r="G5" t="str">
        <x:v>AA2017_004</x:v>
      </x:c>
      <x:c r="H5" s="28" t="n">
        <x:v>42766</x:v>
      </x:c>
      <x:c r="I5" t="str">
        <x:v>11:54:57</x:v>
      </x:c>
      <x:c r="J5" t="n">
        <x:v>2017</x:v>
      </x:c>
      <x:c r="K5" t="n">
        <x:v>18.15550778</x:v>
      </x:c>
      <x:c r="L5" t="n">
        <x:v>-65.25778421</x:v>
      </x:c>
      <x:c r="M5" t="n">
        <x:v>28.077</x:v>
      </x:c>
      <x:c r="N5" t="str">
        <x:v>https://nccospublicstor.blob.core.windows.net/biomapper/usviinsularshelf2017/videos/low/AA2017_004.mp4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1</x:v>
      </x:c>
      <x:c r="T5" t="n">
        <x:v>0</x:v>
      </x:c>
      <x:c r="U5" t="n">
        <x:v>0</x:v>
      </x:c>
      <x:c r="V5" t="n">
        <x:v>1</x:v>
      </x:c>
      <x:c r="W5" t="n">
        <x:v>0</x:v>
      </x:c>
      <x:c r="X5" t="n">
        <x:v>0</x:v>
      </x:c>
      <x:c r="Y5" t="n">
        <x:v>0</x:v>
      </x:c>
      <x:c r="Z5" t="n">
        <x:v>1</x:v>
      </x:c>
      <x:c r="AA5" t="n">
        <x:v>2</x:v>
      </x:c>
      <x:c r="AB5" t="str">
        <x:v>Pass</x:v>
      </x:c>
      <x:c r="AC5" t="str"/>
      <x:c r="AD5" t="str">
        <x:v>Video blank for most of video captures 40, 41, and 42</x:v>
      </x:c>
    </x:row>
    <x:row r="6">
      <x:c r="A6" t="str">
        <x:v>REC0005</x:v>
      </x:c>
      <x:c r="B6" t="n">
        <x:v>4</x:v>
      </x:c>
      <x:c r="C6" t="str">
        <x:v>Puerto Rico</x:v>
      </x:c>
      <x:c r="D6" t="str">
        <x:v>AA</x:v>
      </x:c>
      <x:c r="E6" t="str">
        <x:v>Accuracy Assessment</x:v>
      </x:c>
      <x:c r="F6" t="str">
        <x:v>HD Seaviewer Drop Camera</x:v>
      </x:c>
      <x:c r="G6" t="str">
        <x:v>AA2017_005</x:v>
      </x:c>
      <x:c r="H6" s="28" t="n">
        <x:v>42766</x:v>
      </x:c>
      <x:c r="I6" t="str">
        <x:v>11:11:20</x:v>
      </x:c>
      <x:c r="J6" t="n">
        <x:v>2017</x:v>
      </x:c>
      <x:c r="K6" t="n">
        <x:v>18.14139594</x:v>
      </x:c>
      <x:c r="L6" t="n">
        <x:v>-65.2525359</x:v>
      </x:c>
      <x:c r="M6" t="n">
        <x:v>32.72</x:v>
      </x:c>
      <x:c r="N6" t="str">
        <x:v>https://nccospublicstor.blob.core.windows.net/biomapper/usviinsularshelf2017/videos/low/AA2017_005.mp4</x:v>
      </x:c>
      <x:c r="O6" t="n">
        <x:v>0</x:v>
      </x:c>
      <x:c r="P6" t="n">
        <x:v>0</x:v>
      </x:c>
      <x:c r="Q6" t="n">
        <x:v>1</x:v>
      </x:c>
      <x:c r="R6" t="n">
        <x:v>0</x:v>
      </x:c>
      <x:c r="S6" t="n">
        <x:v>0</x:v>
      </x:c>
      <x:c r="T6" t="n">
        <x:v>0</x:v>
      </x:c>
      <x:c r="U6" t="n">
        <x:v>1</x:v>
      </x:c>
      <x:c r="V6" t="n">
        <x:v>1</x:v>
      </x:c>
      <x:c r="W6" t="n">
        <x:v>0</x:v>
      </x:c>
      <x:c r="X6" t="n">
        <x:v>0</x:v>
      </x:c>
      <x:c r="Y6" t="n">
        <x:v>0</x:v>
      </x:c>
      <x:c r="Z6" t="n">
        <x:v>1</x:v>
      </x:c>
      <x:c r="AA6" t="n">
        <x:v>2</x:v>
      </x:c>
      <x:c r="AB6" t="str">
        <x:v>Pass</x:v>
      </x:c>
      <x:c r="AC6" t="str"/>
      <x:c r="AD6" t="str"/>
    </x:row>
    <x:row r="7">
      <x:c r="A7" t="str">
        <x:v>REC0006</x:v>
      </x:c>
      <x:c r="B7" t="n">
        <x:v>5</x:v>
      </x:c>
      <x:c r="C7" t="str">
        <x:v>Puerto Rico</x:v>
      </x:c>
      <x:c r="D7" t="str">
        <x:v>AA</x:v>
      </x:c>
      <x:c r="E7" t="str">
        <x:v>Accuracy Assessment</x:v>
      </x:c>
      <x:c r="F7" t="str">
        <x:v>HD Seaviewer Drop Camera</x:v>
      </x:c>
      <x:c r="G7" t="str">
        <x:v>AA2017_006</x:v>
      </x:c>
      <x:c r="H7" s="28" t="n">
        <x:v>42766</x:v>
      </x:c>
      <x:c r="I7" t="str">
        <x:v>12:42:08</x:v>
      </x:c>
      <x:c r="J7" t="n">
        <x:v>2017</x:v>
      </x:c>
      <x:c r="K7" t="n">
        <x:v>18.15623382</x:v>
      </x:c>
      <x:c r="L7" t="n">
        <x:v>-65.24683227</x:v>
      </x:c>
      <x:c r="M7" t="n">
        <x:v>30.781</x:v>
      </x:c>
      <x:c r="N7" t="str">
        <x:v>https://nccospublicstor.blob.core.windows.net/biomapper/usviinsularshelf2017/videos/low/AA2017_006.mp4</x:v>
      </x:c>
      <x:c r="O7" t="n">
        <x:v>0</x:v>
      </x:c>
      <x:c r="P7" t="n">
        <x:v>1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1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2</x:v>
      </x:c>
      <x:c r="AA7" t="n">
        <x:v>1</x:v>
      </x:c>
      <x:c r="AB7" t="str">
        <x:v>Pass</x:v>
      </x:c>
      <x:c r="AC7" t="str"/>
      <x:c r="AD7" t="str"/>
    </x:row>
    <x:row r="8">
      <x:c r="A8" t="str">
        <x:v>REC0007</x:v>
      </x:c>
      <x:c r="B8" t="n">
        <x:v>6</x:v>
      </x:c>
      <x:c r="C8" t="str">
        <x:v>Puerto Rico</x:v>
      </x:c>
      <x:c r="D8" t="str">
        <x:v>AA</x:v>
      </x:c>
      <x:c r="E8" t="str">
        <x:v>Accuracy Assessment</x:v>
      </x:c>
      <x:c r="F8" t="str">
        <x:v>HD Seaviewer Drop Camera</x:v>
      </x:c>
      <x:c r="G8" t="str">
        <x:v>AA2017_007</x:v>
      </x:c>
      <x:c r="H8" s="28" t="n">
        <x:v>42766</x:v>
      </x:c>
      <x:c r="I8" t="str">
        <x:v>12:13:49</x:v>
      </x:c>
      <x:c r="J8" t="n">
        <x:v>2017</x:v>
      </x:c>
      <x:c r="K8" t="n">
        <x:v>18.15043189</x:v>
      </x:c>
      <x:c r="L8" t="n">
        <x:v>-65.24499807</x:v>
      </x:c>
      <x:c r="M8" t="n">
        <x:v>34.002</x:v>
      </x:c>
      <x:c r="N8" t="str">
        <x:v>https://nccospublicstor.blob.core.windows.net/biomapper/usviinsularshelf2017/videos/low/AA2017_007.mp4</x:v>
      </x:c>
      <x:c r="O8" t="n">
        <x:v>0</x:v>
      </x:c>
      <x:c r="P8" t="n">
        <x:v>0</x:v>
      </x:c>
      <x:c r="Q8" t="n">
        <x:v>1</x:v>
      </x:c>
      <x:c r="R8" t="n">
        <x:v>0</x:v>
      </x:c>
      <x:c r="S8" t="n">
        <x:v>0</x:v>
      </x:c>
      <x:c r="T8" t="n">
        <x:v>0</x:v>
      </x:c>
      <x:c r="U8" t="n">
        <x:v>1</x:v>
      </x:c>
      <x:c r="V8" t="n">
        <x:v>1</x:v>
      </x:c>
      <x:c r="W8" t="n">
        <x:v>0</x:v>
      </x:c>
      <x:c r="X8" t="n">
        <x:v>0</x:v>
      </x:c>
      <x:c r="Y8" t="n">
        <x:v>0</x:v>
      </x:c>
      <x:c r="Z8" t="n">
        <x:v>1</x:v>
      </x:c>
      <x:c r="AA8" t="n">
        <x:v>2</x:v>
      </x:c>
      <x:c r="AB8" t="str">
        <x:v>Pass</x:v>
      </x:c>
      <x:c r="AC8" t="str"/>
      <x:c r="AD8" t="str"/>
    </x:row>
    <x:row r="9">
      <x:c r="A9" t="str">
        <x:v>REC0008</x:v>
      </x:c>
      <x:c r="B9" t="n">
        <x:v>7</x:v>
      </x:c>
      <x:c r="C9" t="str">
        <x:v>Puerto Rico</x:v>
      </x:c>
      <x:c r="D9" t="str">
        <x:v>AA</x:v>
      </x:c>
      <x:c r="E9" t="str">
        <x:v>Accuracy Assessment</x:v>
      </x:c>
      <x:c r="F9" t="str">
        <x:v>HD Seaviewer Drop Camera</x:v>
      </x:c>
      <x:c r="G9" t="str">
        <x:v>AA2017_008</x:v>
      </x:c>
      <x:c r="H9" s="28" t="n">
        <x:v>42766</x:v>
      </x:c>
      <x:c r="I9" t="str">
        <x:v>10:18:56</x:v>
      </x:c>
      <x:c r="J9" t="n">
        <x:v>2017</x:v>
      </x:c>
      <x:c r="K9" t="n">
        <x:v>18.12015293</x:v>
      </x:c>
      <x:c r="L9" t="n">
        <x:v>-65.23386329</x:v>
      </x:c>
      <x:c r="M9" t="n">
        <x:v>74.247</x:v>
      </x:c>
      <x:c r="N9" t="str">
        <x:v>https://nccospublicstor.blob.core.windows.net/biomapper/usviinsularshelf2017/videos/low/AA2017_008.mp4</x:v>
      </x:c>
      <x:c r="O9" t="n">
        <x:v>0</x:v>
      </x:c>
      <x:c r="P9" t="n">
        <x:v>1</x:v>
      </x:c>
      <x:c r="Q9" t="n">
        <x:v>1</x:v>
      </x:c>
      <x:c r="R9" t="n">
        <x:v>0</x:v>
      </x:c>
      <x:c r="S9" t="n">
        <x:v>1</x:v>
      </x:c>
      <x:c r="T9" t="n">
        <x:v>0</x:v>
      </x:c>
      <x:c r="U9" t="n">
        <x:v>1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2</x:v>
      </x:c>
      <x:c r="AA9" t="n">
        <x:v>3</x:v>
      </x:c>
      <x:c r="AB9" t="str">
        <x:v>Pass</x:v>
      </x:c>
      <x:c r="AC9" t="str"/>
      <x:c r="AD9" t="str">
        <x:v>Camera didn't reach the seafloor in the first video take; On boundary between pavement and rhodoliths.</x:v>
      </x:c>
    </x:row>
    <x:row r="10">
      <x:c r="A10" t="str">
        <x:v>REC0009</x:v>
      </x:c>
      <x:c r="B10" t="n">
        <x:v>8</x:v>
      </x:c>
      <x:c r="C10" t="str">
        <x:v>Puerto Rico</x:v>
      </x:c>
      <x:c r="D10" t="str">
        <x:v>AA</x:v>
      </x:c>
      <x:c r="E10" t="str">
        <x:v>Accuracy Assessment</x:v>
      </x:c>
      <x:c r="F10" t="str">
        <x:v>HD Seaviewer Drop Camera</x:v>
      </x:c>
      <x:c r="G10" t="str">
        <x:v>AA2017_009</x:v>
      </x:c>
      <x:c r="H10" s="28" t="n">
        <x:v>42766</x:v>
      </x:c>
      <x:c r="I10" t="str">
        <x:v>10:29:02</x:v>
      </x:c>
      <x:c r="J10" t="n">
        <x:v>2017</x:v>
      </x:c>
      <x:c r="K10" t="n">
        <x:v>18.12756251</x:v>
      </x:c>
      <x:c r="L10" t="n">
        <x:v>-65.23479692</x:v>
      </x:c>
      <x:c r="M10" t="n">
        <x:v>42.858</x:v>
      </x:c>
      <x:c r="N10" t="str">
        <x:v>https://nccospublicstor.blob.core.windows.net/biomapper/usviinsularshelf2017/videos/low/AA2017_009.mp4</x:v>
      </x:c>
      <x:c r="O10" t="n">
        <x:v>0</x:v>
      </x:c>
      <x:c r="P10" t="n">
        <x:v>0</x:v>
      </x:c>
      <x:c r="Q10" t="n">
        <x:v>1</x:v>
      </x:c>
      <x:c r="R10" t="n">
        <x:v>0</x:v>
      </x:c>
      <x:c r="S10" t="n">
        <x:v>0</x:v>
      </x:c>
      <x:c r="T10" t="n">
        <x:v>0</x:v>
      </x:c>
      <x:c r="U10" t="n">
        <x:v>1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1</x:v>
      </x:c>
      <x:c r="AA10" t="n">
        <x:v>1</x:v>
      </x:c>
      <x:c r="AB10" t="str">
        <x:v>Pass</x:v>
      </x:c>
      <x:c r="AC10" t="str"/>
      <x:c r="AD10" t="str"/>
    </x:row>
    <x:row r="11">
      <x:c r="A11" t="str">
        <x:v>REC0010</x:v>
      </x:c>
      <x:c r="B11" t="n">
        <x:v>9</x:v>
      </x:c>
      <x:c r="C11" t="str">
        <x:v>Puerto Rico</x:v>
      </x:c>
      <x:c r="D11" t="str">
        <x:v>AA</x:v>
      </x:c>
      <x:c r="E11" t="str">
        <x:v>Accuracy Assessment</x:v>
      </x:c>
      <x:c r="F11" t="str">
        <x:v>HD Seaviewer Drop Camera</x:v>
      </x:c>
      <x:c r="G11" t="str">
        <x:v>AA2017_010</x:v>
      </x:c>
      <x:c r="H11" s="28" t="n">
        <x:v>42766</x:v>
      </x:c>
      <x:c r="I11" t="str">
        <x:v>13:08:01</x:v>
      </x:c>
      <x:c r="J11" t="n">
        <x:v>2017</x:v>
      </x:c>
      <x:c r="K11" t="n">
        <x:v>18.16118431</x:v>
      </x:c>
      <x:c r="L11" t="n">
        <x:v>-65.23693544</x:v>
      </x:c>
      <x:c r="M11" t="n">
        <x:v>36.081</x:v>
      </x:c>
      <x:c r="N11" t="str">
        <x:v>https://nccospublicstor.blob.core.windows.net/biomapper/usviinsularshelf2017/videos/low/AA2017_010.mp4</x:v>
      </x:c>
      <x:c r="O11" t="n">
        <x:v>0</x:v>
      </x:c>
      <x:c r="P11" t="n">
        <x:v>0</x:v>
      </x:c>
      <x:c r="Q11" t="n">
        <x:v>1</x:v>
      </x:c>
      <x:c r="R11" t="n">
        <x:v>1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2</x:v>
      </x:c>
      <x:c r="AA11" t="n">
        <x:v>0</x:v>
      </x:c>
      <x:c r="AB11" t="str">
        <x:v>Pass</x:v>
      </x:c>
      <x:c r="AC11" t="str"/>
      <x:c r="AD11" t="str"/>
    </x:row>
    <x:row r="12">
      <x:c r="A12" t="str">
        <x:v>REC0011</x:v>
      </x:c>
      <x:c r="B12" t="n">
        <x:v>10</x:v>
      </x:c>
      <x:c r="C12" t="str">
        <x:v>Puerto Rico</x:v>
      </x:c>
      <x:c r="D12" t="str">
        <x:v>AA</x:v>
      </x:c>
      <x:c r="E12" t="str">
        <x:v>Accuracy Assessment</x:v>
      </x:c>
      <x:c r="F12" t="str">
        <x:v>HD Seaviewer Drop Camera</x:v>
      </x:c>
      <x:c r="G12" t="str">
        <x:v>AA2017_011</x:v>
      </x:c>
      <x:c r="H12" s="28" t="n">
        <x:v>42766</x:v>
      </x:c>
      <x:c r="I12" t="str">
        <x:v>09:50:12</x:v>
      </x:c>
      <x:c r="J12" t="n">
        <x:v>2017</x:v>
      </x:c>
      <x:c r="K12" t="n">
        <x:v>18.1228048</x:v>
      </x:c>
      <x:c r="L12" t="n">
        <x:v>-65.21644426</x:v>
      </x:c>
      <x:c r="M12" t="n">
        <x:v>39.855</x:v>
      </x:c>
      <x:c r="N12" t="str">
        <x:v>https://nccospublicstor.blob.core.windows.net/biomapper/usviinsularshelf2017/videos/low/AA2017_011.mp4</x:v>
      </x:c>
      <x:c r="O12" t="n">
        <x:v>0</x:v>
      </x:c>
      <x:c r="P12" t="n">
        <x:v>0</x:v>
      </x:c>
      <x:c r="Q12" t="n">
        <x:v>1</x:v>
      </x:c>
      <x:c r="R12" t="n">
        <x:v>0</x:v>
      </x:c>
      <x:c r="S12" t="n">
        <x:v>0</x:v>
      </x:c>
      <x:c r="T12" t="n">
        <x:v>0</x:v>
      </x:c>
      <x:c r="U12" t="n">
        <x:v>1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1</x:v>
      </x:c>
      <x:c r="AA12" t="n">
        <x:v>1</x:v>
      </x:c>
      <x:c r="AB12" t="str">
        <x:v>Pass</x:v>
      </x:c>
      <x:c r="AC12" t="str"/>
      <x:c r="AD12" t="str"/>
    </x:row>
    <x:row r="13">
      <x:c r="A13" t="str">
        <x:v>REC0012</x:v>
      </x:c>
      <x:c r="B13" t="n">
        <x:v>11</x:v>
      </x:c>
      <x:c r="C13" t="str">
        <x:v>Puerto Rico</x:v>
      </x:c>
      <x:c r="D13" t="str">
        <x:v>AA</x:v>
      </x:c>
      <x:c r="E13" t="str">
        <x:v>Accuracy Assessment</x:v>
      </x:c>
      <x:c r="F13" t="str">
        <x:v>HD Seaviewer Drop Camera</x:v>
      </x:c>
      <x:c r="G13" t="str">
        <x:v>AA2017_012</x:v>
      </x:c>
      <x:c r="H13" s="28" t="n">
        <x:v>42766</x:v>
      </x:c>
      <x:c r="I13" t="str">
        <x:v>10:57:55</x:v>
      </x:c>
      <x:c r="J13" t="n">
        <x:v>2017</x:v>
      </x:c>
      <x:c r="K13" t="n">
        <x:v>18.13932323</x:v>
      </x:c>
      <x:c r="L13" t="n">
        <x:v>-65.22984757</x:v>
      </x:c>
      <x:c r="M13" t="n">
        <x:v>37.571</x:v>
      </x:c>
      <x:c r="N13" t="str">
        <x:v>https://nccospublicstor.blob.core.windows.net/biomapper/usviinsularshelf2017/videos/low/AA2017_012.mp4</x:v>
      </x:c>
      <x:c r="O13" t="n">
        <x:v>0</x:v>
      </x:c>
      <x:c r="P13" t="n">
        <x:v>0</x:v>
      </x:c>
      <x:c r="Q13" t="n">
        <x:v>1</x:v>
      </x:c>
      <x:c r="R13" t="n">
        <x:v>0</x:v>
      </x:c>
      <x:c r="S13" t="n">
        <x:v>0</x:v>
      </x:c>
      <x:c r="T13" t="n">
        <x:v>0</x:v>
      </x:c>
      <x:c r="U13" t="n">
        <x:v>1</x:v>
      </x:c>
      <x:c r="V13" t="n">
        <x:v>1</x:v>
      </x:c>
      <x:c r="W13" t="n">
        <x:v>0</x:v>
      </x:c>
      <x:c r="X13" t="n">
        <x:v>0</x:v>
      </x:c>
      <x:c r="Y13" t="n">
        <x:v>0</x:v>
      </x:c>
      <x:c r="Z13" t="n">
        <x:v>1</x:v>
      </x:c>
      <x:c r="AA13" t="n">
        <x:v>2</x:v>
      </x:c>
      <x:c r="AB13" t="str">
        <x:v>Pass</x:v>
      </x:c>
      <x:c r="AC13" t="str"/>
      <x:c r="AD13" t="str"/>
    </x:row>
    <x:row r="14">
      <x:c r="A14" t="str">
        <x:v>REC0013</x:v>
      </x:c>
      <x:c r="B14" t="n">
        <x:v>12</x:v>
      </x:c>
      <x:c r="C14" t="str">
        <x:v>Puerto Rico</x:v>
      </x:c>
      <x:c r="D14" t="str">
        <x:v>AA</x:v>
      </x:c>
      <x:c r="E14" t="str">
        <x:v>Accuracy Assessment</x:v>
      </x:c>
      <x:c r="F14" t="str">
        <x:v>HD Seaviewer Drop Camera</x:v>
      </x:c>
      <x:c r="G14" t="str">
        <x:v>AA2017_013</x:v>
      </x:c>
      <x:c r="H14" s="28" t="n">
        <x:v>42766</x:v>
      </x:c>
      <x:c r="I14" t="str">
        <x:v>13:46:44</x:v>
      </x:c>
      <x:c r="J14" t="n">
        <x:v>2017</x:v>
      </x:c>
      <x:c r="K14" t="n">
        <x:v>18.17067079</x:v>
      </x:c>
      <x:c r="L14" t="n">
        <x:v>-65.22774152</x:v>
      </x:c>
      <x:c r="M14" t="n">
        <x:v>34.273</x:v>
      </x:c>
      <x:c r="N14" t="str">
        <x:v>https://nccospublicstor.blob.core.windows.net/biomapper/usviinsularshelf2017/videos/low/AA2017_013.mp4</x:v>
      </x:c>
      <x:c r="O14" t="n">
        <x:v>1</x:v>
      </x:c>
      <x:c r="P14" t="n">
        <x:v>0</x:v>
      </x:c>
      <x:c r="Q14" t="n">
        <x:v>0</x:v>
      </x:c>
      <x:c r="R14" t="n">
        <x:v>1</x:v>
      </x:c>
      <x:c r="S14" t="n">
        <x:v>1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2</x:v>
      </x:c>
      <x:c r="AA14" t="n">
        <x:v>1</x:v>
      </x:c>
      <x:c r="AB14" t="str">
        <x:v>Pass</x:v>
      </x:c>
      <x:c r="AC14" t="str"/>
      <x:c r="AD14" t="str">
        <x:v>Camera on edge of agg reef/sand in spur and groove habitat</x:v>
      </x:c>
    </x:row>
    <x:row r="15">
      <x:c r="A15" t="str">
        <x:v>REC0014</x:v>
      </x:c>
      <x:c r="B15" t="n">
        <x:v>13</x:v>
      </x:c>
      <x:c r="C15" t="str">
        <x:v>Puerto Rico</x:v>
      </x:c>
      <x:c r="D15" t="str">
        <x:v>AA</x:v>
      </x:c>
      <x:c r="E15" t="str">
        <x:v>Accuracy Assessment</x:v>
      </x:c>
      <x:c r="F15" t="str">
        <x:v>HD Seaviewer Drop Camera</x:v>
      </x:c>
      <x:c r="G15" t="str">
        <x:v>AA2017_014</x:v>
      </x:c>
      <x:c r="H15" s="28" t="n">
        <x:v>42766</x:v>
      </x:c>
      <x:c r="I15" t="str">
        <x:v>10:40:32</x:v>
      </x:c>
      <x:c r="J15" t="n">
        <x:v>2017</x:v>
      </x:c>
      <x:c r="K15" t="n">
        <x:v>18.13236683</x:v>
      </x:c>
      <x:c r="L15" t="n">
        <x:v>-65.22536209</x:v>
      </x:c>
      <x:c r="M15" t="n">
        <x:v>40.832</x:v>
      </x:c>
      <x:c r="N15" t="str">
        <x:v>https://nccospublicstor.blob.core.windows.net/biomapper/usviinsularshelf2017/videos/low/AA2017_014.mp4</x:v>
      </x:c>
      <x:c r="O15" t="n">
        <x:v>0</x:v>
      </x:c>
      <x:c r="P15" t="n">
        <x:v>0</x:v>
      </x:c>
      <x:c r="Q15" t="n">
        <x:v>1</x:v>
      </x:c>
      <x:c r="R15" t="n">
        <x:v>0</x:v>
      </x:c>
      <x:c r="S15" t="n">
        <x:v>1</x:v>
      </x:c>
      <x:c r="T15" t="n">
        <x:v>0</x:v>
      </x:c>
      <x:c r="U15" t="n">
        <x:v>1</x:v>
      </x:c>
      <x:c r="V15" t="n">
        <x:v>1</x:v>
      </x:c>
      <x:c r="W15" t="n">
        <x:v>0</x:v>
      </x:c>
      <x:c r="X15" t="n">
        <x:v>0</x:v>
      </x:c>
      <x:c r="Y15" t="n">
        <x:v>0</x:v>
      </x:c>
      <x:c r="Z15" t="n">
        <x:v>1</x:v>
      </x:c>
      <x:c r="AA15" t="n">
        <x:v>3</x:v>
      </x:c>
      <x:c r="AB15" t="str">
        <x:v>Pass</x:v>
      </x:c>
      <x:c r="AC15" t="str"/>
      <x:c r="AD15" t="str"/>
    </x:row>
    <x:row r="16">
      <x:c r="A16" t="str">
        <x:v>REC0015</x:v>
      </x:c>
      <x:c r="B16" t="n">
        <x:v>14</x:v>
      </x:c>
      <x:c r="C16" t="str">
        <x:v>Puerto Rico</x:v>
      </x:c>
      <x:c r="D16" t="str">
        <x:v>AA</x:v>
      </x:c>
      <x:c r="E16" t="str">
        <x:v>Accuracy Assessment</x:v>
      </x:c>
      <x:c r="F16" t="str">
        <x:v>HD Seaviewer Drop Camera</x:v>
      </x:c>
      <x:c r="G16" t="str">
        <x:v>AA2017_015</x:v>
      </x:c>
      <x:c r="H16" s="28" t="n">
        <x:v>42766</x:v>
      </x:c>
      <x:c r="I16" t="str">
        <x:v>13:56:07</x:v>
      </x:c>
      <x:c r="J16" t="n">
        <x:v>2017</x:v>
      </x:c>
      <x:c r="K16" t="n">
        <x:v>18.17465637</x:v>
      </x:c>
      <x:c r="L16" t="n">
        <x:v>-65.22099917</x:v>
      </x:c>
      <x:c r="M16" t="n">
        <x:v>34.706</x:v>
      </x:c>
      <x:c r="N16" t="str">
        <x:v>https://nccospublicstor.blob.core.windows.net/biomapper/usviinsularshelf2017/videos/low/AA2017_015.mp4</x:v>
      </x:c>
      <x:c r="O16" t="n">
        <x:v>1</x:v>
      </x:c>
      <x:c r="P16" t="n">
        <x:v>0</x:v>
      </x:c>
      <x:c r="Q16" t="n">
        <x:v>0</x:v>
      </x:c>
      <x:c r="R16" t="n">
        <x:v>1</x:v>
      </x:c>
      <x:c r="S16" t="n">
        <x:v>1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2</x:v>
      </x:c>
      <x:c r="AA16" t="n">
        <x:v>1</x:v>
      </x:c>
      <x:c r="AB16" t="str">
        <x:v>Pass</x:v>
      </x:c>
      <x:c r="AC16" t="str"/>
      <x:c r="AD16" t="str">
        <x:v>Camera on edge of agg reef/sand in spur and groove habitat</x:v>
      </x:c>
    </x:row>
    <x:row r="17">
      <x:c r="A17" t="str">
        <x:v>REC0016</x:v>
      </x:c>
      <x:c r="B17" t="n">
        <x:v>15</x:v>
      </x:c>
      <x:c r="C17" t="str">
        <x:v>Puerto Rico</x:v>
      </x:c>
      <x:c r="D17" t="str">
        <x:v>AA</x:v>
      </x:c>
      <x:c r="E17" t="str">
        <x:v>Accuracy Assessment</x:v>
      </x:c>
      <x:c r="F17" t="str">
        <x:v>HD Seaviewer Drop Camera</x:v>
      </x:c>
      <x:c r="G17" t="str">
        <x:v>AA2017_016</x:v>
      </x:c>
      <x:c r="H17" s="28" t="n">
        <x:v>42766</x:v>
      </x:c>
      <x:c r="I17" t="str">
        <x:v>10:49:21</x:v>
      </x:c>
      <x:c r="J17" t="n">
        <x:v>2017</x:v>
      </x:c>
      <x:c r="K17" t="n">
        <x:v>18.13226984</x:v>
      </x:c>
      <x:c r="L17" t="n">
        <x:v>-65.21710906</x:v>
      </x:c>
      <x:c r="M17" t="n">
        <x:v>38.991</x:v>
      </x:c>
      <x:c r="N17" t="str">
        <x:v>https://nccospublicstor.blob.core.windows.net/biomapper/usviinsularshelf2017/videos/low/AA2017_016.mp4</x:v>
      </x:c>
      <x:c r="O17" t="n">
        <x:v>0</x:v>
      </x:c>
      <x:c r="P17" t="n">
        <x:v>0</x:v>
      </x:c>
      <x:c r="Q17" t="n">
        <x:v>1</x:v>
      </x:c>
      <x:c r="R17" t="n">
        <x:v>0</x:v>
      </x:c>
      <x:c r="S17" t="n">
        <x:v>1</x:v>
      </x:c>
      <x:c r="T17" t="n">
        <x:v>0</x:v>
      </x:c>
      <x:c r="U17" t="n">
        <x:v>1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1</x:v>
      </x:c>
      <x:c r="AA17" t="n">
        <x:v>3</x:v>
      </x:c>
      <x:c r="AB17" t="str">
        <x:v>Pass</x:v>
      </x:c>
      <x:c r="AC17" t="str"/>
      <x:c r="AD17" t="str">
        <x:v>meandrina meandrites</x:v>
      </x:c>
    </x:row>
    <x:row r="18">
      <x:c r="A18" t="str">
        <x:v>REC0017</x:v>
      </x:c>
      <x:c r="B18" t="n">
        <x:v>16</x:v>
      </x:c>
      <x:c r="C18" t="str">
        <x:v>Puerto Rico</x:v>
      </x:c>
      <x:c r="D18" t="str">
        <x:v>AA</x:v>
      </x:c>
      <x:c r="E18" t="str">
        <x:v>Accuracy Assessment</x:v>
      </x:c>
      <x:c r="F18" t="str">
        <x:v>HD Seaviewer Drop Camera</x:v>
      </x:c>
      <x:c r="G18" t="str">
        <x:v>AA2017_017</x:v>
      </x:c>
      <x:c r="H18" s="28" t="n">
        <x:v>42766</x:v>
      </x:c>
      <x:c r="I18" t="str">
        <x:v>14:05:15</x:v>
      </x:c>
      <x:c r="J18" t="n">
        <x:v>2017</x:v>
      </x:c>
      <x:c r="K18" t="n">
        <x:v>18.18085906</x:v>
      </x:c>
      <x:c r="L18" t="n">
        <x:v>-65.21591735</x:v>
      </x:c>
      <x:c r="M18" t="n">
        <x:v>33.76</x:v>
      </x:c>
      <x:c r="N18" t="str">
        <x:v>https://nccospublicstor.blob.core.windows.net/biomapper/usviinsularshelf2017/videos/low/AA2017_017.mp4</x:v>
      </x:c>
      <x:c r="O18" t="n">
        <x:v>1</x:v>
      </x:c>
      <x:c r="P18" t="n">
        <x:v>0</x:v>
      </x:c>
      <x:c r="Q18" t="n">
        <x:v>0</x:v>
      </x:c>
      <x:c r="R18" t="n">
        <x:v>1</x:v>
      </x:c>
      <x:c r="S18" t="n">
        <x:v>1</x:v>
      </x:c>
      <x:c r="T18" t="n">
        <x:v>0</x:v>
      </x:c>
      <x:c r="U18" t="n">
        <x:v>1</x:v>
      </x:c>
      <x:c r="V18" t="n">
        <x:v>1</x:v>
      </x:c>
      <x:c r="W18" t="n">
        <x:v>0</x:v>
      </x:c>
      <x:c r="X18" t="n">
        <x:v>0</x:v>
      </x:c>
      <x:c r="Y18" t="n">
        <x:v>0</x:v>
      </x:c>
      <x:c r="Z18" t="n">
        <x:v>2</x:v>
      </x:c>
      <x:c r="AA18" t="n">
        <x:v>3</x:v>
      </x:c>
      <x:c r="AB18" t="str">
        <x:v>Pass</x:v>
      </x:c>
      <x:c r="AC18" t="str"/>
      <x:c r="AD18" t="str"/>
    </x:row>
    <x:row r="19">
      <x:c r="A19" t="str">
        <x:v>REC0018</x:v>
      </x:c>
      <x:c r="B19" t="n">
        <x:v>17</x:v>
      </x:c>
      <x:c r="C19" t="str">
        <x:v>Puerto Rico</x:v>
      </x:c>
      <x:c r="D19" t="str">
        <x:v>AA</x:v>
      </x:c>
      <x:c r="E19" t="str">
        <x:v>Accuracy Assessment</x:v>
      </x:c>
      <x:c r="F19" t="str">
        <x:v>HD Seaviewer Drop Camera</x:v>
      </x:c>
      <x:c r="G19" t="str">
        <x:v>AA2017_018</x:v>
      </x:c>
      <x:c r="H19" s="28" t="n">
        <x:v>42766</x:v>
      </x:c>
      <x:c r="I19" t="str">
        <x:v>14:53:24</x:v>
      </x:c>
      <x:c r="J19" t="n">
        <x:v>2017</x:v>
      </x:c>
      <x:c r="K19" t="n">
        <x:v>18.19724497</x:v>
      </x:c>
      <x:c r="L19" t="n">
        <x:v>-65.21613909</x:v>
      </x:c>
      <x:c r="M19" t="n">
        <x:v>34.933</x:v>
      </x:c>
      <x:c r="N19" t="str">
        <x:v>https://nccospublicstor.blob.core.windows.net/biomapper/usviinsularshelf2017/videos/low/AA2017_018.mp4</x:v>
      </x:c>
      <x:c r="O19" t="n">
        <x:v>1</x:v>
      </x:c>
      <x:c r="P19" t="n">
        <x:v>0</x:v>
      </x:c>
      <x:c r="Q19" t="n">
        <x:v>0</x:v>
      </x:c>
      <x:c r="R19" t="n">
        <x:v>1</x:v>
      </x:c>
      <x:c r="S19" t="n">
        <x:v>1</x:v>
      </x:c>
      <x:c r="T19" t="n">
        <x:v>0</x:v>
      </x:c>
      <x:c r="U19" t="n">
        <x:v>1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2</x:v>
      </x:c>
      <x:c r="AA19" t="n">
        <x:v>3</x:v>
      </x:c>
      <x:c r="AB19" t="str">
        <x:v>Pass</x:v>
      </x:c>
      <x:c r="AC19" t="str"/>
      <x:c r="AD19" t="str">
        <x:v>Colpophyllia natans</x:v>
      </x:c>
    </x:row>
    <x:row r="20">
      <x:c r="A20" t="str">
        <x:v>REC0019</x:v>
      </x:c>
      <x:c r="B20" t="n">
        <x:v>18</x:v>
      </x:c>
      <x:c r="C20" t="str">
        <x:v>Puerto Rico</x:v>
      </x:c>
      <x:c r="D20" t="str">
        <x:v>AA</x:v>
      </x:c>
      <x:c r="E20" t="str">
        <x:v>Accuracy Assessment</x:v>
      </x:c>
      <x:c r="F20" t="str">
        <x:v>HD Seaviewer Drop Camera</x:v>
      </x:c>
      <x:c r="G20" t="str">
        <x:v>AA2017_019</x:v>
      </x:c>
      <x:c r="H20" s="28" t="n">
        <x:v>42766</x:v>
      </x:c>
      <x:c r="I20" t="str">
        <x:v>14:13:17</x:v>
      </x:c>
      <x:c r="J20" t="n">
        <x:v>2017</x:v>
      </x:c>
      <x:c r="K20" t="n">
        <x:v>18.17374176</x:v>
      </x:c>
      <x:c r="L20" t="n">
        <x:v>-65.21544807</x:v>
      </x:c>
      <x:c r="M20" t="n">
        <x:v>41.699</x:v>
      </x:c>
      <x:c r="N20" t="str">
        <x:v>https://nccospublicstor.blob.core.windows.net/biomapper/usviinsularshelf2017/videos/low/AA2017_019.mp4</x:v>
      </x:c>
      <x:c r="O20" t="n">
        <x:v>0</x:v>
      </x:c>
      <x:c r="P20" t="n">
        <x:v>0</x:v>
      </x:c>
      <x:c r="Q20" t="n">
        <x:v>1</x:v>
      </x:c>
      <x:c r="R20" t="n">
        <x:v>1</x:v>
      </x:c>
      <x:c r="S20" t="n">
        <x:v>0</x:v>
      </x:c>
      <x:c r="T20" t="n">
        <x:v>0</x:v>
      </x:c>
      <x:c r="U20" t="n">
        <x:v>0</x:v>
      </x:c>
      <x:c r="V20" t="n">
        <x:v>1</x:v>
      </x:c>
      <x:c r="W20" t="n">
        <x:v>0</x:v>
      </x:c>
      <x:c r="X20" t="n">
        <x:v>0</x:v>
      </x:c>
      <x:c r="Y20" t="n">
        <x:v>0</x:v>
      </x:c>
      <x:c r="Z20" t="n">
        <x:v>2</x:v>
      </x:c>
      <x:c r="AA20" t="n">
        <x:v>1</x:v>
      </x:c>
      <x:c r="AB20" t="str">
        <x:v>Pass</x:v>
      </x:c>
      <x:c r="AC20" t="str"/>
      <x:c r="AD20" t="str"/>
    </x:row>
    <x:row r="21">
      <x:c r="A21" t="str">
        <x:v>REC0020</x:v>
      </x:c>
      <x:c r="B21" t="n">
        <x:v>19</x:v>
      </x:c>
      <x:c r="C21" t="str">
        <x:v>Puerto Rico</x:v>
      </x:c>
      <x:c r="D21" t="str">
        <x:v>AA</x:v>
      </x:c>
      <x:c r="E21" t="str">
        <x:v>Accuracy Assessment</x:v>
      </x:c>
      <x:c r="F21" t="str">
        <x:v>HD Seaviewer Drop Camera</x:v>
      </x:c>
      <x:c r="G21" t="str">
        <x:v>AA2017_020</x:v>
      </x:c>
      <x:c r="H21" s="28" t="n">
        <x:v>42766</x:v>
      </x:c>
      <x:c r="I21" t="str">
        <x:v>08:40:41</x:v>
      </x:c>
      <x:c r="J21" t="n">
        <x:v>2017</x:v>
      </x:c>
      <x:c r="K21" t="n">
        <x:v>18.16063288</x:v>
      </x:c>
      <x:c r="L21" t="n">
        <x:v>-65.2100431</x:v>
      </x:c>
      <x:c r="M21" t="n">
        <x:v>36.35</x:v>
      </x:c>
      <x:c r="N21" t="str">
        <x:v>https://nccospublicstor.blob.core.windows.net/biomapper/usviinsularshelf2017/videos/low/AA2017_020.mp4</x:v>
      </x:c>
      <x:c r="O21" t="n">
        <x:v>1</x:v>
      </x:c>
      <x:c r="P21" t="n">
        <x:v>0</x:v>
      </x:c>
      <x:c r="Q21" t="n">
        <x:v>0</x:v>
      </x:c>
      <x:c r="R21" t="n">
        <x:v>1</x:v>
      </x:c>
      <x:c r="S21" t="n">
        <x:v>1</x:v>
      </x:c>
      <x:c r="T21" t="n">
        <x:v>0</x:v>
      </x:c>
      <x:c r="U21" t="n">
        <x:v>1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2</x:v>
      </x:c>
      <x:c r="AA21" t="n">
        <x:v>2</x:v>
      </x:c>
      <x:c r="AB21" t="str">
        <x:v>Pass</x:v>
      </x:c>
      <x:c r="AC21" t="str"/>
      <x:c r="AD21" t="str"/>
    </x:row>
    <x:row r="22">
      <x:c r="A22" t="str">
        <x:v>REC0021</x:v>
      </x:c>
      <x:c r="B22" t="n">
        <x:v>20</x:v>
      </x:c>
      <x:c r="C22" t="str">
        <x:v>Puerto Rico</x:v>
      </x:c>
      <x:c r="D22" t="str">
        <x:v>AA</x:v>
      </x:c>
      <x:c r="E22" t="str">
        <x:v>Accuracy Assessment</x:v>
      </x:c>
      <x:c r="F22" t="str">
        <x:v>HD Seaviewer Drop Camera</x:v>
      </x:c>
      <x:c r="G22" t="str">
        <x:v>AA2017_021</x:v>
      </x:c>
      <x:c r="H22" s="28" t="n">
        <x:v>42766</x:v>
      </x:c>
      <x:c r="I22" t="str">
        <x:v>14:20:45</x:v>
      </x:c>
      <x:c r="J22" t="n">
        <x:v>2017</x:v>
      </x:c>
      <x:c r="K22" t="n">
        <x:v>18.16820145</x:v>
      </x:c>
      <x:c r="L22" t="n">
        <x:v>-65.21295281</x:v>
      </x:c>
      <x:c r="M22" t="n">
        <x:v>40.243</x:v>
      </x:c>
      <x:c r="N22" t="str">
        <x:v>https://nccospublicstor.blob.core.windows.net/biomapper/usviinsularshelf2017/videos/low/AA2017_021.mp4</x:v>
      </x:c>
      <x:c r="O22" t="n">
        <x:v>1</x:v>
      </x:c>
      <x:c r="P22" t="n">
        <x:v>0</x:v>
      </x:c>
      <x:c r="Q22" t="n">
        <x:v>0</x:v>
      </x:c>
      <x:c r="R22" t="n">
        <x:v>1</x:v>
      </x:c>
      <x:c r="S22" t="n">
        <x:v>1</x:v>
      </x:c>
      <x:c r="T22" t="n">
        <x:v>0</x:v>
      </x:c>
      <x:c r="U22" t="n">
        <x:v>1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2</x:v>
      </x:c>
      <x:c r="AA22" t="n">
        <x:v>2</x:v>
      </x:c>
      <x:c r="AB22" t="str">
        <x:v>Pass</x:v>
      </x:c>
      <x:c r="AC22" t="str"/>
      <x:c r="AD22" t="str"/>
    </x:row>
    <x:row r="23">
      <x:c r="A23" t="str">
        <x:v>REC0022</x:v>
      </x:c>
      <x:c r="B23" t="n">
        <x:v>21</x:v>
      </x:c>
      <x:c r="C23" t="str">
        <x:v>Puerto Rico</x:v>
      </x:c>
      <x:c r="D23" t="str">
        <x:v>AA</x:v>
      </x:c>
      <x:c r="E23" t="str">
        <x:v>Accuracy Assessment</x:v>
      </x:c>
      <x:c r="F23" t="str">
        <x:v>HD Seaviewer Drop Camera</x:v>
      </x:c>
      <x:c r="G23" t="str">
        <x:v>AA2017_022</x:v>
      </x:c>
      <x:c r="H23" s="28" t="n">
        <x:v>42766</x:v>
      </x:c>
      <x:c r="I23" t="str">
        <x:v>08:56:20</x:v>
      </x:c>
      <x:c r="J23" t="n">
        <x:v>2017</x:v>
      </x:c>
      <x:c r="K23" t="n">
        <x:v>18.14665783</x:v>
      </x:c>
      <x:c r="L23" t="n">
        <x:v>-65.21178554</x:v>
      </x:c>
      <x:c r="M23" t="n">
        <x:v>40.462</x:v>
      </x:c>
      <x:c r="N23" t="str">
        <x:v>https://nccospublicstor.blob.core.windows.net/biomapper/usviinsularshelf2017/videos/low/AA2017_022.mp4</x:v>
      </x:c>
      <x:c r="O23" t="n">
        <x:v>0</x:v>
      </x:c>
      <x:c r="P23" t="n">
        <x:v>1</x:v>
      </x:c>
      <x:c r="Q23" t="n">
        <x:v>0</x:v>
      </x:c>
      <x:c r="R23" t="n">
        <x:v>0</x:v>
      </x:c>
      <x:c r="S23" t="n">
        <x:v>1</x:v>
      </x:c>
      <x:c r="T23" t="n">
        <x:v>1</x:v>
      </x:c>
      <x:c r="U23" t="n">
        <x:v>1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1</x:v>
      </x:c>
      <x:c r="AA23" t="n">
        <x:v>3</x:v>
      </x:c>
      <x:c r="AB23" t="str">
        <x:v>Pass</x:v>
      </x:c>
      <x:c r="AC23" t="str"/>
      <x:c r="AD23" t="str"/>
    </x:row>
    <x:row r="24">
      <x:c r="A24" t="str">
        <x:v>REC0023</x:v>
      </x:c>
      <x:c r="B24" t="n">
        <x:v>22</x:v>
      </x:c>
      <x:c r="C24" t="str">
        <x:v>Puerto Rico</x:v>
      </x:c>
      <x:c r="D24" t="str">
        <x:v>AA</x:v>
      </x:c>
      <x:c r="E24" t="str">
        <x:v>Accuracy Assessment</x:v>
      </x:c>
      <x:c r="F24" t="str">
        <x:v>HD Seaviewer Drop Camera</x:v>
      </x:c>
      <x:c r="G24" t="str">
        <x:v>AA2017_023</x:v>
      </x:c>
      <x:c r="H24" s="28" t="n">
        <x:v>42766</x:v>
      </x:c>
      <x:c r="I24" t="str">
        <x:v>08:48:34</x:v>
      </x:c>
      <x:c r="J24" t="n">
        <x:v>2017</x:v>
      </x:c>
      <x:c r="K24" t="n">
        <x:v>18.15387659</x:v>
      </x:c>
      <x:c r="L24" t="n">
        <x:v>-65.21408723</x:v>
      </x:c>
      <x:c r="M24" t="n">
        <x:v>41.553</x:v>
      </x:c>
      <x:c r="N24" t="str">
        <x:v>https://nccospublicstor.blob.core.windows.net/biomapper/usviinsularshelf2017/videos/low/AA2017_023.mp4</x:v>
      </x:c>
      <x:c r="O24" t="n">
        <x:v>1</x:v>
      </x:c>
      <x:c r="P24" t="n">
        <x:v>1</x:v>
      </x:c>
      <x:c r="Q24" t="n">
        <x:v>0</x:v>
      </x:c>
      <x:c r="R24" t="n">
        <x:v>1</x:v>
      </x:c>
      <x:c r="S24" t="n">
        <x:v>1</x:v>
      </x:c>
      <x:c r="T24" t="n">
        <x:v>0</x:v>
      </x:c>
      <x:c r="U24" t="n">
        <x:v>0</x:v>
      </x:c>
      <x:c r="V24" t="n">
        <x:v>1</x:v>
      </x:c>
      <x:c r="W24" t="n">
        <x:v>0</x:v>
      </x:c>
      <x:c r="X24" t="n">
        <x:v>0</x:v>
      </x:c>
      <x:c r="Y24" t="n">
        <x:v>0</x:v>
      </x:c>
      <x:c r="Z24" t="n">
        <x:v>3</x:v>
      </x:c>
      <x:c r="AA24" t="n">
        <x:v>2</x:v>
      </x:c>
      <x:c r="AB24" t="str">
        <x:v>Pass</x:v>
      </x:c>
      <x:c r="AC24" t="str"/>
      <x:c r="AD24" t="str"/>
    </x:row>
    <x:row r="25">
      <x:c r="A25" t="str">
        <x:v>REC0024</x:v>
      </x:c>
      <x:c r="B25" t="n">
        <x:v>23</x:v>
      </x:c>
      <x:c r="C25" t="str">
        <x:v>Puerto Rico</x:v>
      </x:c>
      <x:c r="D25" t="str">
        <x:v>AA</x:v>
      </x:c>
      <x:c r="E25" t="str">
        <x:v>Accuracy Assessment</x:v>
      </x:c>
      <x:c r="F25" t="str">
        <x:v>HD Seaviewer Drop Camera</x:v>
      </x:c>
      <x:c r="G25" t="str">
        <x:v>AA2017_024</x:v>
      </x:c>
      <x:c r="H25" s="28" t="n">
        <x:v>42766</x:v>
      </x:c>
      <x:c r="I25" t="str">
        <x:v>14:30:05</x:v>
      </x:c>
      <x:c r="J25" t="n">
        <x:v>2017</x:v>
      </x:c>
      <x:c r="K25" t="n">
        <x:v>18.17321425</x:v>
      </x:c>
      <x:c r="L25" t="n">
        <x:v>-65.2068613</x:v>
      </x:c>
      <x:c r="M25" t="n">
        <x:v>41.386</x:v>
      </x:c>
      <x:c r="N25" t="str">
        <x:v>https://nccospublicstor.blob.core.windows.net/biomapper/usviinsularshelf2017/videos/low/AA2017_024.mp4</x:v>
      </x:c>
      <x:c r="O25" t="n">
        <x:v>1</x:v>
      </x:c>
      <x:c r="P25" t="n">
        <x:v>0</x:v>
      </x:c>
      <x:c r="Q25" t="n">
        <x:v>0</x:v>
      </x:c>
      <x:c r="R25" t="n">
        <x:v>1</x:v>
      </x:c>
      <x:c r="S25" t="n">
        <x:v>1</x:v>
      </x:c>
      <x:c r="T25" t="n">
        <x:v>1</x:v>
      </x:c>
      <x:c r="U25" t="n">
        <x:v>1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2</x:v>
      </x:c>
      <x:c r="AA25" t="n">
        <x:v>3</x:v>
      </x:c>
      <x:c r="AB25" t="str">
        <x:v>Pass</x:v>
      </x:c>
      <x:c r="AC25" t="str"/>
      <x:c r="AD25" t="str"/>
    </x:row>
    <x:row r="26">
      <x:c r="A26" t="str">
        <x:v>REC0025</x:v>
      </x:c>
      <x:c r="B26" t="n">
        <x:v>24</x:v>
      </x:c>
      <x:c r="C26" t="str">
        <x:v>Puerto Rico</x:v>
      </x:c>
      <x:c r="D26" t="str">
        <x:v>AA</x:v>
      </x:c>
      <x:c r="E26" t="str">
        <x:v>Accuracy Assessment</x:v>
      </x:c>
      <x:c r="F26" t="str">
        <x:v>HD Seaviewer Drop Camera</x:v>
      </x:c>
      <x:c r="G26" t="str">
        <x:v>AA2017_025</x:v>
      </x:c>
      <x:c r="H26" s="28" t="n">
        <x:v>42766</x:v>
      </x:c>
      <x:c r="I26" t="str">
        <x:v>14:46:11</x:v>
      </x:c>
      <x:c r="J26" t="n">
        <x:v>2017</x:v>
      </x:c>
      <x:c r="K26" t="n">
        <x:v>18.18813012</x:v>
      </x:c>
      <x:c r="L26" t="n">
        <x:v>-65.20450272</x:v>
      </x:c>
      <x:c r="M26" t="n">
        <x:v>38.604</x:v>
      </x:c>
      <x:c r="N26" t="str">
        <x:v>https://nccospublicstor.blob.core.windows.net/biomapper/usviinsularshelf2017/videos/low/AA2017_025.mp4</x:v>
      </x:c>
      <x:c r="O26" t="n">
        <x:v>1</x:v>
      </x:c>
      <x:c r="P26" t="n">
        <x:v>0</x:v>
      </x:c>
      <x:c r="Q26" t="n">
        <x:v>0</x:v>
      </x:c>
      <x:c r="R26" t="n">
        <x:v>0</x:v>
      </x:c>
      <x:c r="S26" t="n">
        <x:v>1</x:v>
      </x:c>
      <x:c r="T26" t="n">
        <x:v>0</x:v>
      </x:c>
      <x:c r="U26" t="n">
        <x:v>1</x:v>
      </x:c>
      <x:c r="V26" t="n">
        <x:v>1</x:v>
      </x:c>
      <x:c r="W26" t="n">
        <x:v>0</x:v>
      </x:c>
      <x:c r="X26" t="n">
        <x:v>0</x:v>
      </x:c>
      <x:c r="Y26" t="n">
        <x:v>0</x:v>
      </x:c>
      <x:c r="Z26" t="n">
        <x:v>1</x:v>
      </x:c>
      <x:c r="AA26" t="n">
        <x:v>3</x:v>
      </x:c>
      <x:c r="AB26" t="str">
        <x:v>Pass</x:v>
      </x:c>
      <x:c r="AC26" t="str"/>
      <x:c r="AD26" t="str"/>
    </x:row>
    <x:row r="27">
      <x:c r="A27" t="str">
        <x:v>REC0026</x:v>
      </x:c>
      <x:c r="B27" t="n">
        <x:v>25</x:v>
      </x:c>
      <x:c r="C27" t="str">
        <x:v>Puerto Rico</x:v>
      </x:c>
      <x:c r="D27" t="str">
        <x:v>AA</x:v>
      </x:c>
      <x:c r="E27" t="str">
        <x:v>Accuracy Assessment</x:v>
      </x:c>
      <x:c r="F27" t="str">
        <x:v>HD Seaviewer Drop Camera</x:v>
      </x:c>
      <x:c r="G27" t="str">
        <x:v>AA2017_026</x:v>
      </x:c>
      <x:c r="H27" s="28" t="n">
        <x:v>42766</x:v>
      </x:c>
      <x:c r="I27" t="str">
        <x:v>08:34:07</x:v>
      </x:c>
      <x:c r="J27" t="n">
        <x:v>2017</x:v>
      </x:c>
      <x:c r="K27" t="n">
        <x:v>18.16114056</x:v>
      </x:c>
      <x:c r="L27" t="n">
        <x:v>-65.20418432</x:v>
      </x:c>
      <x:c r="M27" t="n">
        <x:v>38.016</x:v>
      </x:c>
      <x:c r="N27" t="str">
        <x:v>https://nccospublicstor.blob.core.windows.net/biomapper/usviinsularshelf2017/videos/low/AA2017_026.mp4</x:v>
      </x:c>
      <x:c r="O27" t="n">
        <x:v>1</x:v>
      </x:c>
      <x:c r="P27" t="n">
        <x:v>0</x:v>
      </x:c>
      <x:c r="Q27" t="n">
        <x:v>0</x:v>
      </x:c>
      <x:c r="R27" t="n">
        <x:v>0</x:v>
      </x:c>
      <x:c r="S27" t="n">
        <x:v>1</x:v>
      </x:c>
      <x:c r="T27" t="n">
        <x:v>0</x:v>
      </x:c>
      <x:c r="U27" t="n">
        <x:v>1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1</x:v>
      </x:c>
      <x:c r="AA27" t="n">
        <x:v>2</x:v>
      </x:c>
      <x:c r="AB27" t="str">
        <x:v>Pass</x:v>
      </x:c>
      <x:c r="AC27" t="str"/>
      <x:c r="AD27" t="str">
        <x:v>1 lionfish</x:v>
      </x:c>
    </x:row>
    <x:row r="28">
      <x:c r="A28" t="str">
        <x:v>REC0027</x:v>
      </x:c>
      <x:c r="B28" t="n">
        <x:v>26</x:v>
      </x:c>
      <x:c r="C28" t="str">
        <x:v>Puerto Rico</x:v>
      </x:c>
      <x:c r="D28" t="str">
        <x:v>AA</x:v>
      </x:c>
      <x:c r="E28" t="str">
        <x:v>Accuracy Assessment</x:v>
      </x:c>
      <x:c r="F28" t="str">
        <x:v>HD Seaviewer Drop Camera</x:v>
      </x:c>
      <x:c r="G28" t="str">
        <x:v>AA2017_027</x:v>
      </x:c>
      <x:c r="H28" s="28" t="n">
        <x:v>42766</x:v>
      </x:c>
      <x:c r="I28" t="str">
        <x:v>09:07:40</x:v>
      </x:c>
      <x:c r="J28" t="n">
        <x:v>2017</x:v>
      </x:c>
      <x:c r="K28" t="n">
        <x:v>18.13804503</x:v>
      </x:c>
      <x:c r="L28" t="n">
        <x:v>-65.20090996</x:v>
      </x:c>
      <x:c r="M28" t="n">
        <x:v>36.54</x:v>
      </x:c>
      <x:c r="N28" t="str">
        <x:v>https://nccospublicstor.blob.core.windows.net/biomapper/usviinsularshelf2017/videos/low/AA2017_027.mp4</x:v>
      </x:c>
      <x:c r="O28" t="n">
        <x:v>1</x:v>
      </x:c>
      <x:c r="P28" t="n">
        <x:v>0</x:v>
      </x:c>
      <x:c r="Q28" t="n">
        <x:v>0</x:v>
      </x:c>
      <x:c r="R28" t="n">
        <x:v>0</x:v>
      </x:c>
      <x:c r="S28" t="n">
        <x:v>1</x:v>
      </x:c>
      <x:c r="T28" t="n">
        <x:v>0</x:v>
      </x:c>
      <x:c r="U28" t="n">
        <x:v>1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1</x:v>
      </x:c>
      <x:c r="AA28" t="n">
        <x:v>2</x:v>
      </x:c>
      <x:c r="AB28" t="str">
        <x:v>Pass</x:v>
      </x:c>
      <x:c r="AC28" t="str"/>
      <x:c r="AD28" t="str">
        <x:v>1 lionfish; montasteria cavernosa</x:v>
      </x:c>
    </x:row>
    <x:row r="29">
      <x:c r="A29" t="str">
        <x:v>REC0028</x:v>
      </x:c>
      <x:c r="B29" t="n">
        <x:v>27</x:v>
      </x:c>
      <x:c r="C29" t="str">
        <x:v>Puerto Rico</x:v>
      </x:c>
      <x:c r="D29" t="str">
        <x:v>AA</x:v>
      </x:c>
      <x:c r="E29" t="str">
        <x:v>Accuracy Assessment</x:v>
      </x:c>
      <x:c r="F29" t="str">
        <x:v>HD Seaviewer Drop Camera</x:v>
      </x:c>
      <x:c r="G29" t="str">
        <x:v>AA2017_028</x:v>
      </x:c>
      <x:c r="H29" s="28" t="n">
        <x:v>42766</x:v>
      </x:c>
      <x:c r="I29" t="str">
        <x:v>09:42:38</x:v>
      </x:c>
      <x:c r="J29" t="n">
        <x:v>2017</x:v>
      </x:c>
      <x:c r="K29" t="n">
        <x:v>18.12758263</x:v>
      </x:c>
      <x:c r="L29" t="n">
        <x:v>-65.19982359</x:v>
      </x:c>
      <x:c r="M29" t="n">
        <x:v>22.789</x:v>
      </x:c>
      <x:c r="N29" t="str">
        <x:v>https://nccospublicstor.blob.core.windows.net/biomapper/usviinsularshelf2017/videos/low/AA2017_028.mp4</x:v>
      </x:c>
      <x:c r="O29" t="n">
        <x:v>0</x:v>
      </x:c>
      <x:c r="P29" t="n">
        <x:v>1</x:v>
      </x:c>
      <x:c r="Q29" t="n">
        <x:v>0</x:v>
      </x:c>
      <x:c r="R29" t="n">
        <x:v>0</x:v>
      </x:c>
      <x:c r="S29" t="n">
        <x:v>1</x:v>
      </x:c>
      <x:c r="T29" t="n">
        <x:v>1</x:v>
      </x:c>
      <x:c r="U29" t="n">
        <x:v>1</x:v>
      </x:c>
      <x:c r="V29" t="n">
        <x:v>1</x:v>
      </x:c>
      <x:c r="W29" t="n">
        <x:v>0</x:v>
      </x:c>
      <x:c r="X29" t="n">
        <x:v>0</x:v>
      </x:c>
      <x:c r="Y29" t="n">
        <x:v>0</x:v>
      </x:c>
      <x:c r="Z29" t="n">
        <x:v>1</x:v>
      </x:c>
      <x:c r="AA29" t="n">
        <x:v>4</x:v>
      </x:c>
      <x:c r="AB29" t="str">
        <x:v>Pass</x:v>
      </x:c>
      <x:c r="AC29" t="str"/>
      <x:c r="AD29" t="str"/>
    </x:row>
    <x:row r="30">
      <x:c r="A30" t="str">
        <x:v>REC0029</x:v>
      </x:c>
      <x:c r="B30" t="n">
        <x:v>28</x:v>
      </x:c>
      <x:c r="C30" t="str">
        <x:v>Puerto Rico</x:v>
      </x:c>
      <x:c r="D30" t="str">
        <x:v>AA</x:v>
      </x:c>
      <x:c r="E30" t="str">
        <x:v>Accuracy Assessment</x:v>
      </x:c>
      <x:c r="F30" t="str">
        <x:v>HD Seaviewer Drop Camera</x:v>
      </x:c>
      <x:c r="G30" t="str">
        <x:v>AA2017_029</x:v>
      </x:c>
      <x:c r="H30" s="28" t="n">
        <x:v>42768</x:v>
      </x:c>
      <x:c r="I30" t="str">
        <x:v>12:25:38</x:v>
      </x:c>
      <x:c r="J30" t="n">
        <x:v>2017</x:v>
      </x:c>
      <x:c r="K30" t="n">
        <x:v>18.21135747</x:v>
      </x:c>
      <x:c r="L30" t="n">
        <x:v>-65.19971961</x:v>
      </x:c>
      <x:c r="M30" t="n">
        <x:v>30.552</x:v>
      </x:c>
      <x:c r="N30" t="str">
        <x:v>https://nccospublicstor.blob.core.windows.net/biomapper/usviinsularshelf2017/videos/low/AA2017_029.mp4</x:v>
      </x:c>
      <x:c r="O30" t="n">
        <x:v>1</x:v>
      </x:c>
      <x:c r="P30" t="n">
        <x:v>0</x:v>
      </x:c>
      <x:c r="Q30" t="n">
        <x:v>0</x:v>
      </x:c>
      <x:c r="R30" t="n">
        <x:v>0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0</x:v>
      </x:c>
      <x:c r="X30" t="n">
        <x:v>0</x:v>
      </x:c>
      <x:c r="Y30" t="n">
        <x:v>0</x:v>
      </x:c>
      <x:c r="Z30" t="n">
        <x:v>1</x:v>
      </x:c>
      <x:c r="AA30" t="n">
        <x:v>4</x:v>
      </x:c>
      <x:c r="AB30" t="str">
        <x:v>Pass</x:v>
      </x:c>
      <x:c r="AC30" t="str"/>
      <x:c r="AD30" t="str"/>
    </x:row>
    <x:row r="31">
      <x:c r="A31" t="str">
        <x:v>REC0030</x:v>
      </x:c>
      <x:c r="B31" t="n">
        <x:v>29</x:v>
      </x:c>
      <x:c r="C31" t="str">
        <x:v>Puerto Rico</x:v>
      </x:c>
      <x:c r="D31" t="str">
        <x:v>AA</x:v>
      </x:c>
      <x:c r="E31" t="str">
        <x:v>Accuracy Assessment</x:v>
      </x:c>
      <x:c r="F31" t="str">
        <x:v>HD Seaviewer Drop Camera</x:v>
      </x:c>
      <x:c r="G31" t="str">
        <x:v>AA2017_030</x:v>
      </x:c>
      <x:c r="H31" s="28" t="n">
        <x:v>42766</x:v>
      </x:c>
      <x:c r="I31" t="str">
        <x:v>14:39:58</x:v>
      </x:c>
      <x:c r="J31" t="n">
        <x:v>2017</x:v>
      </x:c>
      <x:c r="K31" t="n">
        <x:v>18.18254328</x:v>
      </x:c>
      <x:c r="L31" t="n">
        <x:v>-65.19946476</x:v>
      </x:c>
      <x:c r="M31" t="n">
        <x:v>37.844</x:v>
      </x:c>
      <x:c r="N31" t="str">
        <x:v>https://nccospublicstor.blob.core.windows.net/biomapper/usviinsularshelf2017/videos/low/AA2017_030.mp4</x:v>
      </x:c>
      <x:c r="O31" t="n">
        <x:v>1</x:v>
      </x:c>
      <x:c r="P31" t="n">
        <x:v>0</x:v>
      </x:c>
      <x:c r="Q31" t="n">
        <x:v>0</x:v>
      </x:c>
      <x:c r="R31" t="n">
        <x:v>0</x:v>
      </x:c>
      <x:c r="S31" t="n">
        <x:v>1</x:v>
      </x:c>
      <x:c r="T31" t="n">
        <x:v>0</x:v>
      </x:c>
      <x:c r="U31" t="n">
        <x:v>1</x:v>
      </x:c>
      <x:c r="V31" t="n">
        <x:v>1</x:v>
      </x:c>
      <x:c r="W31" t="n">
        <x:v>0</x:v>
      </x:c>
      <x:c r="X31" t="n">
        <x:v>0</x:v>
      </x:c>
      <x:c r="Y31" t="n">
        <x:v>0</x:v>
      </x:c>
      <x:c r="Z31" t="n">
        <x:v>1</x:v>
      </x:c>
      <x:c r="AA31" t="n">
        <x:v>3</x:v>
      </x:c>
      <x:c r="AB31" t="str">
        <x:v>Pass</x:v>
      </x:c>
      <x:c r="AC31" t="str"/>
      <x:c r="AD31" t="str"/>
    </x:row>
    <x:row r="32">
      <x:c r="A32" t="str">
        <x:v>REC0031</x:v>
      </x:c>
      <x:c r="B32" t="n">
        <x:v>30</x:v>
      </x:c>
      <x:c r="C32" t="str">
        <x:v>Puerto Rico</x:v>
      </x:c>
      <x:c r="D32" t="str">
        <x:v>AA</x:v>
      </x:c>
      <x:c r="E32" t="str">
        <x:v>Accuracy Assessment</x:v>
      </x:c>
      <x:c r="F32" t="str">
        <x:v>HD Seaviewer Drop Camera</x:v>
      </x:c>
      <x:c r="G32" t="str">
        <x:v>AA2017_031</x:v>
      </x:c>
      <x:c r="H32" s="28" t="n">
        <x:v>42767</x:v>
      </x:c>
      <x:c r="I32" t="str">
        <x:v>13:15:16</x:v>
      </x:c>
      <x:c r="J32" t="n">
        <x:v>2017</x:v>
      </x:c>
      <x:c r="K32" t="n">
        <x:v>18.16622558</x:v>
      </x:c>
      <x:c r="L32" t="n">
        <x:v>-65.19681254</x:v>
      </x:c>
      <x:c r="M32" t="n">
        <x:v>37.52</x:v>
      </x:c>
      <x:c r="N32" t="str">
        <x:v>https://nccospublicstor.blob.core.windows.net/biomapper/usviinsularshelf2017/videos/low/AA2017_031.mp4</x:v>
      </x:c>
      <x:c r="O32" t="n">
        <x:v>1</x:v>
      </x:c>
      <x:c r="P32" t="n">
        <x:v>0</x:v>
      </x:c>
      <x:c r="Q32" t="n">
        <x:v>0</x:v>
      </x:c>
      <x:c r="R32" t="n">
        <x:v>0</x:v>
      </x:c>
      <x:c r="S32" t="n">
        <x:v>1</x:v>
      </x:c>
      <x:c r="T32" t="n">
        <x:v>1</x:v>
      </x:c>
      <x:c r="U32" t="n">
        <x:v>1</x:v>
      </x:c>
      <x:c r="V32" t="n">
        <x:v>1</x:v>
      </x:c>
      <x:c r="W32" t="n">
        <x:v>0</x:v>
      </x:c>
      <x:c r="X32" t="n">
        <x:v>0</x:v>
      </x:c>
      <x:c r="Y32" t="n">
        <x:v>0</x:v>
      </x:c>
      <x:c r="Z32" t="n">
        <x:v>1</x:v>
      </x:c>
      <x:c r="AA32" t="n">
        <x:v>4</x:v>
      </x:c>
      <x:c r="AB32" t="str">
        <x:v>Pass</x:v>
      </x:c>
      <x:c r="AC32" t="str"/>
      <x:c r="AD32" t="str">
        <x:v>30% live hard coral</x:v>
      </x:c>
    </x:row>
    <x:row r="33">
      <x:c r="A33" t="str">
        <x:v>REC0032</x:v>
      </x:c>
      <x:c r="B33" t="n">
        <x:v>31</x:v>
      </x:c>
      <x:c r="C33" t="str">
        <x:v>Puerto Rico</x:v>
      </x:c>
      <x:c r="D33" t="str">
        <x:v>AA</x:v>
      </x:c>
      <x:c r="E33" t="str">
        <x:v>Accuracy Assessment</x:v>
      </x:c>
      <x:c r="F33" t="str">
        <x:v>HD Seaviewer Drop Camera</x:v>
      </x:c>
      <x:c r="G33" t="str">
        <x:v>AA2017_032</x:v>
      </x:c>
      <x:c r="H33" s="28" t="n">
        <x:v>42768</x:v>
      </x:c>
      <x:c r="I33" t="str">
        <x:v>12:15:29</x:v>
      </x:c>
      <x:c r="J33" t="n">
        <x:v>2017</x:v>
      </x:c>
      <x:c r="K33" t="n">
        <x:v>18.2035708</x:v>
      </x:c>
      <x:c r="L33" t="n">
        <x:v>-65.19512509</x:v>
      </x:c>
      <x:c r="M33" t="n">
        <x:v>34.316</x:v>
      </x:c>
      <x:c r="N33" t="str">
        <x:v>https://nccospublicstor.blob.core.windows.net/biomapper/usviinsularshelf2017/videos/low/AA2017_032.mp4</x:v>
      </x:c>
      <x:c r="O33" t="n">
        <x:v>1</x:v>
      </x:c>
      <x:c r="P33" t="n">
        <x:v>0</x:v>
      </x:c>
      <x:c r="Q33" t="n">
        <x:v>0</x:v>
      </x:c>
      <x:c r="R33" t="n">
        <x:v>0</x:v>
      </x:c>
      <x:c r="S33" t="n">
        <x:v>1</x:v>
      </x:c>
      <x:c r="T33" t="n">
        <x:v>0</x:v>
      </x:c>
      <x:c r="U33" t="n">
        <x:v>1</x:v>
      </x:c>
      <x:c r="V33" t="n">
        <x:v>1</x:v>
      </x:c>
      <x:c r="W33" t="n">
        <x:v>0</x:v>
      </x:c>
      <x:c r="X33" t="n">
        <x:v>0</x:v>
      </x:c>
      <x:c r="Y33" t="n">
        <x:v>0</x:v>
      </x:c>
      <x:c r="Z33" t="n">
        <x:v>1</x:v>
      </x:c>
      <x:c r="AA33" t="n">
        <x:v>3</x:v>
      </x:c>
      <x:c r="AB33" t="str">
        <x:v>Pass</x:v>
      </x:c>
      <x:c r="AC33" t="str"/>
      <x:c r="AD33" t="str"/>
    </x:row>
    <x:row r="34">
      <x:c r="A34" t="str">
        <x:v>REC0033</x:v>
      </x:c>
      <x:c r="B34" t="n">
        <x:v>32</x:v>
      </x:c>
      <x:c r="C34" t="str">
        <x:v>Puerto Rico</x:v>
      </x:c>
      <x:c r="D34" t="str">
        <x:v>AA</x:v>
      </x:c>
      <x:c r="E34" t="str">
        <x:v>Accuracy Assessment</x:v>
      </x:c>
      <x:c r="F34" t="str">
        <x:v>HD Seaviewer Drop Camera</x:v>
      </x:c>
      <x:c r="G34" t="str">
        <x:v>AA2017_033</x:v>
      </x:c>
      <x:c r="H34" s="28" t="n">
        <x:v>42766</x:v>
      </x:c>
      <x:c r="I34" t="str">
        <x:v>09:15:27</x:v>
      </x:c>
      <x:c r="J34" t="n">
        <x:v>2017</x:v>
      </x:c>
      <x:c r="K34" t="n">
        <x:v>18.14304863</x:v>
      </x:c>
      <x:c r="L34" t="n">
        <x:v>-65.19555248</x:v>
      </x:c>
      <x:c r="M34" t="n">
        <x:v>37.724</x:v>
      </x:c>
      <x:c r="N34" t="str">
        <x:v>https://nccospublicstor.blob.core.windows.net/biomapper/usviinsularshelf2017/videos/low/AA2017_033.mp4</x:v>
      </x:c>
      <x:c r="O34" t="n">
        <x:v>1</x:v>
      </x:c>
      <x:c r="P34" t="n">
        <x:v>0</x:v>
      </x:c>
      <x:c r="Q34" t="n">
        <x:v>0</x:v>
      </x:c>
      <x:c r="R34" t="n">
        <x:v>0</x:v>
      </x:c>
      <x:c r="S34" t="n">
        <x:v>1</x:v>
      </x:c>
      <x:c r="T34" t="n">
        <x:v>0</x:v>
      </x:c>
      <x:c r="U34" t="n">
        <x:v>1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1</x:v>
      </x:c>
      <x:c r="AA34" t="n">
        <x:v>2</x:v>
      </x:c>
      <x:c r="AB34" t="str">
        <x:v>Pass</x:v>
      </x:c>
      <x:c r="AC34" t="str"/>
      <x:c r="AD34" t="str">
        <x:v>pseudodiploria strigosa</x:v>
      </x:c>
    </x:row>
    <x:row r="35">
      <x:c r="A35" t="str">
        <x:v>REC0034</x:v>
      </x:c>
      <x:c r="B35" t="n">
        <x:v>33</x:v>
      </x:c>
      <x:c r="C35" t="str">
        <x:v>Puerto Rico</x:v>
      </x:c>
      <x:c r="D35" t="str">
        <x:v>AA</x:v>
      </x:c>
      <x:c r="E35" t="str">
        <x:v>Accuracy Assessment</x:v>
      </x:c>
      <x:c r="F35" t="str">
        <x:v>HD Seaviewer Drop Camera</x:v>
      </x:c>
      <x:c r="G35" t="str">
        <x:v>AA2017_034</x:v>
      </x:c>
      <x:c r="H35" s="28" t="n">
        <x:v>42767</x:v>
      </x:c>
      <x:c r="I35" t="str">
        <x:v>13:26:38</x:v>
      </x:c>
      <x:c r="J35" t="n">
        <x:v>2017</x:v>
      </x:c>
      <x:c r="K35" t="n">
        <x:v>18.17551078</x:v>
      </x:c>
      <x:c r="L35" t="n">
        <x:v>-65.19412366</x:v>
      </x:c>
      <x:c r="M35" t="n">
        <x:v>41.514</x:v>
      </x:c>
      <x:c r="N35" t="str">
        <x:v>https://nccospublicstor.blob.core.windows.net/biomapper/usviinsularshelf2017/videos/low/AA2017_034.mp4</x:v>
      </x:c>
      <x:c r="O35" t="n">
        <x:v>1</x:v>
      </x:c>
      <x:c r="P35" t="n">
        <x:v>0</x:v>
      </x:c>
      <x:c r="Q35" t="n">
        <x:v>0</x:v>
      </x:c>
      <x:c r="R35" t="n">
        <x:v>0</x:v>
      </x:c>
      <x:c r="S35" t="n">
        <x:v>1</x:v>
      </x:c>
      <x:c r="T35" t="n">
        <x:v>0</x:v>
      </x:c>
      <x:c r="U35" t="n">
        <x:v>1</x:v>
      </x:c>
      <x:c r="V35" t="n">
        <x:v>1</x:v>
      </x:c>
      <x:c r="W35" t="n">
        <x:v>0</x:v>
      </x:c>
      <x:c r="X35" t="n">
        <x:v>0</x:v>
      </x:c>
      <x:c r="Y35" t="n">
        <x:v>0</x:v>
      </x:c>
      <x:c r="Z35" t="n">
        <x:v>1</x:v>
      </x:c>
      <x:c r="AA35" t="n">
        <x:v>3</x:v>
      </x:c>
      <x:c r="AB35" t="str">
        <x:v>Pass</x:v>
      </x:c>
      <x:c r="AC35" t="str"/>
      <x:c r="AD35" t="str"/>
    </x:row>
    <x:row r="36">
      <x:c r="A36" t="str">
        <x:v>REC0035</x:v>
      </x:c>
      <x:c r="B36" t="n">
        <x:v>34</x:v>
      </x:c>
      <x:c r="C36" t="str">
        <x:v>Puerto Rico</x:v>
      </x:c>
      <x:c r="D36" t="str">
        <x:v>AA</x:v>
      </x:c>
      <x:c r="E36" t="str">
        <x:v>Accuracy Assessment</x:v>
      </x:c>
      <x:c r="F36" t="str">
        <x:v>HD Seaviewer Drop Camera</x:v>
      </x:c>
      <x:c r="G36" t="str">
        <x:v>AA2017_035</x:v>
      </x:c>
      <x:c r="H36" s="28" t="n">
        <x:v>42768</x:v>
      </x:c>
      <x:c r="I36" t="str">
        <x:v>12:07:05</x:v>
      </x:c>
      <x:c r="J36" t="n">
        <x:v>2017</x:v>
      </x:c>
      <x:c r="K36" t="n">
        <x:v>18.20793029</x:v>
      </x:c>
      <x:c r="L36" t="n">
        <x:v>-65.19179996</x:v>
      </x:c>
      <x:c r="M36" t="n">
        <x:v>30.818</x:v>
      </x:c>
      <x:c r="N36" t="str">
        <x:v>https://nccospublicstor.blob.core.windows.net/biomapper/usviinsularshelf2017/videos/low/AA2017_035.mp4</x:v>
      </x:c>
      <x:c r="O36" t="n">
        <x:v>1</x:v>
      </x:c>
      <x:c r="P36" t="n">
        <x:v>0</x:v>
      </x:c>
      <x:c r="Q36" t="n">
        <x:v>0</x:v>
      </x:c>
      <x:c r="R36" t="n">
        <x:v>0</x:v>
      </x:c>
      <x:c r="S36" t="n">
        <x:v>1</x:v>
      </x:c>
      <x:c r="T36" t="n">
        <x:v>1</x:v>
      </x:c>
      <x:c r="U36" t="n">
        <x:v>1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1</x:v>
      </x:c>
      <x:c r="AA36" t="n">
        <x:v>3</x:v>
      </x:c>
      <x:c r="AB36" t="str">
        <x:v>Pass</x:v>
      </x:c>
      <x:c r="AC36" t="str"/>
      <x:c r="AD36" t="str"/>
    </x:row>
    <x:row r="37">
      <x:c r="A37" t="str">
        <x:v>REC0036</x:v>
      </x:c>
      <x:c r="B37" t="n">
        <x:v>35</x:v>
      </x:c>
      <x:c r="C37" t="str">
        <x:v>Puerto Rico</x:v>
      </x:c>
      <x:c r="D37" t="str">
        <x:v>AA</x:v>
      </x:c>
      <x:c r="E37" t="str">
        <x:v>Accuracy Assessment</x:v>
      </x:c>
      <x:c r="F37" t="str">
        <x:v>HD Seaviewer Drop Camera</x:v>
      </x:c>
      <x:c r="G37" t="str">
        <x:v>AA2017_036</x:v>
      </x:c>
      <x:c r="H37" s="28" t="n">
        <x:v>42766</x:v>
      </x:c>
      <x:c r="I37" t="str">
        <x:v>09:23:07</x:v>
      </x:c>
      <x:c r="J37" t="n">
        <x:v>2017</x:v>
      </x:c>
      <x:c r="K37" t="n">
        <x:v>18.14178459</x:v>
      </x:c>
      <x:c r="L37" t="n">
        <x:v>-65.1924405</x:v>
      </x:c>
      <x:c r="M37" t="n">
        <x:v>41.169</x:v>
      </x:c>
      <x:c r="N37" t="str">
        <x:v>https://nccospublicstor.blob.core.windows.net/biomapper/usviinsularshelf2017/videos/low/AA2017_036.mp4</x:v>
      </x:c>
      <x:c r="O37" t="n">
        <x:v>1</x:v>
      </x:c>
      <x:c r="P37" t="n">
        <x:v>0</x:v>
      </x:c>
      <x:c r="Q37" t="n">
        <x:v>0</x:v>
      </x:c>
      <x:c r="R37" t="n">
        <x:v>1</x:v>
      </x:c>
      <x:c r="S37" t="n">
        <x:v>1</x:v>
      </x:c>
      <x:c r="T37" t="n">
        <x:v>0</x:v>
      </x:c>
      <x:c r="U37" t="n">
        <x:v>1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2</x:v>
      </x:c>
      <x:c r="AA37" t="n">
        <x:v>2</x:v>
      </x:c>
      <x:c r="AB37" t="str">
        <x:v>Pass</x:v>
      </x:c>
      <x:c r="AC37" t="str"/>
      <x:c r="AD37" t="str"/>
    </x:row>
    <x:row r="38">
      <x:c r="A38" t="str">
        <x:v>REC0037</x:v>
      </x:c>
      <x:c r="B38" t="n">
        <x:v>36</x:v>
      </x:c>
      <x:c r="C38" t="str">
        <x:v>Puerto Rico</x:v>
      </x:c>
      <x:c r="D38" t="str">
        <x:v>AA</x:v>
      </x:c>
      <x:c r="E38" t="str">
        <x:v>Accuracy Assessment</x:v>
      </x:c>
      <x:c r="F38" t="str">
        <x:v>HD Seaviewer Drop Camera</x:v>
      </x:c>
      <x:c r="G38" t="str">
        <x:v>AA2017_037</x:v>
      </x:c>
      <x:c r="H38" s="28" t="n">
        <x:v>42768</x:v>
      </x:c>
      <x:c r="I38" t="str">
        <x:v>12:33:52</x:v>
      </x:c>
      <x:c r="J38" t="n">
        <x:v>2017</x:v>
      </x:c>
      <x:c r="K38" t="n">
        <x:v>18.22329415</x:v>
      </x:c>
      <x:c r="L38" t="n">
        <x:v>-65.19425565</x:v>
      </x:c>
      <x:c r="M38" t="n">
        <x:v>26.991</x:v>
      </x:c>
      <x:c r="N38" t="str">
        <x:v>https://nccospublicstor.blob.core.windows.net/biomapper/usviinsularshelf2017/videos/low/AA2017_037.mp4</x:v>
      </x:c>
      <x:c r="O38" t="n">
        <x:v>1</x:v>
      </x:c>
      <x:c r="P38" t="n">
        <x:v>0</x:v>
      </x:c>
      <x:c r="Q38" t="n">
        <x:v>0</x:v>
      </x:c>
      <x:c r="R38" t="n">
        <x:v>0</x:v>
      </x:c>
      <x:c r="S38" t="n">
        <x:v>1</x:v>
      </x:c>
      <x:c r="T38" t="n">
        <x:v>0</x:v>
      </x:c>
      <x:c r="U38" t="n">
        <x:v>1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1</x:v>
      </x:c>
      <x:c r="AA38" t="n">
        <x:v>2</x:v>
      </x:c>
      <x:c r="AB38" t="str">
        <x:v>Pass</x:v>
      </x:c>
      <x:c r="AC38" t="str"/>
      <x:c r="AD38" t="str"/>
    </x:row>
    <x:row r="39">
      <x:c r="A39" t="str">
        <x:v>REC0038</x:v>
      </x:c>
      <x:c r="B39" t="n">
        <x:v>37</x:v>
      </x:c>
      <x:c r="C39" t="str">
        <x:v>Puerto Rico</x:v>
      </x:c>
      <x:c r="D39" t="str">
        <x:v>AA</x:v>
      </x:c>
      <x:c r="E39" t="str">
        <x:v>Accuracy Assessment</x:v>
      </x:c>
      <x:c r="F39" t="str">
        <x:v>HD Seaviewer Drop Camera</x:v>
      </x:c>
      <x:c r="G39" t="str">
        <x:v>AA2017_038</x:v>
      </x:c>
      <x:c r="H39" s="28" t="n">
        <x:v>42768</x:v>
      </x:c>
      <x:c r="I39" t="str">
        <x:v>10:24:52</x:v>
      </x:c>
      <x:c r="J39" t="n">
        <x:v>2017</x:v>
      </x:c>
      <x:c r="K39" t="n">
        <x:v>18.19390382</x:v>
      </x:c>
      <x:c r="L39" t="n">
        <x:v>-65.18999967</x:v>
      </x:c>
      <x:c r="M39" t="n">
        <x:v>35.85</x:v>
      </x:c>
      <x:c r="N39" t="str">
        <x:v>https://nccospublicstor.blob.core.windows.net/biomapper/usviinsularshelf2017/videos/low/AA2017_038.mp4</x:v>
      </x:c>
      <x:c r="O39" t="n">
        <x:v>1</x:v>
      </x:c>
      <x:c r="P39" t="n">
        <x:v>0</x:v>
      </x:c>
      <x:c r="Q39" t="n">
        <x:v>0</x:v>
      </x:c>
      <x:c r="R39" t="n">
        <x:v>0</x:v>
      </x:c>
      <x:c r="S39" t="n">
        <x:v>1</x:v>
      </x:c>
      <x:c r="T39" t="n">
        <x:v>0</x:v>
      </x:c>
      <x:c r="U39" t="n">
        <x:v>1</x:v>
      </x:c>
      <x:c r="V39" t="n">
        <x:v>1</x:v>
      </x:c>
      <x:c r="W39" t="n">
        <x:v>0</x:v>
      </x:c>
      <x:c r="X39" t="n">
        <x:v>0</x:v>
      </x:c>
      <x:c r="Y39" t="n">
        <x:v>0</x:v>
      </x:c>
      <x:c r="Z39" t="n">
        <x:v>1</x:v>
      </x:c>
      <x:c r="AA39" t="n">
        <x:v>3</x:v>
      </x:c>
      <x:c r="AB39" t="str">
        <x:v>Pass</x:v>
      </x:c>
      <x:c r="AC39" t="str"/>
      <x:c r="AD39" t="str"/>
    </x:row>
    <x:row r="40">
      <x:c r="A40" t="str">
        <x:v>REC0039</x:v>
      </x:c>
      <x:c r="B40" t="n">
        <x:v>38</x:v>
      </x:c>
      <x:c r="C40" t="str">
        <x:v>Puerto Rico</x:v>
      </x:c>
      <x:c r="D40" t="str">
        <x:v>AA</x:v>
      </x:c>
      <x:c r="E40" t="str">
        <x:v>Accuracy Assessment</x:v>
      </x:c>
      <x:c r="F40" t="str">
        <x:v>HD Seaviewer Drop Camera</x:v>
      </x:c>
      <x:c r="G40" t="str">
        <x:v>AA2017_040</x:v>
      </x:c>
      <x:c r="H40" s="28" t="n">
        <x:v>42766</x:v>
      </x:c>
      <x:c r="I40" t="str">
        <x:v>09:30:44</x:v>
      </x:c>
      <x:c r="J40" t="n">
        <x:v>2017</x:v>
      </x:c>
      <x:c r="K40" t="n">
        <x:v>18.13674675</x:v>
      </x:c>
      <x:c r="L40" t="n">
        <x:v>-65.18710941</x:v>
      </x:c>
      <x:c r="M40" t="n">
        <x:v>47.238</x:v>
      </x:c>
      <x:c r="N40" t="str">
        <x:v>https://nccospublicstor.blob.core.windows.net/biomapper/usviinsularshelf2017/videos/low/AA2017_040.mp4</x:v>
      </x:c>
      <x:c r="O40" t="n">
        <x:v>1</x:v>
      </x:c>
      <x:c r="P40" t="n">
        <x:v>0</x:v>
      </x:c>
      <x:c r="Q40" t="n">
        <x:v>1</x:v>
      </x:c>
      <x:c r="R40" t="n">
        <x:v>0</x:v>
      </x:c>
      <x:c r="S40" t="n">
        <x:v>1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2</x:v>
      </x:c>
      <x:c r="AA40" t="n">
        <x:v>1</x:v>
      </x:c>
      <x:c r="AB40" t="str">
        <x:v>Pass</x:v>
      </x:c>
      <x:c r="AC40" t="str"/>
      <x:c r="AD40" t="str">
        <x:v>Camera dropped on agg reef/rhodo boundary.  GPS points look to be on rhodos</x:v>
      </x:c>
    </x:row>
    <x:row r="41">
      <x:c r="A41" t="str">
        <x:v>REC0040</x:v>
      </x:c>
      <x:c r="B41" t="n">
        <x:v>39</x:v>
      </x:c>
      <x:c r="C41" t="str">
        <x:v>Puerto Rico</x:v>
      </x:c>
      <x:c r="D41" t="str">
        <x:v>AA</x:v>
      </x:c>
      <x:c r="E41" t="str">
        <x:v>Accuracy Assessment</x:v>
      </x:c>
      <x:c r="F41" t="str">
        <x:v>HD Seaviewer Drop Camera</x:v>
      </x:c>
      <x:c r="G41" t="str">
        <x:v>AA2017_041</x:v>
      </x:c>
      <x:c r="H41" s="28" t="n">
        <x:v>42768</x:v>
      </x:c>
      <x:c r="I41" t="str">
        <x:v>10:56:25</x:v>
      </x:c>
      <x:c r="J41" t="n">
        <x:v>2017</x:v>
      </x:c>
      <x:c r="K41" t="n">
        <x:v>18.20404056</x:v>
      </x:c>
      <x:c r="L41" t="n">
        <x:v>-65.18761895</x:v>
      </x:c>
      <x:c r="M41" t="n">
        <x:v>33.59</x:v>
      </x:c>
      <x:c r="N41" t="str">
        <x:v>https://nccospublicstor.blob.core.windows.net/biomapper/usviinsularshelf2017/videos/low/AA2017_041.mp4</x:v>
      </x:c>
      <x:c r="O41" t="n">
        <x:v>1</x:v>
      </x:c>
      <x:c r="P41" t="n">
        <x:v>0</x:v>
      </x:c>
      <x:c r="Q41" t="n">
        <x:v>0</x:v>
      </x:c>
      <x:c r="R41" t="n">
        <x:v>0</x:v>
      </x:c>
      <x:c r="S41" t="n">
        <x:v>1</x:v>
      </x:c>
      <x:c r="T41" t="n">
        <x:v>1</x:v>
      </x:c>
      <x:c r="U41" t="n">
        <x:v>1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1</x:v>
      </x:c>
      <x:c r="AA41" t="n">
        <x:v>3</x:v>
      </x:c>
      <x:c r="AB41" t="str">
        <x:v>Pass</x:v>
      </x:c>
      <x:c r="AC41" t="str"/>
      <x:c r="AD41" t="str"/>
    </x:row>
    <x:row r="42">
      <x:c r="A42" t="str">
        <x:v>REC0041</x:v>
      </x:c>
      <x:c r="B42" t="n">
        <x:v>40</x:v>
      </x:c>
      <x:c r="C42" t="str">
        <x:v>Puerto Rico</x:v>
      </x:c>
      <x:c r="D42" t="str">
        <x:v>AA</x:v>
      </x:c>
      <x:c r="E42" t="str">
        <x:v>Accuracy Assessment</x:v>
      </x:c>
      <x:c r="F42" t="str">
        <x:v>HD Seaviewer Drop Camera</x:v>
      </x:c>
      <x:c r="G42" t="str">
        <x:v>AA2017_042</x:v>
      </x:c>
      <x:c r="H42" s="28" t="n">
        <x:v>42767</x:v>
      </x:c>
      <x:c r="I42" t="str">
        <x:v>13:37:08</x:v>
      </x:c>
      <x:c r="J42" t="n">
        <x:v>2017</x:v>
      </x:c>
      <x:c r="K42" t="n">
        <x:v>18.18100293</x:v>
      </x:c>
      <x:c r="L42" t="n">
        <x:v>-65.18662921</x:v>
      </x:c>
      <x:c r="M42" t="n">
        <x:v>38.432</x:v>
      </x:c>
      <x:c r="N42" t="str">
        <x:v>https://nccospublicstor.blob.core.windows.net/biomapper/usviinsularshelf2017/videos/low/AA2017_042.mp4</x:v>
      </x:c>
      <x:c r="O42" t="n">
        <x:v>1</x:v>
      </x:c>
      <x:c r="P42" t="n">
        <x:v>0</x:v>
      </x:c>
      <x:c r="Q42" t="n">
        <x:v>0</x:v>
      </x:c>
      <x:c r="R42" t="n">
        <x:v>0</x:v>
      </x:c>
      <x:c r="S42" t="n">
        <x:v>1</x:v>
      </x:c>
      <x:c r="T42" t="n">
        <x:v>0</x:v>
      </x:c>
      <x:c r="U42" t="n">
        <x:v>1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1</x:v>
      </x:c>
      <x:c r="AA42" t="n">
        <x:v>2</x:v>
      </x:c>
      <x:c r="AB42" t="str">
        <x:v>Pass</x:v>
      </x:c>
      <x:c r="AC42" t="str"/>
      <x:c r="AD42" t="str">
        <x:v>Isophyllia rigida</x:v>
      </x:c>
    </x:row>
    <x:row r="43">
      <x:c r="A43" t="str">
        <x:v>REC0042</x:v>
      </x:c>
      <x:c r="B43" t="n">
        <x:v>41</x:v>
      </x:c>
      <x:c r="C43" t="str">
        <x:v>Puerto Rico</x:v>
      </x:c>
      <x:c r="D43" t="str">
        <x:v>AA</x:v>
      </x:c>
      <x:c r="E43" t="str">
        <x:v>Accuracy Assessment</x:v>
      </x:c>
      <x:c r="F43" t="str">
        <x:v>HD Seaviewer Drop Camera</x:v>
      </x:c>
      <x:c r="G43" t="str">
        <x:v>AA2017_043</x:v>
      </x:c>
      <x:c r="H43" s="28" t="n">
        <x:v>42767</x:v>
      </x:c>
      <x:c r="I43" t="str">
        <x:v>13:01:50</x:v>
      </x:c>
      <x:c r="J43" t="n">
        <x:v>2017</x:v>
      </x:c>
      <x:c r="K43" t="n">
        <x:v>18.16889562</x:v>
      </x:c>
      <x:c r="L43" t="n">
        <x:v>-65.18605764</x:v>
      </x:c>
      <x:c r="M43" t="n">
        <x:v>37.374</x:v>
      </x:c>
      <x:c r="N43" t="str">
        <x:v>https://nccospublicstor.blob.core.windows.net/biomapper/usviinsularshelf2017/videos/low/AA2017_043.mp4</x:v>
      </x:c>
      <x:c r="O43" t="n">
        <x:v>1</x:v>
      </x:c>
      <x:c r="P43" t="n">
        <x:v>0</x:v>
      </x:c>
      <x:c r="Q43" t="n">
        <x:v>0</x:v>
      </x:c>
      <x:c r="R43" t="n">
        <x:v>0</x:v>
      </x:c>
      <x:c r="S43" t="n">
        <x:v>1</x:v>
      </x:c>
      <x:c r="T43" t="n">
        <x:v>1</x:v>
      </x:c>
      <x:c r="U43" t="n">
        <x:v>0</x:v>
      </x:c>
      <x:c r="V43" t="n">
        <x:v>1</x:v>
      </x:c>
      <x:c r="W43" t="n">
        <x:v>0</x:v>
      </x:c>
      <x:c r="X43" t="n">
        <x:v>0</x:v>
      </x:c>
      <x:c r="Y43" t="n">
        <x:v>0</x:v>
      </x:c>
      <x:c r="Z43" t="n">
        <x:v>1</x:v>
      </x:c>
      <x:c r="AA43" t="n">
        <x:v>3</x:v>
      </x:c>
      <x:c r="AB43" t="str">
        <x:v>Pass</x:v>
      </x:c>
      <x:c r="AC43" t="str"/>
      <x:c r="AD43" t="str">
        <x:v>40-50% live hard coral</x:v>
      </x:c>
    </x:row>
    <x:row r="44">
      <x:c r="A44" t="str">
        <x:v>REC0043</x:v>
      </x:c>
      <x:c r="B44" t="n">
        <x:v>42</x:v>
      </x:c>
      <x:c r="C44" t="str">
        <x:v>Puerto Rico</x:v>
      </x:c>
      <x:c r="D44" t="str">
        <x:v>AA</x:v>
      </x:c>
      <x:c r="E44" t="str">
        <x:v>Accuracy Assessment</x:v>
      </x:c>
      <x:c r="F44" t="str">
        <x:v>HD Seaviewer Drop Camera</x:v>
      </x:c>
      <x:c r="G44" t="str">
        <x:v>AA2017_044</x:v>
      </x:c>
      <x:c r="H44" s="28" t="n">
        <x:v>42768</x:v>
      </x:c>
      <x:c r="I44" t="str">
        <x:v>10:17:24</x:v>
      </x:c>
      <x:c r="J44" t="n">
        <x:v>2017</x:v>
      </x:c>
      <x:c r="K44" t="n">
        <x:v>18.19662479</x:v>
      </x:c>
      <x:c r="L44" t="n">
        <x:v>-65.18281047</x:v>
      </x:c>
      <x:c r="M44" t="n">
        <x:v>34.591</x:v>
      </x:c>
      <x:c r="N44" t="str">
        <x:v>https://nccospublicstor.blob.core.windows.net/biomapper/usviinsularshelf2017/videos/low/AA2017_044.mp4</x:v>
      </x:c>
      <x:c r="O44" t="n">
        <x:v>1</x:v>
      </x:c>
      <x:c r="P44" t="n">
        <x:v>0</x:v>
      </x:c>
      <x:c r="Q44" t="n">
        <x:v>0</x:v>
      </x:c>
      <x:c r="R44" t="n">
        <x:v>0</x:v>
      </x:c>
      <x:c r="S44" t="n">
        <x:v>1</x:v>
      </x:c>
      <x:c r="T44" t="n">
        <x:v>0</x:v>
      </x:c>
      <x:c r="U44" t="n">
        <x:v>1</x:v>
      </x:c>
      <x:c r="V44" t="n">
        <x:v>1</x:v>
      </x:c>
      <x:c r="W44" t="n">
        <x:v>0</x:v>
      </x:c>
      <x:c r="X44" t="n">
        <x:v>0</x:v>
      </x:c>
      <x:c r="Y44" t="n">
        <x:v>0</x:v>
      </x:c>
      <x:c r="Z44" t="n">
        <x:v>1</x:v>
      </x:c>
      <x:c r="AA44" t="n">
        <x:v>3</x:v>
      </x:c>
      <x:c r="AB44" t="str">
        <x:v>Pass</x:v>
      </x:c>
      <x:c r="AC44" t="str"/>
      <x:c r="AD44" t="str"/>
    </x:row>
    <x:row r="45">
      <x:c r="A45" t="str">
        <x:v>REC0044</x:v>
      </x:c>
      <x:c r="B45" t="n">
        <x:v>43</x:v>
      </x:c>
      <x:c r="C45" t="str">
        <x:v>Puerto Rico</x:v>
      </x:c>
      <x:c r="D45" t="str">
        <x:v>AA</x:v>
      </x:c>
      <x:c r="E45" t="str">
        <x:v>Accuracy Assessment</x:v>
      </x:c>
      <x:c r="F45" t="str">
        <x:v>HD Seaviewer Drop Camera</x:v>
      </x:c>
      <x:c r="G45" t="str">
        <x:v>AA2017_045</x:v>
      </x:c>
      <x:c r="H45" s="28" t="n">
        <x:v>42768</x:v>
      </x:c>
      <x:c r="I45" t="str">
        <x:v>10:36:23</x:v>
      </x:c>
      <x:c r="J45" t="n">
        <x:v>2017</x:v>
      </x:c>
      <x:c r="K45" t="n">
        <x:v>18.21212612</x:v>
      </x:c>
      <x:c r="L45" t="n">
        <x:v>-65.18255946</x:v>
      </x:c>
      <x:c r="M45" t="n">
        <x:v>41.116</x:v>
      </x:c>
      <x:c r="N45" t="str">
        <x:v>https://nccospublicstor.blob.core.windows.net/biomapper/usviinsularshelf2017/videos/low/AA2017_045.mp4</x:v>
      </x:c>
      <x:c r="O45" t="n">
        <x:v>0</x:v>
      </x:c>
      <x:c r="P45" t="n">
        <x:v>0</x:v>
      </x:c>
      <x:c r="Q45" t="n">
        <x:v>0</x:v>
      </x:c>
      <x:c r="R45" t="n">
        <x:v>1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1</x:v>
      </x:c>
      <x:c r="AA45" t="n">
        <x:v>0</x:v>
      </x:c>
      <x:c r="AB45" t="str">
        <x:v>Pass</x:v>
      </x:c>
      <x:c r="AC45" t="str"/>
      <x:c r="AD45" t="str">
        <x:v>This site is on the edge of agg reef.  GPS point in agg reef.  Reassess when doing AA.</x:v>
      </x:c>
    </x:row>
    <x:row r="46">
      <x:c r="A46" t="str">
        <x:v>REC0045</x:v>
      </x:c>
      <x:c r="B46" t="n">
        <x:v>44</x:v>
      </x:c>
      <x:c r="C46" t="str">
        <x:v>Puerto Rico</x:v>
      </x:c>
      <x:c r="D46" t="str">
        <x:v>AA</x:v>
      </x:c>
      <x:c r="E46" t="str">
        <x:v>Accuracy Assessment</x:v>
      </x:c>
      <x:c r="F46" t="str">
        <x:v>HD Seaviewer Drop Camera</x:v>
      </x:c>
      <x:c r="G46" t="str">
        <x:v>AA2017_047</x:v>
      </x:c>
      <x:c r="H46" s="28" t="n">
        <x:v>42768</x:v>
      </x:c>
      <x:c r="I46" t="str">
        <x:v>10:49:15</x:v>
      </x:c>
      <x:c r="J46" t="n">
        <x:v>2017</x:v>
      </x:c>
      <x:c r="K46" t="n">
        <x:v>18.2082291</x:v>
      </x:c>
      <x:c r="L46" t="n">
        <x:v>-65.18130476</x:v>
      </x:c>
      <x:c r="M46" t="n">
        <x:v>34.619</x:v>
      </x:c>
      <x:c r="N46" t="str">
        <x:v>https://nccospublicstor.blob.core.windows.net/biomapper/usviinsularshelf2017/videos/low/AA2017_047.mp4</x:v>
      </x:c>
      <x:c r="O46" t="n">
        <x:v>1</x:v>
      </x:c>
      <x:c r="P46" t="n">
        <x:v>0</x:v>
      </x:c>
      <x:c r="Q46" t="n">
        <x:v>0</x:v>
      </x:c>
      <x:c r="R46" t="n">
        <x:v>0</x:v>
      </x:c>
      <x:c r="S46" t="n">
        <x:v>1</x:v>
      </x:c>
      <x:c r="T46" t="n">
        <x:v>0</x:v>
      </x:c>
      <x:c r="U46" t="n">
        <x:v>1</x:v>
      </x:c>
      <x:c r="V46" t="n">
        <x:v>1</x:v>
      </x:c>
      <x:c r="W46" t="n">
        <x:v>0</x:v>
      </x:c>
      <x:c r="X46" t="n">
        <x:v>0</x:v>
      </x:c>
      <x:c r="Y46" t="n">
        <x:v>0</x:v>
      </x:c>
      <x:c r="Z46" t="n">
        <x:v>1</x:v>
      </x:c>
      <x:c r="AA46" t="n">
        <x:v>3</x:v>
      </x:c>
      <x:c r="AB46" t="str">
        <x:v>Pass</x:v>
      </x:c>
      <x:c r="AC46" t="str"/>
      <x:c r="AD46" t="str"/>
    </x:row>
    <x:row r="47">
      <x:c r="A47" t="str">
        <x:v>REC0046</x:v>
      </x:c>
      <x:c r="B47" t="n">
        <x:v>45</x:v>
      </x:c>
      <x:c r="C47" t="str">
        <x:v>Puerto Rico</x:v>
      </x:c>
      <x:c r="D47" t="str">
        <x:v>AA</x:v>
      </x:c>
      <x:c r="E47" t="str">
        <x:v>Accuracy Assessment</x:v>
      </x:c>
      <x:c r="F47" t="str">
        <x:v>HD Seaviewer Drop Camera</x:v>
      </x:c>
      <x:c r="G47" t="str">
        <x:v>AA2017_048</x:v>
      </x:c>
      <x:c r="H47" s="28" t="n">
        <x:v>42767</x:v>
      </x:c>
      <x:c r="I47" t="str">
        <x:v>13:49:02</x:v>
      </x:c>
      <x:c r="J47" t="n">
        <x:v>2017</x:v>
      </x:c>
      <x:c r="K47" t="n">
        <x:v>18.17996355</x:v>
      </x:c>
      <x:c r="L47" t="n">
        <x:v>-65.17839068</x:v>
      </x:c>
      <x:c r="M47" t="n">
        <x:v>39.449</x:v>
      </x:c>
      <x:c r="N47" t="str">
        <x:v>https://nccospublicstor.blob.core.windows.net/biomapper/usviinsularshelf2017/videos/low/AA2017_048.mp4</x:v>
      </x:c>
      <x:c r="O47" t="n">
        <x:v>1</x:v>
      </x:c>
      <x:c r="P47" t="n">
        <x:v>0</x:v>
      </x:c>
      <x:c r="Q47" t="n">
        <x:v>0</x:v>
      </x:c>
      <x:c r="R47" t="n">
        <x:v>0</x:v>
      </x:c>
      <x:c r="S47" t="n">
        <x:v>1</x:v>
      </x:c>
      <x:c r="T47" t="n">
        <x:v>0</x:v>
      </x:c>
      <x:c r="U47" t="n">
        <x:v>1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1</x:v>
      </x:c>
      <x:c r="AA47" t="n">
        <x:v>2</x:v>
      </x:c>
      <x:c r="AB47" t="str">
        <x:v>Pass</x:v>
      </x:c>
      <x:c r="AC47" t="str"/>
      <x:c r="AD47" t="str"/>
    </x:row>
    <x:row r="48">
      <x:c r="A48" t="str">
        <x:v>REC0047</x:v>
      </x:c>
      <x:c r="B48" t="n">
        <x:v>46</x:v>
      </x:c>
      <x:c r="C48" t="str">
        <x:v>Puerto Rico</x:v>
      </x:c>
      <x:c r="D48" t="str">
        <x:v>AA</x:v>
      </x:c>
      <x:c r="E48" t="str">
        <x:v>Accuracy Assessment</x:v>
      </x:c>
      <x:c r="F48" t="str">
        <x:v>HD Seaviewer Drop Camera</x:v>
      </x:c>
      <x:c r="G48" t="str">
        <x:v>AA2017_049</x:v>
      </x:c>
      <x:c r="H48" s="28" t="n">
        <x:v>42767</x:v>
      </x:c>
      <x:c r="I48" t="str">
        <x:v>12:53:40</x:v>
      </x:c>
      <x:c r="J48" t="n">
        <x:v>2017</x:v>
      </x:c>
      <x:c r="K48" t="n">
        <x:v>18.16743751</x:v>
      </x:c>
      <x:c r="L48" t="n">
        <x:v>-65.17738314</x:v>
      </x:c>
      <x:c r="M48" t="n">
        <x:v>43.41</x:v>
      </x:c>
      <x:c r="N48" t="str">
        <x:v>https://nccospublicstor.blob.core.windows.net/biomapper/usviinsularshelf2017/videos/low/AA2017_049.mp4</x:v>
      </x:c>
      <x:c r="O48" t="n">
        <x:v>1</x:v>
      </x:c>
      <x:c r="P48" t="n">
        <x:v>0</x:v>
      </x:c>
      <x:c r="Q48" t="n">
        <x:v>0</x:v>
      </x:c>
      <x:c r="R48" t="n">
        <x:v>0</x:v>
      </x:c>
      <x:c r="S48" t="n">
        <x:v>1</x:v>
      </x:c>
      <x:c r="T48" t="n">
        <x:v>0</x:v>
      </x:c>
      <x:c r="U48" t="n">
        <x:v>1</x:v>
      </x:c>
      <x:c r="V48" t="n">
        <x:v>1</x:v>
      </x:c>
      <x:c r="W48" t="n">
        <x:v>0</x:v>
      </x:c>
      <x:c r="X48" t="n">
        <x:v>0</x:v>
      </x:c>
      <x:c r="Y48" t="n">
        <x:v>0</x:v>
      </x:c>
      <x:c r="Z48" t="n">
        <x:v>1</x:v>
      </x:c>
      <x:c r="AA48" t="n">
        <x:v>3</x:v>
      </x:c>
      <x:c r="AB48" t="str">
        <x:v>Pass</x:v>
      </x:c>
      <x:c r="AC48" t="str"/>
      <x:c r="AD48" t="str"/>
    </x:row>
    <x:row r="49">
      <x:c r="A49" t="str">
        <x:v>REC0048</x:v>
      </x:c>
      <x:c r="B49" t="n">
        <x:v>47</x:v>
      </x:c>
      <x:c r="C49" t="str">
        <x:v>Puerto Rico</x:v>
      </x:c>
      <x:c r="D49" t="str">
        <x:v>AA</x:v>
      </x:c>
      <x:c r="E49" t="str">
        <x:v>Accuracy Assessment</x:v>
      </x:c>
      <x:c r="F49" t="str">
        <x:v>HD Seaviewer Drop Camera</x:v>
      </x:c>
      <x:c r="G49" t="str">
        <x:v>AA2017_050</x:v>
      </x:c>
      <x:c r="H49" s="28" t="n">
        <x:v>42768</x:v>
      </x:c>
      <x:c r="I49" t="str">
        <x:v>12:46:06</x:v>
      </x:c>
      <x:c r="J49" t="n">
        <x:v>2017</x:v>
      </x:c>
      <x:c r="K49" t="n">
        <x:v>18.23036214</x:v>
      </x:c>
      <x:c r="L49" t="n">
        <x:v>-65.17726519</x:v>
      </x:c>
      <x:c r="M49" t="n">
        <x:v>32.362</x:v>
      </x:c>
      <x:c r="N49" t="str">
        <x:v>https://nccospublicstor.blob.core.windows.net/biomapper/usviinsularshelf2017/videos/low/AA2017_050.mp4</x:v>
      </x:c>
      <x:c r="O49" t="n">
        <x:v>1</x:v>
      </x:c>
      <x:c r="P49" t="n">
        <x:v>0</x:v>
      </x:c>
      <x:c r="Q49" t="n">
        <x:v>0</x:v>
      </x:c>
      <x:c r="R49" t="n">
        <x:v>0</x:v>
      </x:c>
      <x:c r="S49" t="n">
        <x:v>1</x:v>
      </x:c>
      <x:c r="T49" t="n">
        <x:v>1</x:v>
      </x:c>
      <x:c r="U49" t="n">
        <x:v>1</x:v>
      </x:c>
      <x:c r="V49" t="n">
        <x:v>1</x:v>
      </x:c>
      <x:c r="W49" t="n">
        <x:v>0</x:v>
      </x:c>
      <x:c r="X49" t="n">
        <x:v>0</x:v>
      </x:c>
      <x:c r="Y49" t="n">
        <x:v>0</x:v>
      </x:c>
      <x:c r="Z49" t="n">
        <x:v>1</x:v>
      </x:c>
      <x:c r="AA49" t="n">
        <x:v>4</x:v>
      </x:c>
      <x:c r="AB49" t="str">
        <x:v>Pass</x:v>
      </x:c>
      <x:c r="AC49" t="str"/>
      <x:c r="AD49" t="str">
        <x:v>Sand visible on decent</x:v>
      </x:c>
    </x:row>
    <x:row r="50">
      <x:c r="A50" t="str">
        <x:v>REC0049</x:v>
      </x:c>
      <x:c r="B50" t="n">
        <x:v>48</x:v>
      </x:c>
      <x:c r="C50" t="str">
        <x:v>Puerto Rico</x:v>
      </x:c>
      <x:c r="D50" t="str">
        <x:v>AA</x:v>
      </x:c>
      <x:c r="E50" t="str">
        <x:v>Accuracy Assessment</x:v>
      </x:c>
      <x:c r="F50" t="str">
        <x:v>HD Seaviewer Drop Camera</x:v>
      </x:c>
      <x:c r="G50" t="str">
        <x:v>AA2017_051</x:v>
      </x:c>
      <x:c r="H50" s="28" t="n">
        <x:v>42768</x:v>
      </x:c>
      <x:c r="I50" t="str">
        <x:v>09:51:24</x:v>
      </x:c>
      <x:c r="J50" t="n">
        <x:v>2017</x:v>
      </x:c>
      <x:c r="K50" t="n">
        <x:v>18.19917464</x:v>
      </x:c>
      <x:c r="L50" t="n">
        <x:v>-65.17617978</x:v>
      </x:c>
      <x:c r="M50" t="n">
        <x:v>41.791</x:v>
      </x:c>
      <x:c r="N50" t="str">
        <x:v>https://nccospublicstor.blob.core.windows.net/biomapper/usviinsularshelf2017/videos/low/AA2017_051.mp4</x:v>
      </x:c>
      <x:c r="O50" t="n">
        <x:v>1</x:v>
      </x:c>
      <x:c r="P50" t="n">
        <x:v>0</x:v>
      </x:c>
      <x:c r="Q50" t="n">
        <x:v>0</x:v>
      </x:c>
      <x:c r="R50" t="n">
        <x:v>1</x:v>
      </x:c>
      <x:c r="S50" t="n">
        <x:v>1</x:v>
      </x:c>
      <x:c r="T50" t="n">
        <x:v>0</x:v>
      </x:c>
      <x:c r="U50" t="n">
        <x:v>1</x:v>
      </x:c>
      <x:c r="V50" t="n">
        <x:v>1</x:v>
      </x:c>
      <x:c r="W50" t="n">
        <x:v>0</x:v>
      </x:c>
      <x:c r="X50" t="n">
        <x:v>0</x:v>
      </x:c>
      <x:c r="Y50" t="n">
        <x:v>0</x:v>
      </x:c>
      <x:c r="Z50" t="n">
        <x:v>2</x:v>
      </x:c>
      <x:c r="AA50" t="n">
        <x:v>3</x:v>
      </x:c>
      <x:c r="AB50" t="str">
        <x:v>Pass</x:v>
      </x:c>
      <x:c r="AC50" t="str"/>
      <x:c r="AD50" t="str"/>
    </x:row>
    <x:row r="51">
      <x:c r="A51" t="str">
        <x:v>REC0050</x:v>
      </x:c>
      <x:c r="B51" t="n">
        <x:v>49</x:v>
      </x:c>
      <x:c r="C51" t="str">
        <x:v>Puerto Rico</x:v>
      </x:c>
      <x:c r="D51" t="str">
        <x:v>AA</x:v>
      </x:c>
      <x:c r="E51" t="str">
        <x:v>Accuracy Assessment</x:v>
      </x:c>
      <x:c r="F51" t="str">
        <x:v>HD Seaviewer Drop Camera</x:v>
      </x:c>
      <x:c r="G51" t="str">
        <x:v>AA2017_052</x:v>
      </x:c>
      <x:c r="H51" s="28" t="n">
        <x:v>42768</x:v>
      </x:c>
      <x:c r="I51" t="str">
        <x:v>10:08:14</x:v>
      </x:c>
      <x:c r="J51" t="n">
        <x:v>2017</x:v>
      </x:c>
      <x:c r="K51" t="n">
        <x:v>18.20793334</x:v>
      </x:c>
      <x:c r="L51" t="n">
        <x:v>-65.17472332</x:v>
      </x:c>
      <x:c r="M51" t="n">
        <x:v>37.985</x:v>
      </x:c>
      <x:c r="N51" t="str">
        <x:v>https://nccospublicstor.blob.core.windows.net/biomapper/usviinsularshelf2017/videos/low/AA2017_052.mp4</x:v>
      </x:c>
      <x:c r="O51" t="n">
        <x:v>1</x:v>
      </x:c>
      <x:c r="P51" t="n">
        <x:v>0</x:v>
      </x:c>
      <x:c r="Q51" t="n">
        <x:v>0</x:v>
      </x:c>
      <x:c r="R51" t="n">
        <x:v>1</x:v>
      </x:c>
      <x:c r="S51" t="n">
        <x:v>1</x:v>
      </x:c>
      <x:c r="T51" t="n">
        <x:v>0</x:v>
      </x:c>
      <x:c r="U51" t="n">
        <x:v>1</x:v>
      </x:c>
      <x:c r="V51" t="n">
        <x:v>1</x:v>
      </x:c>
      <x:c r="W51" t="n">
        <x:v>0</x:v>
      </x:c>
      <x:c r="X51" t="n">
        <x:v>0</x:v>
      </x:c>
      <x:c r="Y51" t="n">
        <x:v>0</x:v>
      </x:c>
      <x:c r="Z51" t="n">
        <x:v>2</x:v>
      </x:c>
      <x:c r="AA51" t="n">
        <x:v>3</x:v>
      </x:c>
      <x:c r="AB51" t="str">
        <x:v>Pass</x:v>
      </x:c>
      <x:c r="AC51" t="str"/>
      <x:c r="AD51" t="str"/>
    </x:row>
    <x:row r="52">
      <x:c r="A52" t="str">
        <x:v>REC0051</x:v>
      </x:c>
      <x:c r="B52" t="n">
        <x:v>50</x:v>
      </x:c>
      <x:c r="C52" t="str">
        <x:v>Puerto Rico</x:v>
      </x:c>
      <x:c r="D52" t="str">
        <x:v>AA</x:v>
      </x:c>
      <x:c r="E52" t="str">
        <x:v>Accuracy Assessment</x:v>
      </x:c>
      <x:c r="F52" t="str">
        <x:v>HD Seaviewer Drop Camera</x:v>
      </x:c>
      <x:c r="G52" t="str">
        <x:v>AA2017_053</x:v>
      </x:c>
      <x:c r="H52" s="28" t="n">
        <x:v>42767</x:v>
      </x:c>
      <x:c r="I52" t="str">
        <x:v>13:59:05</x:v>
      </x:c>
      <x:c r="J52" t="n">
        <x:v>2017</x:v>
      </x:c>
      <x:c r="K52" t="n">
        <x:v>18.18482781</x:v>
      </x:c>
      <x:c r="L52" t="n">
        <x:v>-65.17350963</x:v>
      </x:c>
      <x:c r="M52" t="n">
        <x:v>38.258</x:v>
      </x:c>
      <x:c r="N52" t="str">
        <x:v>https://nccospublicstor.blob.core.windows.net/biomapper/usviinsularshelf2017/videos/low/AA2017_053.mp4</x:v>
      </x:c>
      <x:c r="O52" t="n">
        <x:v>1</x:v>
      </x:c>
      <x:c r="P52" t="n">
        <x:v>0</x:v>
      </x:c>
      <x:c r="Q52" t="n">
        <x:v>0</x:v>
      </x:c>
      <x:c r="R52" t="n">
        <x:v>0</x:v>
      </x:c>
      <x:c r="S52" t="n">
        <x:v>1</x:v>
      </x:c>
      <x:c r="T52" t="n">
        <x:v>1</x:v>
      </x:c>
      <x:c r="U52" t="n">
        <x:v>1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1</x:v>
      </x:c>
      <x:c r="AA52" t="n">
        <x:v>3</x:v>
      </x:c>
      <x:c r="AB52" t="str">
        <x:v>Pass</x:v>
      </x:c>
      <x:c r="AC52" t="str"/>
      <x:c r="AD52" t="str"/>
    </x:row>
    <x:row r="53">
      <x:c r="A53" t="str">
        <x:v>REC0052</x:v>
      </x:c>
      <x:c r="B53" t="n">
        <x:v>51</x:v>
      </x:c>
      <x:c r="C53" t="str">
        <x:v>Puerto Rico</x:v>
      </x:c>
      <x:c r="D53" t="str">
        <x:v>AA</x:v>
      </x:c>
      <x:c r="E53" t="str">
        <x:v>Accuracy Assessment</x:v>
      </x:c>
      <x:c r="F53" t="str">
        <x:v>HD Seaviewer Drop Camera</x:v>
      </x:c>
      <x:c r="G53" t="str">
        <x:v>AA2017_054</x:v>
      </x:c>
      <x:c r="H53" s="28" t="n">
        <x:v>42768</x:v>
      </x:c>
      <x:c r="I53" t="str">
        <x:v>10:00:35</x:v>
      </x:c>
      <x:c r="J53" t="n">
        <x:v>2017</x:v>
      </x:c>
      <x:c r="K53" t="n">
        <x:v>18.20959388</x:v>
      </x:c>
      <x:c r="L53" t="n">
        <x:v>-65.17091066</x:v>
      </x:c>
      <x:c r="M53" t="n">
        <x:v>36.999</x:v>
      </x:c>
      <x:c r="N53" t="str">
        <x:v>https://nccospublicstor.blob.core.windows.net/biomapper/usviinsularshelf2017/videos/low/AA2017_054.mp4</x:v>
      </x:c>
      <x:c r="O53" t="n">
        <x:v>1</x:v>
      </x:c>
      <x:c r="P53" t="n">
        <x:v>0</x:v>
      </x:c>
      <x:c r="Q53" t="n">
        <x:v>0</x:v>
      </x:c>
      <x:c r="R53" t="n">
        <x:v>1</x:v>
      </x:c>
      <x:c r="S53" t="n">
        <x:v>1</x:v>
      </x:c>
      <x:c r="T53" t="n">
        <x:v>1</x:v>
      </x:c>
      <x:c r="U53" t="n">
        <x:v>1</x:v>
      </x:c>
      <x:c r="V53" t="n">
        <x:v>1</x:v>
      </x:c>
      <x:c r="W53" t="n">
        <x:v>0</x:v>
      </x:c>
      <x:c r="X53" t="n">
        <x:v>0</x:v>
      </x:c>
      <x:c r="Y53" t="n">
        <x:v>0</x:v>
      </x:c>
      <x:c r="Z53" t="n">
        <x:v>2</x:v>
      </x:c>
      <x:c r="AA53" t="n">
        <x:v>4</x:v>
      </x:c>
      <x:c r="AB53" t="str">
        <x:v>Pass</x:v>
      </x:c>
      <x:c r="AC53" t="str"/>
      <x:c r="AD53" t="str"/>
    </x:row>
    <x:row r="54">
      <x:c r="A54" t="str">
        <x:v>REC0053</x:v>
      </x:c>
      <x:c r="B54" t="n">
        <x:v>52</x:v>
      </x:c>
      <x:c r="C54" t="str">
        <x:v>Puerto Rico</x:v>
      </x:c>
      <x:c r="D54" t="str">
        <x:v>AA</x:v>
      </x:c>
      <x:c r="E54" t="str">
        <x:v>Accuracy Assessment</x:v>
      </x:c>
      <x:c r="F54" t="str">
        <x:v>HD Seaviewer Drop Camera</x:v>
      </x:c>
      <x:c r="G54" t="str">
        <x:v>AA2017_055</x:v>
      </x:c>
      <x:c r="H54" s="28" t="n">
        <x:v>42768</x:v>
      </x:c>
      <x:c r="I54" t="str">
        <x:v>12:56:17</x:v>
      </x:c>
      <x:c r="J54" t="n">
        <x:v>2017</x:v>
      </x:c>
      <x:c r="K54" t="n">
        <x:v>18.22181874</x:v>
      </x:c>
      <x:c r="L54" t="n">
        <x:v>-65.17008645</x:v>
      </x:c>
      <x:c r="M54" t="n">
        <x:v>38.068</x:v>
      </x:c>
      <x:c r="N54" t="str">
        <x:v>https://nccospublicstor.blob.core.windows.net/biomapper/usviinsularshelf2017/videos/low/AA2017_055.mp4</x:v>
      </x:c>
      <x:c r="O54" t="n">
        <x:v>1</x:v>
      </x:c>
      <x:c r="P54" t="n">
        <x:v>0</x:v>
      </x:c>
      <x:c r="Q54" t="n">
        <x:v>0</x:v>
      </x:c>
      <x:c r="R54" t="n">
        <x:v>0</x:v>
      </x:c>
      <x:c r="S54" t="n">
        <x:v>1</x:v>
      </x:c>
      <x:c r="T54" t="n">
        <x:v>0</x:v>
      </x:c>
      <x:c r="U54" t="n">
        <x:v>1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1</x:v>
      </x:c>
      <x:c r="AA54" t="n">
        <x:v>2</x:v>
      </x:c>
      <x:c r="AB54" t="str">
        <x:v>Pass</x:v>
      </x:c>
      <x:c r="AC54" t="str"/>
      <x:c r="AD54" t="str"/>
    </x:row>
    <x:row r="55">
      <x:c r="A55" t="str">
        <x:v>REC0054</x:v>
      </x:c>
      <x:c r="B55" t="n">
        <x:v>53</x:v>
      </x:c>
      <x:c r="C55" t="str">
        <x:v>Puerto Rico</x:v>
      </x:c>
      <x:c r="D55" t="str">
        <x:v>AA</x:v>
      </x:c>
      <x:c r="E55" t="str">
        <x:v>Accuracy Assessment</x:v>
      </x:c>
      <x:c r="F55" t="str">
        <x:v>HD Seaviewer Drop Camera</x:v>
      </x:c>
      <x:c r="G55" t="str">
        <x:v>AA2017_057</x:v>
      </x:c>
      <x:c r="H55" s="28" t="n">
        <x:v>42768</x:v>
      </x:c>
      <x:c r="I55" t="str">
        <x:v>09:36:48</x:v>
      </x:c>
      <x:c r="J55" t="n">
        <x:v>2017</x:v>
      </x:c>
      <x:c r="K55" t="n">
        <x:v>18.18200846</x:v>
      </x:c>
      <x:c r="L55" t="n">
        <x:v>-65.16211936</x:v>
      </x:c>
      <x:c r="M55" t="n">
        <x:v>40.249</x:v>
      </x:c>
      <x:c r="N55" t="str">
        <x:v>https://nccospublicstor.blob.core.windows.net/biomapper/usviinsularshelf2017/videos/low/AA2017_057.mp4</x:v>
      </x:c>
      <x:c r="O55" t="n">
        <x:v>1</x:v>
      </x:c>
      <x:c r="P55" t="n">
        <x:v>0</x:v>
      </x:c>
      <x:c r="Q55" t="n">
        <x:v>0</x:v>
      </x:c>
      <x:c r="R55" t="n">
        <x:v>0</x:v>
      </x:c>
      <x:c r="S55" t="n">
        <x:v>1</x:v>
      </x:c>
      <x:c r="T55" t="n">
        <x:v>1</x:v>
      </x:c>
      <x:c r="U55" t="n">
        <x:v>1</x:v>
      </x:c>
      <x:c r="V55" t="n">
        <x:v>1</x:v>
      </x:c>
      <x:c r="W55" t="n">
        <x:v>0</x:v>
      </x:c>
      <x:c r="X55" t="n">
        <x:v>0</x:v>
      </x:c>
      <x:c r="Y55" t="n">
        <x:v>0</x:v>
      </x:c>
      <x:c r="Z55" t="n">
        <x:v>1</x:v>
      </x:c>
      <x:c r="AA55" t="n">
        <x:v>4</x:v>
      </x:c>
      <x:c r="AB55" t="str">
        <x:v>Pass</x:v>
      </x:c>
      <x:c r="AC55" t="str"/>
      <x:c r="AD55" t="str"/>
    </x:row>
    <x:row r="56">
      <x:c r="A56" t="str">
        <x:v>REC0055</x:v>
      </x:c>
      <x:c r="B56" t="n">
        <x:v>54</x:v>
      </x:c>
      <x:c r="C56" t="str">
        <x:v>Puerto Rico</x:v>
      </x:c>
      <x:c r="D56" t="str">
        <x:v>AA</x:v>
      </x:c>
      <x:c r="E56" t="str">
        <x:v>Accuracy Assessment</x:v>
      </x:c>
      <x:c r="F56" t="str">
        <x:v>HD Seaviewer Drop Camera</x:v>
      </x:c>
      <x:c r="G56" t="str">
        <x:v>AA2017_058</x:v>
      </x:c>
      <x:c r="H56" s="28" t="n">
        <x:v>42767</x:v>
      </x:c>
      <x:c r="I56" t="str">
        <x:v>12:33:57</x:v>
      </x:c>
      <x:c r="J56" t="n">
        <x:v>2017</x:v>
      </x:c>
      <x:c r="K56" t="n">
        <x:v>18.1708677</x:v>
      </x:c>
      <x:c r="L56" t="n">
        <x:v>-65.15965372</x:v>
      </x:c>
      <x:c r="M56" t="n">
        <x:v>47.062</x:v>
      </x:c>
      <x:c r="N56" t="str">
        <x:v>https://nccospublicstor.blob.core.windows.net/biomapper/usviinsularshelf2017/videos/low/AA2017_058.mp4</x:v>
      </x:c>
      <x:c r="O56" t="n">
        <x:v>1</x:v>
      </x:c>
      <x:c r="P56" t="n">
        <x:v>0</x:v>
      </x:c>
      <x:c r="Q56" t="n">
        <x:v>1</x:v>
      </x:c>
      <x:c r="R56" t="n">
        <x:v>1</x:v>
      </x:c>
      <x:c r="S56" t="n">
        <x:v>1</x:v>
      </x:c>
      <x:c r="T56" t="n">
        <x:v>0</x:v>
      </x:c>
      <x:c r="U56" t="n">
        <x:v>1</x:v>
      </x:c>
      <x:c r="V56" t="n">
        <x:v>1</x:v>
      </x:c>
      <x:c r="W56" t="n">
        <x:v>0</x:v>
      </x:c>
      <x:c r="X56" t="n">
        <x:v>0</x:v>
      </x:c>
      <x:c r="Y56" t="n">
        <x:v>0</x:v>
      </x:c>
      <x:c r="Z56" t="n">
        <x:v>3</x:v>
      </x:c>
      <x:c r="AA56" t="n">
        <x:v>3</x:v>
      </x:c>
      <x:c r="AB56" t="str">
        <x:v>Pass</x:v>
      </x:c>
      <x:c r="AC56" t="str"/>
      <x:c r="AD56" t="str"/>
    </x:row>
    <x:row r="57">
      <x:c r="A57" t="str">
        <x:v>REC0056</x:v>
      </x:c>
      <x:c r="B57" t="n">
        <x:v>55</x:v>
      </x:c>
      <x:c r="C57" t="str">
        <x:v>Puerto Rico</x:v>
      </x:c>
      <x:c r="D57" t="str">
        <x:v>AA</x:v>
      </x:c>
      <x:c r="E57" t="str">
        <x:v>Accuracy Assessment</x:v>
      </x:c>
      <x:c r="F57" t="str">
        <x:v>HD Seaviewer Drop Camera</x:v>
      </x:c>
      <x:c r="G57" t="str">
        <x:v>AA2017_059</x:v>
      </x:c>
      <x:c r="H57" s="28" t="n">
        <x:v>42768</x:v>
      </x:c>
      <x:c r="I57" t="str">
        <x:v>13:44:27</x:v>
      </x:c>
      <x:c r="J57" t="n">
        <x:v>2017</x:v>
      </x:c>
      <x:c r="K57" t="n">
        <x:v>18.24087282</x:v>
      </x:c>
      <x:c r="L57" t="n">
        <x:v>-65.16122472</x:v>
      </x:c>
      <x:c r="M57" t="n">
        <x:v>34.464</x:v>
      </x:c>
      <x:c r="N57" t="str">
        <x:v>https://nccospublicstor.blob.core.windows.net/biomapper/usviinsularshelf2017/videos/low/AA2017_059.mp4</x:v>
      </x:c>
      <x:c r="O57" t="n">
        <x:v>1</x:v>
      </x:c>
      <x:c r="P57" t="n">
        <x:v>0</x:v>
      </x:c>
      <x:c r="Q57" t="n">
        <x:v>0</x:v>
      </x:c>
      <x:c r="R57" t="n">
        <x:v>1</x:v>
      </x:c>
      <x:c r="S57" t="n">
        <x:v>1</x:v>
      </x:c>
      <x:c r="T57" t="n">
        <x:v>0</x:v>
      </x:c>
      <x:c r="U57" t="n">
        <x:v>1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2</x:v>
      </x:c>
      <x:c r="AA57" t="n">
        <x:v>2</x:v>
      </x:c>
      <x:c r="AB57" t="str">
        <x:v>Pass</x:v>
      </x:c>
      <x:c r="AC57" t="str"/>
      <x:c r="AD57" t="str"/>
    </x:row>
    <x:row r="58">
      <x:c r="A58" t="str">
        <x:v>REC0057</x:v>
      </x:c>
      <x:c r="B58" t="n">
        <x:v>56</x:v>
      </x:c>
      <x:c r="C58" t="str">
        <x:v>Puerto Rico</x:v>
      </x:c>
      <x:c r="D58" t="str">
        <x:v>AA</x:v>
      </x:c>
      <x:c r="E58" t="str">
        <x:v>Accuracy Assessment</x:v>
      </x:c>
      <x:c r="F58" t="str">
        <x:v>HD Seaviewer Drop Camera</x:v>
      </x:c>
      <x:c r="G58" t="str">
        <x:v>AA2017_060</x:v>
      </x:c>
      <x:c r="H58" s="28" t="n">
        <x:v>42768</x:v>
      </x:c>
      <x:c r="I58" t="str">
        <x:v>13:07:03</x:v>
      </x:c>
      <x:c r="J58" t="n">
        <x:v>2017</x:v>
      </x:c>
      <x:c r="K58" t="n">
        <x:v>18.21632465</x:v>
      </x:c>
      <x:c r="L58" t="n">
        <x:v>-65.16004563</x:v>
      </x:c>
      <x:c r="M58" t="n">
        <x:v>35.281</x:v>
      </x:c>
      <x:c r="N58" t="str">
        <x:v>https://nccospublicstor.blob.core.windows.net/biomapper/usviinsularshelf2017/videos/low/AA2017_060.mp4</x:v>
      </x:c>
      <x:c r="O58" t="n">
        <x:v>1</x:v>
      </x:c>
      <x:c r="P58" t="n">
        <x:v>0</x:v>
      </x:c>
      <x:c r="Q58" t="n">
        <x:v>0</x:v>
      </x:c>
      <x:c r="R58" t="n">
        <x:v>0</x:v>
      </x:c>
      <x:c r="S58" t="n">
        <x:v>1</x:v>
      </x:c>
      <x:c r="T58" t="n">
        <x:v>0</x:v>
      </x:c>
      <x:c r="U58" t="n">
        <x:v>1</x:v>
      </x:c>
      <x:c r="V58" t="n">
        <x:v>1</x:v>
      </x:c>
      <x:c r="W58" t="n">
        <x:v>0</x:v>
      </x:c>
      <x:c r="X58" t="n">
        <x:v>0</x:v>
      </x:c>
      <x:c r="Y58" t="n">
        <x:v>0</x:v>
      </x:c>
      <x:c r="Z58" t="n">
        <x:v>1</x:v>
      </x:c>
      <x:c r="AA58" t="n">
        <x:v>3</x:v>
      </x:c>
      <x:c r="AB58" t="str">
        <x:v>Pass</x:v>
      </x:c>
      <x:c r="AC58" t="str"/>
      <x:c r="AD58" t="str">
        <x:v>Sand visible on decent</x:v>
      </x:c>
    </x:row>
    <x:row r="59">
      <x:c r="A59" t="str">
        <x:v>REC0058</x:v>
      </x:c>
      <x:c r="B59" t="n">
        <x:v>57</x:v>
      </x:c>
      <x:c r="C59" t="str">
        <x:v>Puerto Rico</x:v>
      </x:c>
      <x:c r="D59" t="str">
        <x:v>AA</x:v>
      </x:c>
      <x:c r="E59" t="str">
        <x:v>Accuracy Assessment</x:v>
      </x:c>
      <x:c r="F59" t="str">
        <x:v>HD Seaviewer Drop Camera</x:v>
      </x:c>
      <x:c r="G59" t="str">
        <x:v>AA2017_061</x:v>
      </x:c>
      <x:c r="H59" s="28" t="n">
        <x:v>42767</x:v>
      </x:c>
      <x:c r="I59" t="str">
        <x:v>12:42:46</x:v>
      </x:c>
      <x:c r="J59" t="n">
        <x:v>2017</x:v>
      </x:c>
      <x:c r="K59" t="n">
        <x:v>18.17427942</x:v>
      </x:c>
      <x:c r="L59" t="n">
        <x:v>-65.15899631</x:v>
      </x:c>
      <x:c r="M59" t="n">
        <x:v>45.291</x:v>
      </x:c>
      <x:c r="N59" t="str">
        <x:v>https://nccospublicstor.blob.core.windows.net/biomapper/usviinsularshelf2017/videos/low/AA2017_061.mp4</x:v>
      </x:c>
      <x:c r="O59" t="n">
        <x:v>1</x:v>
      </x:c>
      <x:c r="P59" t="n">
        <x:v>0</x:v>
      </x:c>
      <x:c r="Q59" t="n">
        <x:v>0</x:v>
      </x:c>
      <x:c r="R59" t="n">
        <x:v>1</x:v>
      </x:c>
      <x:c r="S59" t="n">
        <x:v>1</x:v>
      </x:c>
      <x:c r="T59" t="n">
        <x:v>0</x:v>
      </x:c>
      <x:c r="U59" t="n">
        <x:v>1</x:v>
      </x:c>
      <x:c r="V59" t="n">
        <x:v>1</x:v>
      </x:c>
      <x:c r="W59" t="n">
        <x:v>0</x:v>
      </x:c>
      <x:c r="X59" t="n">
        <x:v>0</x:v>
      </x:c>
      <x:c r="Y59" t="n">
        <x:v>0</x:v>
      </x:c>
      <x:c r="Z59" t="n">
        <x:v>2</x:v>
      </x:c>
      <x:c r="AA59" t="n">
        <x:v>3</x:v>
      </x:c>
      <x:c r="AB59" t="str">
        <x:v>Pass</x:v>
      </x:c>
      <x:c r="AC59" t="str"/>
      <x:c r="AD59" t="str"/>
    </x:row>
    <x:row r="60">
      <x:c r="A60" t="str">
        <x:v>REC0059</x:v>
      </x:c>
      <x:c r="B60" t="n">
        <x:v>58</x:v>
      </x:c>
      <x:c r="C60" t="str">
        <x:v>Puerto Rico</x:v>
      </x:c>
      <x:c r="D60" t="str">
        <x:v>AA</x:v>
      </x:c>
      <x:c r="E60" t="str">
        <x:v>Accuracy Assessment</x:v>
      </x:c>
      <x:c r="F60" t="str">
        <x:v>HD Seaviewer Drop Camera</x:v>
      </x:c>
      <x:c r="G60" t="str">
        <x:v>AA2017_062</x:v>
      </x:c>
      <x:c r="H60" s="28" t="n">
        <x:v>42768</x:v>
      </x:c>
      <x:c r="I60" t="str">
        <x:v>09:08:09</x:v>
      </x:c>
      <x:c r="J60" t="n">
        <x:v>2017</x:v>
      </x:c>
      <x:c r="K60" t="n">
        <x:v>18.19540323</x:v>
      </x:c>
      <x:c r="L60" t="n">
        <x:v>-65.1575891</x:v>
      </x:c>
      <x:c r="M60" t="n">
        <x:v>42.379</x:v>
      </x:c>
      <x:c r="N60" t="str">
        <x:v>https://nccospublicstor.blob.core.windows.net/biomapper/usviinsularshelf2017/videos/low/AA2017_062.mp4</x:v>
      </x:c>
      <x:c r="O60" t="n">
        <x:v>1</x:v>
      </x:c>
      <x:c r="P60" t="n">
        <x:v>0</x:v>
      </x:c>
      <x:c r="Q60" t="n">
        <x:v>0</x:v>
      </x:c>
      <x:c r="R60" t="n">
        <x:v>0</x:v>
      </x:c>
      <x:c r="S60" t="n">
        <x:v>1</x:v>
      </x:c>
      <x:c r="T60" t="n">
        <x:v>0</x:v>
      </x:c>
      <x:c r="U60" t="n">
        <x:v>1</x:v>
      </x:c>
      <x:c r="V60" t="n">
        <x:v>1</x:v>
      </x:c>
      <x:c r="W60" t="n">
        <x:v>0</x:v>
      </x:c>
      <x:c r="X60" t="n">
        <x:v>0</x:v>
      </x:c>
      <x:c r="Y60" t="n">
        <x:v>0</x:v>
      </x:c>
      <x:c r="Z60" t="n">
        <x:v>1</x:v>
      </x:c>
      <x:c r="AA60" t="n">
        <x:v>3</x:v>
      </x:c>
      <x:c r="AB60" t="str">
        <x:v>Pass</x:v>
      </x:c>
      <x:c r="AC60" t="str"/>
      <x:c r="AD60" t="str"/>
    </x:row>
    <x:row r="61">
      <x:c r="A61" t="str">
        <x:v>REC0060</x:v>
      </x:c>
      <x:c r="B61" t="n">
        <x:v>59</x:v>
      </x:c>
      <x:c r="C61" t="str">
        <x:v>Puerto Rico</x:v>
      </x:c>
      <x:c r="D61" t="str">
        <x:v>AA</x:v>
      </x:c>
      <x:c r="E61" t="str">
        <x:v>Accuracy Assessment</x:v>
      </x:c>
      <x:c r="F61" t="str">
        <x:v>HD Seaviewer Drop Camera</x:v>
      </x:c>
      <x:c r="G61" t="str">
        <x:v>AA2017_063</x:v>
      </x:c>
      <x:c r="H61" s="28" t="n">
        <x:v>42768</x:v>
      </x:c>
      <x:c r="I61" t="str">
        <x:v>13:35:31</x:v>
      </x:c>
      <x:c r="J61" t="n">
        <x:v>2017</x:v>
      </x:c>
      <x:c r="K61" t="n">
        <x:v>18.22752069</x:v>
      </x:c>
      <x:c r="L61" t="n">
        <x:v>-65.15711627</x:v>
      </x:c>
      <x:c r="M61" t="n">
        <x:v>36.009</x:v>
      </x:c>
      <x:c r="N61" t="str">
        <x:v>https://nccospublicstor.blob.core.windows.net/biomapper/usviinsularshelf2017/videos/low/AA2017_063.mp4</x:v>
      </x:c>
      <x:c r="O61" t="n">
        <x:v>1</x:v>
      </x:c>
      <x:c r="P61" t="n">
        <x:v>0</x:v>
      </x:c>
      <x:c r="Q61" t="n">
        <x:v>0</x:v>
      </x:c>
      <x:c r="R61" t="n">
        <x:v>0</x:v>
      </x:c>
      <x:c r="S61" t="n">
        <x:v>1</x:v>
      </x:c>
      <x:c r="T61" t="n">
        <x:v>0</x:v>
      </x:c>
      <x:c r="U61" t="n">
        <x:v>1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1</x:v>
      </x:c>
      <x:c r="AA61" t="n">
        <x:v>2</x:v>
      </x:c>
      <x:c r="AB61" t="str">
        <x:v>Pass</x:v>
      </x:c>
      <x:c r="AC61" t="str"/>
      <x:c r="AD61" t="str"/>
    </x:row>
    <x:row r="62">
      <x:c r="A62" t="str">
        <x:v>REC0061</x:v>
      </x:c>
      <x:c r="B62" t="n">
        <x:v>60</x:v>
      </x:c>
      <x:c r="C62" t="str">
        <x:v>Puerto Rico</x:v>
      </x:c>
      <x:c r="D62" t="str">
        <x:v>AA</x:v>
      </x:c>
      <x:c r="E62" t="str">
        <x:v>Accuracy Assessment</x:v>
      </x:c>
      <x:c r="F62" t="str">
        <x:v>HD Seaviewer Drop Camera</x:v>
      </x:c>
      <x:c r="G62" t="str">
        <x:v>AA2017_064</x:v>
      </x:c>
      <x:c r="H62" s="28" t="n">
        <x:v>42767</x:v>
      </x:c>
      <x:c r="I62" t="str">
        <x:v>12:23:50</x:v>
      </x:c>
      <x:c r="J62" t="n">
        <x:v>2017</x:v>
      </x:c>
      <x:c r="K62" t="n">
        <x:v>18.17256266</x:v>
      </x:c>
      <x:c r="L62" t="n">
        <x:v>-65.15258379</x:v>
      </x:c>
      <x:c r="M62" t="n">
        <x:v>45.064</x:v>
      </x:c>
      <x:c r="N62" t="str">
        <x:v>https://nccospublicstor.blob.core.windows.net/biomapper/usviinsularshelf2017/videos/low/AA2017_064.mp4</x:v>
      </x:c>
      <x:c r="O62" t="n">
        <x:v>1</x:v>
      </x:c>
      <x:c r="P62" t="n">
        <x:v>0</x:v>
      </x:c>
      <x:c r="Q62" t="n">
        <x:v>0</x:v>
      </x:c>
      <x:c r="R62" t="n">
        <x:v>1</x:v>
      </x:c>
      <x:c r="S62" t="n">
        <x:v>1</x:v>
      </x:c>
      <x:c r="T62" t="n">
        <x:v>0</x:v>
      </x:c>
      <x:c r="U62" t="n">
        <x:v>1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2</x:v>
      </x:c>
      <x:c r="AA62" t="n">
        <x:v>2</x:v>
      </x:c>
      <x:c r="AB62" t="str">
        <x:v>Pass</x:v>
      </x:c>
      <x:c r="AC62" t="str"/>
      <x:c r="AD62" t="str"/>
    </x:row>
    <x:row r="63">
      <x:c r="A63" t="str">
        <x:v>REC0062</x:v>
      </x:c>
      <x:c r="B63" t="n">
        <x:v>61</x:v>
      </x:c>
      <x:c r="C63" t="str">
        <x:v>Puerto Rico</x:v>
      </x:c>
      <x:c r="D63" t="str">
        <x:v>AA</x:v>
      </x:c>
      <x:c r="E63" t="str">
        <x:v>Accuracy Assessment</x:v>
      </x:c>
      <x:c r="F63" t="str">
        <x:v>HD Seaviewer Drop Camera</x:v>
      </x:c>
      <x:c r="G63" t="str">
        <x:v>AA2017_065</x:v>
      </x:c>
      <x:c r="H63" s="28" t="n">
        <x:v>42768</x:v>
      </x:c>
      <x:c r="I63" t="str">
        <x:v>08:57:19</x:v>
      </x:c>
      <x:c r="J63" t="n">
        <x:v>2017</x:v>
      </x:c>
      <x:c r="K63" t="n">
        <x:v>18.20996105</x:v>
      </x:c>
      <x:c r="L63" t="n">
        <x:v>-65.15200011</x:v>
      </x:c>
      <x:c r="M63" t="n">
        <x:v>39.132</x:v>
      </x:c>
      <x:c r="N63" t="str">
        <x:v>https://nccospublicstor.blob.core.windows.net/biomapper/usviinsularshelf2017/videos/low/AA2017_065.mp4</x:v>
      </x:c>
      <x:c r="O63" t="n">
        <x:v>1</x:v>
      </x:c>
      <x:c r="P63" t="n">
        <x:v>0</x:v>
      </x:c>
      <x:c r="Q63" t="n">
        <x:v>0</x:v>
      </x:c>
      <x:c r="R63" t="n">
        <x:v>0</x:v>
      </x:c>
      <x:c r="S63" t="n">
        <x:v>1</x:v>
      </x:c>
      <x:c r="T63" t="n">
        <x:v>0</x:v>
      </x:c>
      <x:c r="U63" t="n">
        <x:v>1</x:v>
      </x:c>
      <x:c r="V63" t="n">
        <x:v>1</x:v>
      </x:c>
      <x:c r="W63" t="n">
        <x:v>0</x:v>
      </x:c>
      <x:c r="X63" t="n">
        <x:v>0</x:v>
      </x:c>
      <x:c r="Y63" t="n">
        <x:v>0</x:v>
      </x:c>
      <x:c r="Z63" t="n">
        <x:v>1</x:v>
      </x:c>
      <x:c r="AA63" t="n">
        <x:v>3</x:v>
      </x:c>
      <x:c r="AB63" t="str">
        <x:v>Pass</x:v>
      </x:c>
      <x:c r="AC63" t="str"/>
      <x:c r="AD63" t="str"/>
    </x:row>
    <x:row r="64">
      <x:c r="A64" t="str">
        <x:v>REC0063</x:v>
      </x:c>
      <x:c r="B64" t="n">
        <x:v>62</x:v>
      </x:c>
      <x:c r="C64" t="str">
        <x:v>Puerto Rico</x:v>
      </x:c>
      <x:c r="D64" t="str">
        <x:v>AA</x:v>
      </x:c>
      <x:c r="E64" t="str">
        <x:v>Accuracy Assessment</x:v>
      </x:c>
      <x:c r="F64" t="str">
        <x:v>HD Seaviewer Drop Camera</x:v>
      </x:c>
      <x:c r="G64" t="str">
        <x:v>AA2017_066</x:v>
      </x:c>
      <x:c r="H64" s="28" t="n">
        <x:v>42768</x:v>
      </x:c>
      <x:c r="I64" t="str">
        <x:v>09:28:47</x:v>
      </x:c>
      <x:c r="J64" t="n">
        <x:v>2017</x:v>
      </x:c>
      <x:c r="K64" t="n">
        <x:v>18.18110965</x:v>
      </x:c>
      <x:c r="L64" t="n">
        <x:v>-65.15141448</x:v>
      </x:c>
      <x:c r="M64" t="n">
        <x:v>45.295</x:v>
      </x:c>
      <x:c r="N64" t="str">
        <x:v>https://nccospublicstor.blob.core.windows.net/biomapper/usviinsularshelf2017/videos/low/AA2017_066.mp4</x:v>
      </x:c>
      <x:c r="O64" t="n">
        <x:v>1</x:v>
      </x:c>
      <x:c r="P64" t="n">
        <x:v>0</x:v>
      </x:c>
      <x:c r="Q64" t="n">
        <x:v>0</x:v>
      </x:c>
      <x:c r="R64" t="n">
        <x:v>0</x:v>
      </x:c>
      <x:c r="S64" t="n">
        <x:v>1</x:v>
      </x:c>
      <x:c r="T64" t="n">
        <x:v>0</x:v>
      </x:c>
      <x:c r="U64" t="n">
        <x:v>1</x:v>
      </x:c>
      <x:c r="V64" t="n">
        <x:v>1</x:v>
      </x:c>
      <x:c r="W64" t="n">
        <x:v>0</x:v>
      </x:c>
      <x:c r="X64" t="n">
        <x:v>0</x:v>
      </x:c>
      <x:c r="Y64" t="n">
        <x:v>0</x:v>
      </x:c>
      <x:c r="Z64" t="n">
        <x:v>1</x:v>
      </x:c>
      <x:c r="AA64" t="n">
        <x:v>3</x:v>
      </x:c>
      <x:c r="AB64" t="str">
        <x:v>Pass</x:v>
      </x:c>
      <x:c r="AC64" t="str"/>
      <x:c r="AD64" t="str"/>
    </x:row>
    <x:row r="65">
      <x:c r="A65" t="str">
        <x:v>REC0064</x:v>
      </x:c>
      <x:c r="B65" t="n">
        <x:v>63</x:v>
      </x:c>
      <x:c r="C65" t="str">
        <x:v>Puerto Rico</x:v>
      </x:c>
      <x:c r="D65" t="str">
        <x:v>AA</x:v>
      </x:c>
      <x:c r="E65" t="str">
        <x:v>Accuracy Assessment</x:v>
      </x:c>
      <x:c r="F65" t="str">
        <x:v>HD Seaviewer Drop Camera</x:v>
      </x:c>
      <x:c r="G65" t="str">
        <x:v>AA2017_067</x:v>
      </x:c>
      <x:c r="H65" s="28" t="n">
        <x:v>42768</x:v>
      </x:c>
      <x:c r="I65" t="str">
        <x:v>13:28:54</x:v>
      </x:c>
      <x:c r="J65" t="n">
        <x:v>2017</x:v>
      </x:c>
      <x:c r="K65" t="n">
        <x:v>18.22907836</x:v>
      </x:c>
      <x:c r="L65" t="n">
        <x:v>-65.15181224</x:v>
      </x:c>
      <x:c r="M65" t="n">
        <x:v>37.133</x:v>
      </x:c>
      <x:c r="N65" t="str">
        <x:v>https://nccospublicstor.blob.core.windows.net/biomapper/usviinsularshelf2017/videos/low/AA2017_067.mp4</x:v>
      </x:c>
      <x:c r="O65" t="n">
        <x:v>1</x:v>
      </x:c>
      <x:c r="P65" t="n">
        <x:v>0</x:v>
      </x:c>
      <x:c r="Q65" t="n">
        <x:v>0</x:v>
      </x:c>
      <x:c r="R65" t="n">
        <x:v>1</x:v>
      </x:c>
      <x:c r="S65" t="n">
        <x:v>1</x:v>
      </x:c>
      <x:c r="T65" t="n">
        <x:v>0</x:v>
      </x:c>
      <x:c r="U65" t="n">
        <x:v>1</x:v>
      </x:c>
      <x:c r="V65" t="n">
        <x:v>1</x:v>
      </x:c>
      <x:c r="W65" t="n">
        <x:v>0</x:v>
      </x:c>
      <x:c r="X65" t="n">
        <x:v>0</x:v>
      </x:c>
      <x:c r="Y65" t="n">
        <x:v>0</x:v>
      </x:c>
      <x:c r="Z65" t="n">
        <x:v>2</x:v>
      </x:c>
      <x:c r="AA65" t="n">
        <x:v>3</x:v>
      </x:c>
      <x:c r="AB65" t="str">
        <x:v>Pass</x:v>
      </x:c>
      <x:c r="AC65" t="str"/>
      <x:c r="AD65" t="str">
        <x:v>large Porites porites</x:v>
      </x:c>
    </x:row>
    <x:row r="66">
      <x:c r="A66" t="str">
        <x:v>REC0065</x:v>
      </x:c>
      <x:c r="B66" t="n">
        <x:v>64</x:v>
      </x:c>
      <x:c r="C66" t="str">
        <x:v>Puerto Rico</x:v>
      </x:c>
      <x:c r="D66" t="str">
        <x:v>AA</x:v>
      </x:c>
      <x:c r="E66" t="str">
        <x:v>Accuracy Assessment</x:v>
      </x:c>
      <x:c r="F66" t="str">
        <x:v>HD Seaviewer Drop Camera</x:v>
      </x:c>
      <x:c r="G66" t="str">
        <x:v>AA2017_068</x:v>
      </x:c>
      <x:c r="H66" s="28" t="n">
        <x:v>42768</x:v>
      </x:c>
      <x:c r="I66" t="str">
        <x:v>09:19:27</x:v>
      </x:c>
      <x:c r="J66" t="n">
        <x:v>2017</x:v>
      </x:c>
      <x:c r="K66" t="n">
        <x:v>18.18648988</x:v>
      </x:c>
      <x:c r="L66" t="n">
        <x:v>-65.14970653</x:v>
      </x:c>
      <x:c r="M66" t="n">
        <x:v>37.24</x:v>
      </x:c>
      <x:c r="N66" t="str">
        <x:v>https://nccospublicstor.blob.core.windows.net/biomapper/usviinsularshelf2017/videos/low/AA2017_068.mp4</x:v>
      </x:c>
      <x:c r="O66" t="n">
        <x:v>1</x:v>
      </x:c>
      <x:c r="P66" t="n">
        <x:v>0</x:v>
      </x:c>
      <x:c r="Q66" t="n">
        <x:v>0</x:v>
      </x:c>
      <x:c r="R66" t="n">
        <x:v>0</x:v>
      </x:c>
      <x:c r="S66" t="n">
        <x:v>1</x:v>
      </x:c>
      <x:c r="T66" t="n">
        <x:v>1</x:v>
      </x:c>
      <x:c r="U66" t="n">
        <x:v>1</x:v>
      </x:c>
      <x:c r="V66" t="n">
        <x:v>1</x:v>
      </x:c>
      <x:c r="W66" t="n">
        <x:v>0</x:v>
      </x:c>
      <x:c r="X66" t="n">
        <x:v>0</x:v>
      </x:c>
      <x:c r="Y66" t="n">
        <x:v>0</x:v>
      </x:c>
      <x:c r="Z66" t="n">
        <x:v>1</x:v>
      </x:c>
      <x:c r="AA66" t="n">
        <x:v>4</x:v>
      </x:c>
      <x:c r="AB66" t="str">
        <x:v>Pass</x:v>
      </x:c>
      <x:c r="AC66" t="str"/>
      <x:c r="AD66" t="str"/>
    </x:row>
    <x:row r="67">
      <x:c r="A67" t="str">
        <x:v>REC0066</x:v>
      </x:c>
      <x:c r="B67" t="n">
        <x:v>65</x:v>
      </x:c>
      <x:c r="C67" t="str">
        <x:v>Puerto Rico</x:v>
      </x:c>
      <x:c r="D67" t="str">
        <x:v>AA</x:v>
      </x:c>
      <x:c r="E67" t="str">
        <x:v>Accuracy Assessment</x:v>
      </x:c>
      <x:c r="F67" t="str">
        <x:v>HD Seaviewer Drop Camera</x:v>
      </x:c>
      <x:c r="G67" t="str">
        <x:v>AA2017_069</x:v>
      </x:c>
      <x:c r="H67" s="28" t="n">
        <x:v>42767</x:v>
      </x:c>
      <x:c r="I67" t="str">
        <x:v>12:15:41</x:v>
      </x:c>
      <x:c r="J67" t="n">
        <x:v>2017</x:v>
      </x:c>
      <x:c r="K67" t="n">
        <x:v>18.17389589</x:v>
      </x:c>
      <x:c r="L67" t="n">
        <x:v>-65.14510105</x:v>
      </x:c>
      <x:c r="M67" t="n">
        <x:v>41.47</x:v>
      </x:c>
      <x:c r="N67" t="str">
        <x:v>https://nccospublicstor.blob.core.windows.net/biomapper/usviinsularshelf2017/videos/low/AA2017_069.mp4</x:v>
      </x:c>
      <x:c r="O67" t="n">
        <x:v>1</x:v>
      </x:c>
      <x:c r="P67" t="n">
        <x:v>0</x:v>
      </x:c>
      <x:c r="Q67" t="n">
        <x:v>0</x:v>
      </x:c>
      <x:c r="R67" t="n">
        <x:v>0</x:v>
      </x:c>
      <x:c r="S67" t="n">
        <x:v>1</x:v>
      </x:c>
      <x:c r="T67" t="n">
        <x:v>0</x:v>
      </x:c>
      <x:c r="U67" t="n">
        <x:v>1</x:v>
      </x:c>
      <x:c r="V67" t="n">
        <x:v>1</x:v>
      </x:c>
      <x:c r="W67" t="n">
        <x:v>0</x:v>
      </x:c>
      <x:c r="X67" t="n">
        <x:v>0</x:v>
      </x:c>
      <x:c r="Y67" t="n">
        <x:v>0</x:v>
      </x:c>
      <x:c r="Z67" t="n">
        <x:v>1</x:v>
      </x:c>
      <x:c r="AA67" t="n">
        <x:v>3</x:v>
      </x:c>
      <x:c r="AB67" t="str">
        <x:v>Pass</x:v>
      </x:c>
      <x:c r="AC67" t="str"/>
      <x:c r="AD67" t="str"/>
    </x:row>
    <x:row r="68">
      <x:c r="A68" t="str">
        <x:v>REC0067</x:v>
      </x:c>
      <x:c r="B68" t="n">
        <x:v>66</x:v>
      </x:c>
      <x:c r="C68" t="str">
        <x:v>Puerto Rico</x:v>
      </x:c>
      <x:c r="D68" t="str">
        <x:v>AA</x:v>
      </x:c>
      <x:c r="E68" t="str">
        <x:v>Accuracy Assessment</x:v>
      </x:c>
      <x:c r="F68" t="str">
        <x:v>HD Seaviewer Drop Camera</x:v>
      </x:c>
      <x:c r="G68" t="str">
        <x:v>AA2017_071</x:v>
      </x:c>
      <x:c r="H68" s="28" t="n">
        <x:v>42767</x:v>
      </x:c>
      <x:c r="I68" t="str">
        <x:v>12:06:50</x:v>
      </x:c>
      <x:c r="J68" t="n">
        <x:v>2017</x:v>
      </x:c>
      <x:c r="K68" t="n">
        <x:v>18.17965653</x:v>
      </x:c>
      <x:c r="L68" t="n">
        <x:v>-65.14406848</x:v>
      </x:c>
      <x:c r="M68" t="n">
        <x:v>44.996</x:v>
      </x:c>
      <x:c r="N68" t="str">
        <x:v>https://nccospublicstor.blob.core.windows.net/biomapper/usviinsularshelf2017/videos/low/AA2017_071.mp4</x:v>
      </x:c>
      <x:c r="O68" t="n">
        <x:v>1</x:v>
      </x:c>
      <x:c r="P68" t="n">
        <x:v>0</x:v>
      </x:c>
      <x:c r="Q68" t="n">
        <x:v>0</x:v>
      </x:c>
      <x:c r="R68" t="n">
        <x:v>1</x:v>
      </x:c>
      <x:c r="S68" t="n">
        <x:v>1</x:v>
      </x:c>
      <x:c r="T68" t="n">
        <x:v>0</x:v>
      </x:c>
      <x:c r="U68" t="n">
        <x:v>1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2</x:v>
      </x:c>
      <x:c r="AA68" t="n">
        <x:v>2</x:v>
      </x:c>
      <x:c r="AB68" t="str">
        <x:v>Pass</x:v>
      </x:c>
      <x:c r="AC68" t="str"/>
      <x:c r="AD68" t="str">
        <x:v>great barracuda</x:v>
      </x:c>
    </x:row>
    <x:row r="69">
      <x:c r="A69" t="str">
        <x:v>REC0068</x:v>
      </x:c>
      <x:c r="B69" t="n">
        <x:v>67</x:v>
      </x:c>
      <x:c r="C69" t="str">
        <x:v>Puerto Rico</x:v>
      </x:c>
      <x:c r="D69" t="str">
        <x:v>AA</x:v>
      </x:c>
      <x:c r="E69" t="str">
        <x:v>Accuracy Assessment</x:v>
      </x:c>
      <x:c r="F69" t="str">
        <x:v>HD Seaviewer Drop Camera</x:v>
      </x:c>
      <x:c r="G69" t="str">
        <x:v>AA2017_072</x:v>
      </x:c>
      <x:c r="H69" s="28" t="n">
        <x:v>42768</x:v>
      </x:c>
      <x:c r="I69" t="str">
        <x:v>08:48:21</x:v>
      </x:c>
      <x:c r="J69" t="n">
        <x:v>2017</x:v>
      </x:c>
      <x:c r="K69" t="n">
        <x:v>18.2109251</x:v>
      </x:c>
      <x:c r="L69" t="n">
        <x:v>-65.14325</x:v>
      </x:c>
      <x:c r="M69" t="n">
        <x:v>40.938</x:v>
      </x:c>
      <x:c r="N69" t="str">
        <x:v>https://nccospublicstor.blob.core.windows.net/biomapper/usviinsularshelf2017/videos/low/AA2017_072.mp4</x:v>
      </x:c>
      <x:c r="O69" t="n">
        <x:v>0</x:v>
      </x:c>
      <x:c r="P69" t="n">
        <x:v>1</x:v>
      </x:c>
      <x:c r="Q69" t="n">
        <x:v>1</x:v>
      </x:c>
      <x:c r="R69" t="n">
        <x:v>1</x:v>
      </x:c>
      <x:c r="S69" t="n">
        <x:v>0</x:v>
      </x:c>
      <x:c r="T69" t="n">
        <x:v>0</x:v>
      </x:c>
      <x:c r="U69" t="n">
        <x:v>0</x:v>
      </x:c>
      <x:c r="V69" t="n">
        <x:v>1</x:v>
      </x:c>
      <x:c r="W69" t="n">
        <x:v>0</x:v>
      </x:c>
      <x:c r="X69" t="n">
        <x:v>0</x:v>
      </x:c>
      <x:c r="Y69" t="n">
        <x:v>0</x:v>
      </x:c>
      <x:c r="Z69" t="n">
        <x:v>3</x:v>
      </x:c>
      <x:c r="AA69" t="n">
        <x:v>1</x:v>
      </x:c>
      <x:c r="AB69" t="str">
        <x:v>Pass</x:v>
      </x:c>
      <x:c r="AC69" t="str"/>
      <x:c r="AD69" t="str"/>
    </x:row>
    <x:row r="70">
      <x:c r="A70" t="str">
        <x:v>REC0069</x:v>
      </x:c>
      <x:c r="B70" t="n">
        <x:v>68</x:v>
      </x:c>
      <x:c r="C70" t="str">
        <x:v>Puerto Rico</x:v>
      </x:c>
      <x:c r="D70" t="str">
        <x:v>AA</x:v>
      </x:c>
      <x:c r="E70" t="str">
        <x:v>Accuracy Assessment</x:v>
      </x:c>
      <x:c r="F70" t="str">
        <x:v>HD Seaviewer Drop Camera</x:v>
      </x:c>
      <x:c r="G70" t="str">
        <x:v>AA2017_073</x:v>
      </x:c>
      <x:c r="H70" s="28" t="n">
        <x:v>42768</x:v>
      </x:c>
      <x:c r="I70" t="str">
        <x:v>13:20:18</x:v>
      </x:c>
      <x:c r="J70" t="n">
        <x:v>2017</x:v>
      </x:c>
      <x:c r="K70" t="n">
        <x:v>18.23199146</x:v>
      </x:c>
      <x:c r="L70" t="n">
        <x:v>-65.14203332</x:v>
      </x:c>
      <x:c r="M70" t="n">
        <x:v>31.506</x:v>
      </x:c>
      <x:c r="N70" t="str">
        <x:v>https://nccospublicstor.blob.core.windows.net/biomapper/usviinsularshelf2017/videos/low/AA2017_073.mp4</x:v>
      </x:c>
      <x:c r="O70" t="n">
        <x:v>1</x:v>
      </x:c>
      <x:c r="P70" t="n">
        <x:v>0</x:v>
      </x:c>
      <x:c r="Q70" t="n">
        <x:v>0</x:v>
      </x:c>
      <x:c r="R70" t="n">
        <x:v>0</x:v>
      </x:c>
      <x:c r="S70" t="n">
        <x:v>1</x:v>
      </x:c>
      <x:c r="T70" t="n">
        <x:v>1</x:v>
      </x:c>
      <x:c r="U70" t="n">
        <x:v>1</x:v>
      </x:c>
      <x:c r="V70" t="n">
        <x:v>1</x:v>
      </x:c>
      <x:c r="W70" t="n">
        <x:v>0</x:v>
      </x:c>
      <x:c r="X70" t="n">
        <x:v>0</x:v>
      </x:c>
      <x:c r="Y70" t="n">
        <x:v>0</x:v>
      </x:c>
      <x:c r="Z70" t="n">
        <x:v>1</x:v>
      </x:c>
      <x:c r="AA70" t="n">
        <x:v>4</x:v>
      </x:c>
      <x:c r="AB70" t="str">
        <x:v>Pass</x:v>
      </x:c>
      <x:c r="AC70" t="str"/>
      <x:c r="AD70" t="str"/>
    </x:row>
    <x:row r="71">
      <x:c r="A71" t="str">
        <x:v>REC0070</x:v>
      </x:c>
      <x:c r="B71" t="n">
        <x:v>69</x:v>
      </x:c>
      <x:c r="C71" t="str">
        <x:v>Puerto Rico</x:v>
      </x:c>
      <x:c r="D71" t="str">
        <x:v>AA</x:v>
      </x:c>
      <x:c r="E71" t="str">
        <x:v>Accuracy Assessment</x:v>
      </x:c>
      <x:c r="F71" t="str">
        <x:v>HD Seaviewer Drop Camera</x:v>
      </x:c>
      <x:c r="G71" t="str">
        <x:v>AA2017_074</x:v>
      </x:c>
      <x:c r="H71" s="28" t="n">
        <x:v>42768</x:v>
      </x:c>
      <x:c r="I71" t="str">
        <x:v>08:15:38</x:v>
      </x:c>
      <x:c r="J71" t="n">
        <x:v>2017</x:v>
      </x:c>
      <x:c r="K71" t="n">
        <x:v>18.21569861</x:v>
      </x:c>
      <x:c r="L71" t="n">
        <x:v>-65.14057967</x:v>
      </x:c>
      <x:c r="M71" t="n">
        <x:v>40.628</x:v>
      </x:c>
      <x:c r="N71" t="str">
        <x:v>https://nccospublicstor.blob.core.windows.net/biomapper/usviinsularshelf2017/videos/low/AA2017_074.mp4</x:v>
      </x:c>
      <x:c r="O71" t="n">
        <x:v>1</x:v>
      </x:c>
      <x:c r="P71" t="n">
        <x:v>0</x:v>
      </x:c>
      <x:c r="Q71" t="n">
        <x:v>0</x:v>
      </x:c>
      <x:c r="R71" t="n">
        <x:v>1</x:v>
      </x:c>
      <x:c r="S71" t="n">
        <x:v>1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2</x:v>
      </x:c>
      <x:c r="AA71" t="n">
        <x:v>1</x:v>
      </x:c>
      <x:c r="AB71" t="str">
        <x:v>Pass</x:v>
      </x:c>
      <x:c r="AC71" t="str"/>
      <x:c r="AD71" t="str"/>
    </x:row>
    <x:row r="72">
      <x:c r="A72" t="str">
        <x:v>REC0071</x:v>
      </x:c>
      <x:c r="B72" t="n">
        <x:v>70</x:v>
      </x:c>
      <x:c r="C72" t="str">
        <x:v>Puerto Rico</x:v>
      </x:c>
      <x:c r="D72" t="str">
        <x:v>AA</x:v>
      </x:c>
      <x:c r="E72" t="str">
        <x:v>Accuracy Assessment</x:v>
      </x:c>
      <x:c r="F72" t="str">
        <x:v>HD Seaviewer Drop Camera</x:v>
      </x:c>
      <x:c r="G72" t="str">
        <x:v>AA2017_075</x:v>
      </x:c>
      <x:c r="H72" s="28" t="n">
        <x:v>42767</x:v>
      </x:c>
      <x:c r="I72" t="str">
        <x:v>11:52:13</x:v>
      </x:c>
      <x:c r="J72" t="n">
        <x:v>2017</x:v>
      </x:c>
      <x:c r="K72" t="n">
        <x:v>18.17862086</x:v>
      </x:c>
      <x:c r="L72" t="n">
        <x:v>-65.13925064</x:v>
      </x:c>
      <x:c r="M72" t="n">
        <x:v>38.209</x:v>
      </x:c>
      <x:c r="N72" t="str">
        <x:v>https://nccospublicstor.blob.core.windows.net/biomapper/usviinsularshelf2017/videos/low/AA2017_075.mp4</x:v>
      </x:c>
      <x:c r="O72" t="n">
        <x:v>1</x:v>
      </x:c>
      <x:c r="P72" t="n">
        <x:v>0</x:v>
      </x:c>
      <x:c r="Q72" t="n">
        <x:v>0</x:v>
      </x:c>
      <x:c r="R72" t="n">
        <x:v>0</x:v>
      </x:c>
      <x:c r="S72" t="n">
        <x:v>1</x:v>
      </x:c>
      <x:c r="T72" t="n">
        <x:v>0</x:v>
      </x:c>
      <x:c r="U72" t="n">
        <x:v>1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1</x:v>
      </x:c>
      <x:c r="AA72" t="n">
        <x:v>2</x:v>
      </x:c>
      <x:c r="AB72" t="str">
        <x:v>Pass</x:v>
      </x:c>
      <x:c r="AC72" t="str"/>
      <x:c r="AD72" t="str">
        <x:v>20-30% live hard coral cover</x:v>
      </x:c>
    </x:row>
    <x:row r="73">
      <x:c r="A73" t="str">
        <x:v>REC0072</x:v>
      </x:c>
      <x:c r="B73" t="n">
        <x:v>71</x:v>
      </x:c>
      <x:c r="C73" t="str">
        <x:v>Puerto Rico</x:v>
      </x:c>
      <x:c r="D73" t="str">
        <x:v>AA</x:v>
      </x:c>
      <x:c r="E73" t="str">
        <x:v>Accuracy Assessment</x:v>
      </x:c>
      <x:c r="F73" t="str">
        <x:v>HD Seaviewer Drop Camera</x:v>
      </x:c>
      <x:c r="G73" t="str">
        <x:v>AA2017_076</x:v>
      </x:c>
      <x:c r="H73" s="28" t="n">
        <x:v>42767</x:v>
      </x:c>
      <x:c r="I73" t="str">
        <x:v>11:43:29</x:v>
      </x:c>
      <x:c r="J73" t="n">
        <x:v>2017</x:v>
      </x:c>
      <x:c r="K73" t="n">
        <x:v>18.18439393</x:v>
      </x:c>
      <x:c r="L73" t="n">
        <x:v>-65.13745294</x:v>
      </x:c>
      <x:c r="M73" t="n">
        <x:v>42.955</x:v>
      </x:c>
      <x:c r="N73" t="str">
        <x:v>https://nccospublicstor.blob.core.windows.net/biomapper/usviinsularshelf2017/videos/low/AA2017_076.mp4</x:v>
      </x:c>
      <x:c r="O73" t="n">
        <x:v>1</x:v>
      </x:c>
      <x:c r="P73" t="n">
        <x:v>0</x:v>
      </x:c>
      <x:c r="Q73" t="n">
        <x:v>0</x:v>
      </x:c>
      <x:c r="R73" t="n">
        <x:v>1</x:v>
      </x:c>
      <x:c r="S73" t="n">
        <x:v>1</x:v>
      </x:c>
      <x:c r="T73" t="n">
        <x:v>0</x:v>
      </x:c>
      <x:c r="U73" t="n">
        <x:v>1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2</x:v>
      </x:c>
      <x:c r="AA73" t="n">
        <x:v>2</x:v>
      </x:c>
      <x:c r="AB73" t="str">
        <x:v>Pass</x:v>
      </x:c>
      <x:c r="AC73" t="str"/>
      <x:c r="AD73" t="str"/>
    </x:row>
    <x:row r="74">
      <x:c r="A74" t="str">
        <x:v>REC0073</x:v>
      </x:c>
      <x:c r="B74" t="n">
        <x:v>72</x:v>
      </x:c>
      <x:c r="C74" t="str">
        <x:v>Puerto Rico</x:v>
      </x:c>
      <x:c r="D74" t="str">
        <x:v>AA</x:v>
      </x:c>
      <x:c r="E74" t="str">
        <x:v>Accuracy Assessment</x:v>
      </x:c>
      <x:c r="F74" t="str">
        <x:v>HD Seaviewer Drop Camera</x:v>
      </x:c>
      <x:c r="G74" t="str">
        <x:v>AA2017_077</x:v>
      </x:c>
      <x:c r="H74" s="28" t="n">
        <x:v>42768</x:v>
      </x:c>
      <x:c r="I74" t="str">
        <x:v>08:37:14</x:v>
      </x:c>
      <x:c r="J74" t="n">
        <x:v>2017</x:v>
      </x:c>
      <x:c r="K74" t="n">
        <x:v>18.21231408</x:v>
      </x:c>
      <x:c r="L74" t="n">
        <x:v>-65.13668855</x:v>
      </x:c>
      <x:c r="M74" t="n">
        <x:v>40.987</x:v>
      </x:c>
      <x:c r="N74" t="str">
        <x:v>https://nccospublicstor.blob.core.windows.net/biomapper/usviinsularshelf2017/videos/low/AA2017_077.mp4</x:v>
      </x:c>
      <x:c r="O74" t="n">
        <x:v>0</x:v>
      </x:c>
      <x:c r="P74" t="n">
        <x:v>0</x:v>
      </x:c>
      <x:c r="Q74" t="n">
        <x:v>0</x:v>
      </x:c>
      <x:c r="R74" t="n">
        <x:v>1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1</x:v>
      </x:c>
      <x:c r="Y74" t="n">
        <x:v>0</x:v>
      </x:c>
      <x:c r="Z74" t="n">
        <x:v>1</x:v>
      </x:c>
      <x:c r="AA74" t="n">
        <x:v>0</x:v>
      </x:c>
      <x:c r="AB74" t="str">
        <x:v>Pass</x:v>
      </x:c>
      <x:c r="AC74" t="str"/>
      <x:c r="AD74" t="str">
        <x:v>Line; Patch reefs nearby</x:v>
      </x:c>
    </x:row>
    <x:row r="75">
      <x:c r="A75" t="str">
        <x:v>REC0074</x:v>
      </x:c>
      <x:c r="B75" t="n">
        <x:v>73</x:v>
      </x:c>
      <x:c r="C75" t="str">
        <x:v>Puerto Rico</x:v>
      </x:c>
      <x:c r="D75" t="str">
        <x:v>AA</x:v>
      </x:c>
      <x:c r="E75" t="str">
        <x:v>Accuracy Assessment</x:v>
      </x:c>
      <x:c r="F75" t="str">
        <x:v>HD Seaviewer Drop Camera</x:v>
      </x:c>
      <x:c r="G75" t="str">
        <x:v>AA2017_078</x:v>
      </x:c>
      <x:c r="H75" s="28" t="n">
        <x:v>42767</x:v>
      </x:c>
      <x:c r="I75" t="str">
        <x:v>11:33:35</x:v>
      </x:c>
      <x:c r="J75" t="n">
        <x:v>2017</x:v>
      </x:c>
      <x:c r="K75" t="n">
        <x:v>18.19999502</x:v>
      </x:c>
      <x:c r="L75" t="n">
        <x:v>-65.13899578</x:v>
      </x:c>
      <x:c r="M75" t="n">
        <x:v>38.055</x:v>
      </x:c>
      <x:c r="N75" t="str">
        <x:v>https://nccospublicstor.blob.core.windows.net/biomapper/usviinsularshelf2017/videos/low/AA2017_078.mp4</x:v>
      </x:c>
      <x:c r="O75" t="n">
        <x:v>1</x:v>
      </x:c>
      <x:c r="P75" t="n">
        <x:v>0</x:v>
      </x:c>
      <x:c r="Q75" t="n">
        <x:v>0</x:v>
      </x:c>
      <x:c r="R75" t="n">
        <x:v>0</x:v>
      </x:c>
      <x:c r="S75" t="n">
        <x:v>1</x:v>
      </x:c>
      <x:c r="T75" t="n">
        <x:v>1</x:v>
      </x:c>
      <x:c r="U75" t="n">
        <x:v>1</x:v>
      </x:c>
      <x:c r="V75" t="n">
        <x:v>1</x:v>
      </x:c>
      <x:c r="W75" t="n">
        <x:v>0</x:v>
      </x:c>
      <x:c r="X75" t="n">
        <x:v>0</x:v>
      </x:c>
      <x:c r="Y75" t="n">
        <x:v>0</x:v>
      </x:c>
      <x:c r="Z75" t="n">
        <x:v>1</x:v>
      </x:c>
      <x:c r="AA75" t="n">
        <x:v>4</x:v>
      </x:c>
      <x:c r="AB75" t="str">
        <x:v>Pass</x:v>
      </x:c>
      <x:c r="AC75" t="str"/>
      <x:c r="AD75" t="str"/>
    </x:row>
    <x:row r="76">
      <x:c r="A76" t="str">
        <x:v>REC0075</x:v>
      </x:c>
      <x:c r="B76" t="n">
        <x:v>74</x:v>
      </x:c>
      <x:c r="C76" t="str">
        <x:v>St. Thomas, USVI</x:v>
      </x:c>
      <x:c r="D76" t="str">
        <x:v>AA</x:v>
      </x:c>
      <x:c r="E76" t="str">
        <x:v>Accuracy Assessment</x:v>
      </x:c>
      <x:c r="F76" t="str">
        <x:v>HD Seaviewer Drop Camera</x:v>
      </x:c>
      <x:c r="G76" t="str">
        <x:v>AA2017_079</x:v>
      </x:c>
      <x:c r="H76" s="28" t="n">
        <x:v>42768</x:v>
      </x:c>
      <x:c r="I76" t="str">
        <x:v>14:02:48</x:v>
      </x:c>
      <x:c r="J76" t="n">
        <x:v>2017</x:v>
      </x:c>
      <x:c r="K76" t="n">
        <x:v>18.27075461</x:v>
      </x:c>
      <x:c r="L76" t="n">
        <x:v>-65.1334338</x:v>
      </x:c>
      <x:c r="M76" t="n">
        <x:v>32.217</x:v>
      </x:c>
      <x:c r="N76" t="str">
        <x:v>https://nccospublicstor.blob.core.windows.net/biomapper/usviinsularshelf2017/videos/low/AA2017_079.mp4</x:v>
      </x:c>
      <x:c r="O76" t="n">
        <x:v>1</x:v>
      </x:c>
      <x:c r="P76" t="n">
        <x:v>0</x:v>
      </x:c>
      <x:c r="Q76" t="n">
        <x:v>0</x:v>
      </x:c>
      <x:c r="R76" t="n">
        <x:v>1</x:v>
      </x:c>
      <x:c r="S76" t="n">
        <x:v>1</x:v>
      </x:c>
      <x:c r="T76" t="n">
        <x:v>1</x:v>
      </x:c>
      <x:c r="U76" t="n">
        <x:v>1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2</x:v>
      </x:c>
      <x:c r="AA76" t="n">
        <x:v>4</x:v>
      </x:c>
      <x:c r="AB76" t="str">
        <x:v>Pass</x:v>
      </x:c>
      <x:c r="AC76" t="str"/>
      <x:c r="AD76" t="str"/>
    </x:row>
    <x:row r="77">
      <x:c r="A77" t="str">
        <x:v>REC0076</x:v>
      </x:c>
      <x:c r="B77" t="n">
        <x:v>75</x:v>
      </x:c>
      <x:c r="C77" t="str">
        <x:v>St. Thomas, USVI</x:v>
      </x:c>
      <x:c r="D77" t="str">
        <x:v>AA</x:v>
      </x:c>
      <x:c r="E77" t="str">
        <x:v>Accuracy Assessment</x:v>
      </x:c>
      <x:c r="F77" t="str">
        <x:v>HD Seaviewer Drop Camera</x:v>
      </x:c>
      <x:c r="G77" t="str">
        <x:v>AA2017_080</x:v>
      </x:c>
      <x:c r="H77" s="28" t="n">
        <x:v>42768</x:v>
      </x:c>
      <x:c r="I77" t="str">
        <x:v>14:09:25</x:v>
      </x:c>
      <x:c r="J77" t="n">
        <x:v>2017</x:v>
      </x:c>
      <x:c r="K77" t="n">
        <x:v>18.28241923</x:v>
      </x:c>
      <x:c r="L77" t="n">
        <x:v>-65.13127599</x:v>
      </x:c>
      <x:c r="M77" t="n">
        <x:v>24.998</x:v>
      </x:c>
      <x:c r="N77" t="str">
        <x:v>https://nccospublicstor.blob.core.windows.net/biomapper/usviinsularshelf2017/videos/low/AA2017_080.mp4</x:v>
      </x:c>
      <x:c r="O77" t="n">
        <x:v>1</x:v>
      </x:c>
      <x:c r="P77" t="n">
        <x:v>0</x:v>
      </x:c>
      <x:c r="Q77" t="n">
        <x:v>0</x:v>
      </x:c>
      <x:c r="R77" t="n">
        <x:v>0</x:v>
      </x:c>
      <x:c r="S77" t="n">
        <x:v>1</x:v>
      </x:c>
      <x:c r="T77" t="n">
        <x:v>0</x:v>
      </x:c>
      <x:c r="U77" t="n">
        <x:v>1</x:v>
      </x:c>
      <x:c r="V77" t="n">
        <x:v>1</x:v>
      </x:c>
      <x:c r="W77" t="n">
        <x:v>0</x:v>
      </x:c>
      <x:c r="X77" t="n">
        <x:v>0</x:v>
      </x:c>
      <x:c r="Y77" t="n">
        <x:v>0</x:v>
      </x:c>
      <x:c r="Z77" t="n">
        <x:v>1</x:v>
      </x:c>
      <x:c r="AA77" t="n">
        <x:v>3</x:v>
      </x:c>
      <x:c r="AB77" t="str">
        <x:v>Pass</x:v>
      </x:c>
      <x:c r="AC77" t="str"/>
      <x:c r="AD77" t="str">
        <x:v>low rugosity agg reef</x:v>
      </x:c>
    </x:row>
    <x:row r="78">
      <x:c r="A78" t="str">
        <x:v>REC0077</x:v>
      </x:c>
      <x:c r="B78" t="n">
        <x:v>76</x:v>
      </x:c>
      <x:c r="C78" t="str">
        <x:v>St. Thomas, USVI</x:v>
      </x:c>
      <x:c r="D78" t="str">
        <x:v>AA</x:v>
      </x:c>
      <x:c r="E78" t="str">
        <x:v>Accuracy Assessment</x:v>
      </x:c>
      <x:c r="F78" t="str">
        <x:v>HD Seaviewer Drop Camera</x:v>
      </x:c>
      <x:c r="G78" t="str">
        <x:v>AA2017_081</x:v>
      </x:c>
      <x:c r="H78" s="28" t="n">
        <x:v>42767</x:v>
      </x:c>
      <x:c r="I78" t="str">
        <x:v>11:25:19</x:v>
      </x:c>
      <x:c r="J78" t="n">
        <x:v>2017</x:v>
      </x:c>
      <x:c r="K78" t="n">
        <x:v>18.19996528</x:v>
      </x:c>
      <x:c r="L78" t="n">
        <x:v>-65.13053616</x:v>
      </x:c>
      <x:c r="M78" t="n">
        <x:v>41.145</x:v>
      </x:c>
      <x:c r="N78" t="str">
        <x:v>https://nccospublicstor.blob.core.windows.net/biomapper/usviinsularshelf2017/videos/low/AA2017_081.mp4</x:v>
      </x:c>
      <x:c r="O78" t="n">
        <x:v>1</x:v>
      </x:c>
      <x:c r="P78" t="n">
        <x:v>0</x:v>
      </x:c>
      <x:c r="Q78" t="n">
        <x:v>0</x:v>
      </x:c>
      <x:c r="R78" t="n">
        <x:v>1</x:v>
      </x:c>
      <x:c r="S78" t="n">
        <x:v>1</x:v>
      </x:c>
      <x:c r="T78" t="n">
        <x:v>0</x:v>
      </x:c>
      <x:c r="U78" t="n">
        <x:v>0</x:v>
      </x:c>
      <x:c r="V78" t="n">
        <x:v>1</x:v>
      </x:c>
      <x:c r="W78" t="n">
        <x:v>0</x:v>
      </x:c>
      <x:c r="X78" t="n">
        <x:v>0</x:v>
      </x:c>
      <x:c r="Y78" t="n">
        <x:v>0</x:v>
      </x:c>
      <x:c r="Z78" t="n">
        <x:v>2</x:v>
      </x:c>
      <x:c r="AA78" t="n">
        <x:v>2</x:v>
      </x:c>
      <x:c r="AB78" t="str">
        <x:v>Pass</x:v>
      </x:c>
      <x:c r="AC78" t="str"/>
      <x:c r="AD78" t="str"/>
    </x:row>
    <x:row r="79">
      <x:c r="A79" t="str">
        <x:v>REC0078</x:v>
      </x:c>
      <x:c r="B79" t="n">
        <x:v>77</x:v>
      </x:c>
      <x:c r="C79" t="str">
        <x:v>St. Thomas, USVI</x:v>
      </x:c>
      <x:c r="D79" t="str">
        <x:v>AA</x:v>
      </x:c>
      <x:c r="E79" t="str">
        <x:v>Accuracy Assessment</x:v>
      </x:c>
      <x:c r="F79" t="str">
        <x:v>HD Seaviewer Drop Camera</x:v>
      </x:c>
      <x:c r="G79" t="str">
        <x:v>AA2017_082</x:v>
      </x:c>
      <x:c r="H79" s="28" t="n">
        <x:v>42767</x:v>
      </x:c>
      <x:c r="I79" t="str">
        <x:v>11:10:56</x:v>
      </x:c>
      <x:c r="J79" t="n">
        <x:v>2017</x:v>
      </x:c>
      <x:c r="K79" t="n">
        <x:v>18.21665292</x:v>
      </x:c>
      <x:c r="L79" t="n">
        <x:v>-65.12950517</x:v>
      </x:c>
      <x:c r="M79" t="n">
        <x:v>40.695</x:v>
      </x:c>
      <x:c r="N79" t="str">
        <x:v>https://nccospublicstor.blob.core.windows.net/biomapper/usviinsularshelf2017/videos/low/AA2017_082.mp4</x:v>
      </x:c>
      <x:c r="O79" t="n">
        <x:v>1</x:v>
      </x:c>
      <x:c r="P79" t="n">
        <x:v>0</x:v>
      </x:c>
      <x:c r="Q79" t="n">
        <x:v>0</x:v>
      </x:c>
      <x:c r="R79" t="n">
        <x:v>1</x:v>
      </x:c>
      <x:c r="S79" t="n">
        <x:v>1</x:v>
      </x:c>
      <x:c r="T79" t="n">
        <x:v>0</x:v>
      </x:c>
      <x:c r="U79" t="n">
        <x:v>1</x:v>
      </x:c>
      <x:c r="V79" t="n">
        <x:v>1</x:v>
      </x:c>
      <x:c r="W79" t="n">
        <x:v>0</x:v>
      </x:c>
      <x:c r="X79" t="n">
        <x:v>0</x:v>
      </x:c>
      <x:c r="Y79" t="n">
        <x:v>0</x:v>
      </x:c>
      <x:c r="Z79" t="n">
        <x:v>2</x:v>
      </x:c>
      <x:c r="AA79" t="n">
        <x:v>3</x:v>
      </x:c>
      <x:c r="AB79" t="str">
        <x:v>Pass</x:v>
      </x:c>
      <x:c r="AC79" t="str"/>
      <x:c r="AD79" t="str"/>
    </x:row>
    <x:row r="80">
      <x:c r="A80" t="str">
        <x:v>REC0079</x:v>
      </x:c>
      <x:c r="B80" t="n">
        <x:v>78</x:v>
      </x:c>
      <x:c r="C80" t="str">
        <x:v>St. Thomas, USVI</x:v>
      </x:c>
      <x:c r="D80" t="str">
        <x:v>AA</x:v>
      </x:c>
      <x:c r="E80" t="str">
        <x:v>Accuracy Assessment</x:v>
      </x:c>
      <x:c r="F80" t="str">
        <x:v>HD Seaviewer Drop Camera</x:v>
      </x:c>
      <x:c r="G80" t="str">
        <x:v>AA2017_083</x:v>
      </x:c>
      <x:c r="H80" s="28" t="n">
        <x:v>42765</x:v>
      </x:c>
      <x:c r="I80" t="str">
        <x:v>13:33:33</x:v>
      </x:c>
      <x:c r="J80" t="n">
        <x:v>2017</x:v>
      </x:c>
      <x:c r="K80" t="n">
        <x:v>18.18446156</x:v>
      </x:c>
      <x:c r="L80" t="n">
        <x:v>-65.12445317</x:v>
      </x:c>
      <x:c r="M80" t="n">
        <x:v>42.912</x:v>
      </x:c>
      <x:c r="N80" t="str">
        <x:v>https://nccospublicstor.blob.core.windows.net/biomapper/usviinsularshelf2017/videos/low/AA2017_083.mp4</x:v>
      </x:c>
      <x:c r="O80" t="n">
        <x:v>1</x:v>
      </x:c>
      <x:c r="P80" t="n">
        <x:v>0</x:v>
      </x:c>
      <x:c r="Q80" t="n">
        <x:v>0</x:v>
      </x:c>
      <x:c r="R80" t="n">
        <x:v>1</x:v>
      </x:c>
      <x:c r="S80" t="n">
        <x:v>1</x:v>
      </x:c>
      <x:c r="T80" t="n">
        <x:v>0</x:v>
      </x:c>
      <x:c r="U80" t="n">
        <x:v>1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2</x:v>
      </x:c>
      <x:c r="AA80" t="n">
        <x:v>2</x:v>
      </x:c>
      <x:c r="AB80" t="str">
        <x:v>Pass</x:v>
      </x:c>
      <x:c r="AC80" t="str"/>
      <x:c r="AD80" t="str">
        <x:v>Spur and groove habitat</x:v>
      </x:c>
    </x:row>
    <x:row r="81">
      <x:c r="A81" t="str">
        <x:v>REC0080</x:v>
      </x:c>
      <x:c r="B81" t="n">
        <x:v>79</x:v>
      </x:c>
      <x:c r="C81" t="str">
        <x:v>St. Thomas, USVI</x:v>
      </x:c>
      <x:c r="D81" t="str">
        <x:v>AA</x:v>
      </x:c>
      <x:c r="E81" t="str">
        <x:v>Accuracy Assessment</x:v>
      </x:c>
      <x:c r="F81" t="str">
        <x:v>HD Seaviewer Drop Camera</x:v>
      </x:c>
      <x:c r="G81" t="str">
        <x:v>AA2017_084</x:v>
      </x:c>
      <x:c r="H81" s="28" t="n">
        <x:v>42767</x:v>
      </x:c>
      <x:c r="I81" t="str">
        <x:v>11:02:43</x:v>
      </x:c>
      <x:c r="J81" t="n">
        <x:v>2017</x:v>
      </x:c>
      <x:c r="K81" t="n">
        <x:v>18.21978329</x:v>
      </x:c>
      <x:c r="L81" t="n">
        <x:v>-65.1217625</x:v>
      </x:c>
      <x:c r="M81" t="n">
        <x:v>40.186</x:v>
      </x:c>
      <x:c r="N81" t="str">
        <x:v>https://nccospublicstor.blob.core.windows.net/biomapper/usviinsularshelf2017/videos/low/AA2017_084.mp4</x:v>
      </x:c>
      <x:c r="O81" t="n">
        <x:v>1</x:v>
      </x:c>
      <x:c r="P81" t="n">
        <x:v>0</x:v>
      </x:c>
      <x:c r="Q81" t="n">
        <x:v>0</x:v>
      </x:c>
      <x:c r="R81" t="n">
        <x:v>1</x:v>
      </x:c>
      <x:c r="S81" t="n">
        <x:v>1</x:v>
      </x:c>
      <x:c r="T81" t="n">
        <x:v>0</x:v>
      </x:c>
      <x:c r="U81" t="n">
        <x:v>1</x:v>
      </x:c>
      <x:c r="V81" t="n">
        <x:v>1</x:v>
      </x:c>
      <x:c r="W81" t="n">
        <x:v>0</x:v>
      </x:c>
      <x:c r="X81" t="n">
        <x:v>0</x:v>
      </x:c>
      <x:c r="Y81" t="n">
        <x:v>0</x:v>
      </x:c>
      <x:c r="Z81" t="n">
        <x:v>2</x:v>
      </x:c>
      <x:c r="AA81" t="n">
        <x:v>3</x:v>
      </x:c>
      <x:c r="AB81" t="str">
        <x:v>Pass</x:v>
      </x:c>
      <x:c r="AC81" t="str"/>
      <x:c r="AD81" t="str"/>
    </x:row>
    <x:row r="82">
      <x:c r="A82" t="str">
        <x:v>REC0081</x:v>
      </x:c>
      <x:c r="B82" t="n">
        <x:v>80</x:v>
      </x:c>
      <x:c r="C82" t="str">
        <x:v>St. Thomas, USVI</x:v>
      </x:c>
      <x:c r="D82" t="str">
        <x:v>AA</x:v>
      </x:c>
      <x:c r="E82" t="str">
        <x:v>Accuracy Assessment</x:v>
      </x:c>
      <x:c r="F82" t="str">
        <x:v>HD Seaviewer Drop Camera</x:v>
      </x:c>
      <x:c r="G82" t="str">
        <x:v>AA2017_085</x:v>
      </x:c>
      <x:c r="H82" s="28" t="n">
        <x:v>42765</x:v>
      </x:c>
      <x:c r="I82" t="str">
        <x:v>13:46:38</x:v>
      </x:c>
      <x:c r="J82" t="n">
        <x:v>2017</x:v>
      </x:c>
      <x:c r="K82" t="n">
        <x:v>18.18962653</x:v>
      </x:c>
      <x:c r="L82" t="n">
        <x:v>-65.12108076</x:v>
      </x:c>
      <x:c r="M82" t="n">
        <x:v>41.828</x:v>
      </x:c>
      <x:c r="N82" t="str">
        <x:v>https://nccospublicstor.blob.core.windows.net/biomapper/usviinsularshelf2017/videos/low/AA2017_085.mp4</x:v>
      </x:c>
      <x:c r="O82" t="n">
        <x:v>1</x:v>
      </x:c>
      <x:c r="P82" t="n">
        <x:v>0</x:v>
      </x:c>
      <x:c r="Q82" t="n">
        <x:v>0</x:v>
      </x:c>
      <x:c r="R82" t="n">
        <x:v>0</x:v>
      </x:c>
      <x:c r="S82" t="n">
        <x:v>1</x:v>
      </x:c>
      <x:c r="T82" t="n">
        <x:v>0</x:v>
      </x:c>
      <x:c r="U82" t="n">
        <x:v>1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1</x:v>
      </x:c>
      <x:c r="AA82" t="n">
        <x:v>2</x:v>
      </x:c>
      <x:c r="AB82" t="str">
        <x:v>Pass</x:v>
      </x:c>
      <x:c r="AC82" t="str"/>
      <x:c r="AD82" t="str"/>
    </x:row>
    <x:row r="83">
      <x:c r="A83" t="str">
        <x:v>REC0082</x:v>
      </x:c>
      <x:c r="B83" t="n">
        <x:v>81</x:v>
      </x:c>
      <x:c r="C83" t="str">
        <x:v>St. Thomas, USVI</x:v>
      </x:c>
      <x:c r="D83" t="str">
        <x:v>AA</x:v>
      </x:c>
      <x:c r="E83" t="str">
        <x:v>Accuracy Assessment</x:v>
      </x:c>
      <x:c r="F83" t="str">
        <x:v>HD Seaviewer Drop Camera</x:v>
      </x:c>
      <x:c r="G83" t="str">
        <x:v>AA2017_086</x:v>
      </x:c>
      <x:c r="H83" s="28" t="n">
        <x:v>42765</x:v>
      </x:c>
      <x:c r="I83" t="str">
        <x:v>14:44:03</x:v>
      </x:c>
      <x:c r="J83" t="n">
        <x:v>2017</x:v>
      </x:c>
      <x:c r="K83" t="n">
        <x:v>18.21311505</x:v>
      </x:c>
      <x:c r="L83" t="n">
        <x:v>-65.11656772</x:v>
      </x:c>
      <x:c r="M83" t="n">
        <x:v>33.715</x:v>
      </x:c>
      <x:c r="N83" t="str">
        <x:v>https://nccospublicstor.blob.core.windows.net/biomapper/usviinsularshelf2017/videos/low/AA2017_086.mp4</x:v>
      </x:c>
      <x:c r="O83" t="n">
        <x:v>1</x:v>
      </x:c>
      <x:c r="P83" t="n">
        <x:v>0</x:v>
      </x:c>
      <x:c r="Q83" t="n">
        <x:v>0</x:v>
      </x:c>
      <x:c r="R83" t="n">
        <x:v>0</x:v>
      </x:c>
      <x:c r="S83" t="n">
        <x:v>1</x:v>
      </x:c>
      <x:c r="T83" t="n">
        <x:v>1</x:v>
      </x:c>
      <x:c r="U83" t="n">
        <x:v>1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1</x:v>
      </x:c>
      <x:c r="AA83" t="n">
        <x:v>3</x:v>
      </x:c>
      <x:c r="AB83" t="str">
        <x:v>Pass</x:v>
      </x:c>
      <x:c r="AC83" t="str"/>
      <x:c r="AD83" t="str"/>
    </x:row>
    <x:row r="84">
      <x:c r="A84" t="str">
        <x:v>REC0083</x:v>
      </x:c>
      <x:c r="B84" t="n">
        <x:v>82</x:v>
      </x:c>
      <x:c r="C84" t="str">
        <x:v>St. Thomas, USVI</x:v>
      </x:c>
      <x:c r="D84" t="str">
        <x:v>AA</x:v>
      </x:c>
      <x:c r="E84" t="str">
        <x:v>Accuracy Assessment</x:v>
      </x:c>
      <x:c r="F84" t="str">
        <x:v>HD Seaviewer Drop Camera</x:v>
      </x:c>
      <x:c r="G84" t="str">
        <x:v>AA2017_087</x:v>
      </x:c>
      <x:c r="H84" s="28" t="n">
        <x:v>42768</x:v>
      </x:c>
      <x:c r="I84" t="str">
        <x:v>14:18:14</x:v>
      </x:c>
      <x:c r="J84" t="n">
        <x:v>2017</x:v>
      </x:c>
      <x:c r="K84" t="n">
        <x:v>18.28502707</x:v>
      </x:c>
      <x:c r="L84" t="n">
        <x:v>-65.116795</x:v>
      </x:c>
      <x:c r="M84" t="n">
        <x:v>24.3</x:v>
      </x:c>
      <x:c r="N84" t="str">
        <x:v>https://nccospublicstor.blob.core.windows.net/biomapper/usviinsularshelf2017/videos/low/AA2017_087.mp4</x:v>
      </x:c>
      <x:c r="O84" t="n">
        <x:v>1</x:v>
      </x:c>
      <x:c r="P84" t="n">
        <x:v>0</x:v>
      </x:c>
      <x:c r="Q84" t="n">
        <x:v>0</x:v>
      </x:c>
      <x:c r="R84" t="n">
        <x:v>1</x:v>
      </x:c>
      <x:c r="S84" t="n">
        <x:v>1</x:v>
      </x:c>
      <x:c r="T84" t="n">
        <x:v>1</x:v>
      </x:c>
      <x:c r="U84" t="n">
        <x:v>0</x:v>
      </x:c>
      <x:c r="V84" t="n">
        <x:v>1</x:v>
      </x:c>
      <x:c r="W84" t="n">
        <x:v>0</x:v>
      </x:c>
      <x:c r="X84" t="n">
        <x:v>0</x:v>
      </x:c>
      <x:c r="Y84" t="n">
        <x:v>0</x:v>
      </x:c>
      <x:c r="Z84" t="n">
        <x:v>2</x:v>
      </x:c>
      <x:c r="AA84" t="n">
        <x:v>3</x:v>
      </x:c>
      <x:c r="AB84" t="str">
        <x:v>Pass</x:v>
      </x:c>
      <x:c r="AC84" t="str"/>
      <x:c r="AD84" t="str">
        <x:v>low rugosity agg reef, Diploria labyrinthiformis</x:v>
      </x:c>
    </x:row>
    <x:row r="85">
      <x:c r="A85" t="str">
        <x:v>REC0084</x:v>
      </x:c>
      <x:c r="B85" t="n">
        <x:v>83</x:v>
      </x:c>
      <x:c r="C85" t="str">
        <x:v>St. Thomas, USVI</x:v>
      </x:c>
      <x:c r="D85" t="str">
        <x:v>AA</x:v>
      </x:c>
      <x:c r="E85" t="str">
        <x:v>Accuracy Assessment</x:v>
      </x:c>
      <x:c r="F85" t="str">
        <x:v>HD Seaviewer Drop Camera</x:v>
      </x:c>
      <x:c r="G85" t="str">
        <x:v>AA2017_088</x:v>
      </x:c>
      <x:c r="H85" s="28" t="n">
        <x:v>42769</x:v>
      </x:c>
      <x:c r="I85" t="str">
        <x:v>09:21:10</x:v>
      </x:c>
      <x:c r="J85" t="n">
        <x:v>2017</x:v>
      </x:c>
      <x:c r="K85" t="n">
        <x:v>18.27355888</x:v>
      </x:c>
      <x:c r="L85" t="n">
        <x:v>-65.11730895</x:v>
      </x:c>
      <x:c r="M85" t="n">
        <x:v>27.25</x:v>
      </x:c>
      <x:c r="N85" t="str">
        <x:v>https://nccospublicstor.blob.core.windows.net/biomapper/usviinsularshelf2017/videos/low/AA2017_088.mp4</x:v>
      </x:c>
      <x:c r="O85" t="n">
        <x:v>1</x:v>
      </x:c>
      <x:c r="P85" t="n">
        <x:v>0</x:v>
      </x:c>
      <x:c r="Q85" t="n">
        <x:v>0</x:v>
      </x:c>
      <x:c r="R85" t="n">
        <x:v>0</x:v>
      </x:c>
      <x:c r="S85" t="n">
        <x:v>1</x:v>
      </x:c>
      <x:c r="T85" t="n">
        <x:v>0</x:v>
      </x:c>
      <x:c r="U85" t="n">
        <x:v>1</x:v>
      </x:c>
      <x:c r="V85" t="n">
        <x:v>1</x:v>
      </x:c>
      <x:c r="W85" t="n">
        <x:v>0</x:v>
      </x:c>
      <x:c r="X85" t="n">
        <x:v>0</x:v>
      </x:c>
      <x:c r="Y85" t="n">
        <x:v>0</x:v>
      </x:c>
      <x:c r="Z85" t="n">
        <x:v>1</x:v>
      </x:c>
      <x:c r="AA85" t="n">
        <x:v>3</x:v>
      </x:c>
      <x:c r="AB85" t="str">
        <x:v>Pass</x:v>
      </x:c>
      <x:c r="AC85" t="str"/>
      <x:c r="AD85" t="str">
        <x:v>low rugosity reef; sand present on descent</x:v>
      </x:c>
    </x:row>
    <x:row r="86">
      <x:c r="A86" t="str">
        <x:v>REC0085</x:v>
      </x:c>
      <x:c r="B86" t="n">
        <x:v>84</x:v>
      </x:c>
      <x:c r="C86" t="str">
        <x:v>St. Thomas, USVI</x:v>
      </x:c>
      <x:c r="D86" t="str">
        <x:v>AA</x:v>
      </x:c>
      <x:c r="E86" t="str">
        <x:v>Accuracy Assessment</x:v>
      </x:c>
      <x:c r="F86" t="str">
        <x:v>HD Seaviewer Drop Camera</x:v>
      </x:c>
      <x:c r="G86" t="str">
        <x:v>AA2017_089</x:v>
      </x:c>
      <x:c r="H86" s="28" t="n">
        <x:v>42765</x:v>
      </x:c>
      <x:c r="I86" t="str">
        <x:v>14:27:59</x:v>
      </x:c>
      <x:c r="J86" t="n">
        <x:v>2017</x:v>
      </x:c>
      <x:c r="K86" t="n">
        <x:v>18.20683532</x:v>
      </x:c>
      <x:c r="L86" t="n">
        <x:v>-65.11356789</x:v>
      </x:c>
      <x:c r="M86" t="n">
        <x:v>34.89</x:v>
      </x:c>
      <x:c r="N86" t="str">
        <x:v>https://nccospublicstor.blob.core.windows.net/biomapper/usviinsularshelf2017/videos/low/AA2017_089.mp4</x:v>
      </x:c>
      <x:c r="O86" t="n">
        <x:v>1</x:v>
      </x:c>
      <x:c r="P86" t="n">
        <x:v>0</x:v>
      </x:c>
      <x:c r="Q86" t="n">
        <x:v>0</x:v>
      </x:c>
      <x:c r="R86" t="n">
        <x:v>0</x:v>
      </x:c>
      <x:c r="S86" t="n">
        <x:v>1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1</x:v>
      </x:c>
      <x:c r="AA86" t="n">
        <x:v>1</x:v>
      </x:c>
      <x:c r="AB86" t="str">
        <x:v>Pass</x:v>
      </x:c>
      <x:c r="AC86" t="str"/>
      <x:c r="AD86" t="str">
        <x:v>Live hard coral 40-50%</x:v>
      </x:c>
    </x:row>
    <x:row r="87">
      <x:c r="A87" t="str">
        <x:v>REC0086</x:v>
      </x:c>
      <x:c r="B87" t="n">
        <x:v>85</x:v>
      </x:c>
      <x:c r="C87" t="str">
        <x:v>St. Thomas, USVI</x:v>
      </x:c>
      <x:c r="D87" t="str">
        <x:v>AA</x:v>
      </x:c>
      <x:c r="E87" t="str">
        <x:v>Accuracy Assessment</x:v>
      </x:c>
      <x:c r="F87" t="str">
        <x:v>HD Seaviewer Drop Camera</x:v>
      </x:c>
      <x:c r="G87" t="str">
        <x:v>AA2017_090</x:v>
      </x:c>
      <x:c r="H87" s="28" t="n">
        <x:v>42765</x:v>
      </x:c>
      <x:c r="I87" t="str">
        <x:v>13:17:25</x:v>
      </x:c>
      <x:c r="J87" t="n">
        <x:v>2017</x:v>
      </x:c>
      <x:c r="K87" t="n">
        <x:v>18.17674995</x:v>
      </x:c>
      <x:c r="L87" t="n">
        <x:v>-65.110089</x:v>
      </x:c>
      <x:c r="M87" t="n">
        <x:v>48.074</x:v>
      </x:c>
      <x:c r="N87" t="str">
        <x:v>https://nccospublicstor.blob.core.windows.net/biomapper/usviinsularshelf2017/videos/low/AA2017_090.mp4</x:v>
      </x:c>
      <x:c r="O87" t="n">
        <x:v>1</x:v>
      </x:c>
      <x:c r="P87" t="n">
        <x:v>0</x:v>
      </x:c>
      <x:c r="Q87" t="n">
        <x:v>0</x:v>
      </x:c>
      <x:c r="R87" t="n">
        <x:v>0</x:v>
      </x:c>
      <x:c r="S87" t="n">
        <x:v>1</x:v>
      </x:c>
      <x:c r="T87" t="n">
        <x:v>0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3</x:v>
      </x:c>
      <x:c r="AB87" t="str">
        <x:v>Pass</x:v>
      </x:c>
      <x:c r="AC87" t="str"/>
      <x:c r="AD87" t="str"/>
    </x:row>
    <x:row r="88">
      <x:c r="A88" t="str">
        <x:v>REC0087</x:v>
      </x:c>
      <x:c r="B88" t="n">
        <x:v>86</x:v>
      </x:c>
      <x:c r="C88" t="str">
        <x:v>St. Thomas, USVI</x:v>
      </x:c>
      <x:c r="D88" t="str">
        <x:v>AA</x:v>
      </x:c>
      <x:c r="E88" t="str">
        <x:v>Accuracy Assessment</x:v>
      </x:c>
      <x:c r="F88" t="str">
        <x:v>HD Seaviewer Drop Camera</x:v>
      </x:c>
      <x:c r="G88" t="str">
        <x:v>AA2017_091</x:v>
      </x:c>
      <x:c r="H88" s="28" t="n">
        <x:v>42765</x:v>
      </x:c>
      <x:c r="I88" t="str">
        <x:v>13:24:29</x:v>
      </x:c>
      <x:c r="J88" t="n">
        <x:v>2017</x:v>
      </x:c>
      <x:c r="K88" t="n">
        <x:v>18.1803757</x:v>
      </x:c>
      <x:c r="L88" t="n">
        <x:v>-65.11029608</x:v>
      </x:c>
      <x:c r="M88" t="n">
        <x:v>36.521</x:v>
      </x:c>
      <x:c r="N88" t="str">
        <x:v>https://nccospublicstor.blob.core.windows.net/biomapper/usviinsularshelf2017/videos/low/AA2017_091.mp4</x:v>
      </x:c>
      <x:c r="O88" t="n">
        <x:v>1</x:v>
      </x:c>
      <x:c r="P88" t="n">
        <x:v>0</x:v>
      </x:c>
      <x:c r="Q88" t="n">
        <x:v>0</x:v>
      </x:c>
      <x:c r="R88" t="n">
        <x:v>0</x:v>
      </x:c>
      <x:c r="S88" t="n">
        <x:v>1</x:v>
      </x:c>
      <x:c r="T88" t="n">
        <x:v>0</x:v>
      </x:c>
      <x:c r="U88" t="n">
        <x:v>1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1</x:v>
      </x:c>
      <x:c r="AA88" t="n">
        <x:v>2</x:v>
      </x:c>
      <x:c r="AB88" t="str">
        <x:v>Pass</x:v>
      </x:c>
      <x:c r="AC88" t="str"/>
      <x:c r="AD88" t="str">
        <x:v>Live hard coral 60-70%; Orbicella franksi; Undaria spp.</x:v>
      </x:c>
    </x:row>
    <x:row r="89">
      <x:c r="A89" t="str">
        <x:v>REC0088</x:v>
      </x:c>
      <x:c r="B89" t="n">
        <x:v>87</x:v>
      </x:c>
      <x:c r="C89" t="str">
        <x:v>St. Thomas, USVI</x:v>
      </x:c>
      <x:c r="D89" t="str">
        <x:v>AA</x:v>
      </x:c>
      <x:c r="E89" t="str">
        <x:v>Accuracy Assessment</x:v>
      </x:c>
      <x:c r="F89" t="str">
        <x:v>HD Seaviewer Drop Camera</x:v>
      </x:c>
      <x:c r="G89" t="str">
        <x:v>AA2017_092</x:v>
      </x:c>
      <x:c r="H89" s="28" t="n">
        <x:v>42765</x:v>
      </x:c>
      <x:c r="I89" t="str">
        <x:v>14:45:08</x:v>
      </x:c>
      <x:c r="J89" t="n">
        <x:v>2017</x:v>
      </x:c>
      <x:c r="K89" t="n">
        <x:v>18.21295014</x:v>
      </x:c>
      <x:c r="L89" t="n">
        <x:v>-65.11665239</x:v>
      </x:c>
      <x:c r="M89" t="n">
        <x:v>33.555</x:v>
      </x:c>
      <x:c r="N89" t="str">
        <x:v>https://nccospublicstor.blob.core.windows.net/biomapper/usviinsularshelf2017/videos/low/AA2017_092.mp4</x:v>
      </x:c>
      <x:c r="O89" t="n">
        <x:v>1</x:v>
      </x:c>
      <x:c r="P89" t="n">
        <x:v>0</x:v>
      </x:c>
      <x:c r="Q89" t="n">
        <x:v>0</x:v>
      </x:c>
      <x:c r="R89" t="n">
        <x:v>0</x:v>
      </x:c>
      <x:c r="S89" t="n">
        <x:v>1</x:v>
      </x:c>
      <x:c r="T89" t="n">
        <x:v>1</x:v>
      </x:c>
      <x:c r="U89" t="n">
        <x:v>1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1</x:v>
      </x:c>
      <x:c r="AA89" t="n">
        <x:v>3</x:v>
      </x:c>
      <x:c r="AB89" t="str">
        <x:v>Pass</x:v>
      </x:c>
      <x:c r="AC89" t="str"/>
      <x:c r="AD89" t="str"/>
    </x:row>
    <x:row r="90">
      <x:c r="A90" t="str">
        <x:v>REC0089</x:v>
      </x:c>
      <x:c r="B90" t="n">
        <x:v>88</x:v>
      </x:c>
      <x:c r="C90" t="str">
        <x:v>St. Thomas, USVI</x:v>
      </x:c>
      <x:c r="D90" t="str">
        <x:v>AA</x:v>
      </x:c>
      <x:c r="E90" t="str">
        <x:v>Accuracy Assessment</x:v>
      </x:c>
      <x:c r="F90" t="str">
        <x:v>HD Seaviewer Drop Camera</x:v>
      </x:c>
      <x:c r="G90" t="str">
        <x:v>AA2017_093</x:v>
      </x:c>
      <x:c r="H90" s="28" t="n">
        <x:v>42765</x:v>
      </x:c>
      <x:c r="I90" t="str">
        <x:v>14:21:06</x:v>
      </x:c>
      <x:c r="J90" t="n">
        <x:v>2017</x:v>
      </x:c>
      <x:c r="K90" t="n">
        <x:v>18.20999649</x:v>
      </x:c>
      <x:c r="L90" t="n">
        <x:v>-65.1098927</x:v>
      </x:c>
      <x:c r="M90" t="n">
        <x:v>41.528</x:v>
      </x:c>
      <x:c r="N90" t="str">
        <x:v>https://nccospublicstor.blob.core.windows.net/biomapper/usviinsularshelf2017/videos/low/AA2017_093.mp4</x:v>
      </x:c>
      <x:c r="O90" t="n">
        <x:v>1</x:v>
      </x:c>
      <x:c r="P90" t="n">
        <x:v>0</x:v>
      </x:c>
      <x:c r="Q90" t="n">
        <x:v>0</x:v>
      </x:c>
      <x:c r="R90" t="n">
        <x:v>1</x:v>
      </x:c>
      <x:c r="S90" t="n">
        <x:v>1</x:v>
      </x:c>
      <x:c r="T90" t="n">
        <x:v>0</x:v>
      </x:c>
      <x:c r="U90" t="n">
        <x:v>1</x:v>
      </x:c>
      <x:c r="V90" t="n">
        <x:v>1</x:v>
      </x:c>
      <x:c r="W90" t="n">
        <x:v>0</x:v>
      </x:c>
      <x:c r="X90" t="n">
        <x:v>0</x:v>
      </x:c>
      <x:c r="Y90" t="n">
        <x:v>0</x:v>
      </x:c>
      <x:c r="Z90" t="n">
        <x:v>2</x:v>
      </x:c>
      <x:c r="AA90" t="n">
        <x:v>3</x:v>
      </x:c>
      <x:c r="AB90" t="str">
        <x:v>Pass</x:v>
      </x:c>
      <x:c r="AC90" t="str"/>
      <x:c r="AD90" t="str"/>
    </x:row>
    <x:row r="91">
      <x:c r="A91" t="str">
        <x:v>REC0090</x:v>
      </x:c>
      <x:c r="B91" t="n">
        <x:v>89</x:v>
      </x:c>
      <x:c r="C91" t="str">
        <x:v>St. Thomas, USVI</x:v>
      </x:c>
      <x:c r="D91" t="str">
        <x:v>AA</x:v>
      </x:c>
      <x:c r="E91" t="str">
        <x:v>Accuracy Assessment</x:v>
      </x:c>
      <x:c r="F91" t="str">
        <x:v>HD Seaviewer Drop Camera</x:v>
      </x:c>
      <x:c r="G91" t="str">
        <x:v>AA2017_094</x:v>
      </x:c>
      <x:c r="H91" s="28" t="n">
        <x:v>42769</x:v>
      </x:c>
      <x:c r="I91" t="str">
        <x:v>09:11:01</x:v>
      </x:c>
      <x:c r="J91" t="n">
        <x:v>2017</x:v>
      </x:c>
      <x:c r="K91" t="n">
        <x:v>18.27087506</x:v>
      </x:c>
      <x:c r="L91" t="n">
        <x:v>-65.11008525</x:v>
      </x:c>
      <x:c r="M91" t="n">
        <x:v>27.765</x:v>
      </x:c>
      <x:c r="N91" t="str">
        <x:v>https://nccospublicstor.blob.core.windows.net/biomapper/usviinsularshelf2017/videos/low/AA2017_094.mp4</x:v>
      </x:c>
      <x:c r="O91" t="n">
        <x:v>1</x:v>
      </x:c>
      <x:c r="P91" t="n">
        <x:v>0</x:v>
      </x:c>
      <x:c r="Q91" t="n">
        <x:v>0</x:v>
      </x:c>
      <x:c r="R91" t="n">
        <x:v>0</x:v>
      </x:c>
      <x:c r="S91" t="n">
        <x:v>1</x:v>
      </x:c>
      <x:c r="T91" t="n">
        <x:v>0</x:v>
      </x:c>
      <x:c r="U91" t="n">
        <x:v>1</x:v>
      </x:c>
      <x:c r="V91" t="n">
        <x:v>1</x:v>
      </x:c>
      <x:c r="W91" t="n">
        <x:v>0</x:v>
      </x:c>
      <x:c r="X91" t="n">
        <x:v>0</x:v>
      </x:c>
      <x:c r="Y91" t="n">
        <x:v>0</x:v>
      </x:c>
      <x:c r="Z91" t="n">
        <x:v>1</x:v>
      </x:c>
      <x:c r="AA91" t="n">
        <x:v>3</x:v>
      </x:c>
      <x:c r="AB91" t="str">
        <x:v>Pass</x:v>
      </x:c>
      <x:c r="AC91" t="str"/>
      <x:c r="AD91" t="str"/>
    </x:row>
    <x:row r="92">
      <x:c r="A92" t="str">
        <x:v>REC0091</x:v>
      </x:c>
      <x:c r="B92" t="n">
        <x:v>90</x:v>
      </x:c>
      <x:c r="C92" t="str">
        <x:v>St. Thomas, USVI</x:v>
      </x:c>
      <x:c r="D92" t="str">
        <x:v>AA</x:v>
      </x:c>
      <x:c r="E92" t="str">
        <x:v>Accuracy Assessment</x:v>
      </x:c>
      <x:c r="F92" t="str">
        <x:v>HD Seaviewer Drop Camera</x:v>
      </x:c>
      <x:c r="G92" t="str">
        <x:v>AA2017_095</x:v>
      </x:c>
      <x:c r="H92" s="28" t="n">
        <x:v>42769</x:v>
      </x:c>
      <x:c r="I92" t="str">
        <x:v>09:03:18</x:v>
      </x:c>
      <x:c r="J92" t="n">
        <x:v>2017</x:v>
      </x:c>
      <x:c r="K92" t="n">
        <x:v>18.28015716</x:v>
      </x:c>
      <x:c r="L92" t="n">
        <x:v>-65.11196698</x:v>
      </x:c>
      <x:c r="M92" t="n">
        <x:v>27.719</x:v>
      </x:c>
      <x:c r="N92" t="str">
        <x:v>https://nccospublicstor.blob.core.windows.net/biomapper/usviinsularshelf2017/videos/low/AA2017_095.mp4</x:v>
      </x:c>
      <x:c r="O92" t="n">
        <x:v>1</x:v>
      </x:c>
      <x:c r="P92" t="n">
        <x:v>0</x:v>
      </x:c>
      <x:c r="Q92" t="n">
        <x:v>0</x:v>
      </x:c>
      <x:c r="R92" t="n">
        <x:v>0</x:v>
      </x:c>
      <x:c r="S92" t="n">
        <x:v>1</x:v>
      </x:c>
      <x:c r="T92" t="n">
        <x:v>1</x:v>
      </x:c>
      <x:c r="U92" t="n">
        <x:v>1</x:v>
      </x:c>
      <x:c r="V92" t="n">
        <x:v>1</x:v>
      </x:c>
      <x:c r="W92" t="n">
        <x:v>0</x:v>
      </x:c>
      <x:c r="X92" t="n">
        <x:v>0</x:v>
      </x:c>
      <x:c r="Y92" t="n">
        <x:v>0</x:v>
      </x:c>
      <x:c r="Z92" t="n">
        <x:v>1</x:v>
      </x:c>
      <x:c r="AA92" t="n">
        <x:v>4</x:v>
      </x:c>
      <x:c r="AB92" t="str">
        <x:v>Pass</x:v>
      </x:c>
      <x:c r="AC92" t="str"/>
      <x:c r="AD92" t="str"/>
    </x:row>
    <x:row r="93">
      <x:c r="A93" t="str">
        <x:v>REC0092</x:v>
      </x:c>
      <x:c r="B93" t="n">
        <x:v>91</x:v>
      </x:c>
      <x:c r="C93" t="str">
        <x:v>St. Thomas, USVI</x:v>
      </x:c>
      <x:c r="D93" t="str">
        <x:v>AA</x:v>
      </x:c>
      <x:c r="E93" t="str">
        <x:v>Accuracy Assessment</x:v>
      </x:c>
      <x:c r="F93" t="str">
        <x:v>HD Seaviewer Drop Camera</x:v>
      </x:c>
      <x:c r="G93" t="str">
        <x:v>AA2017_096</x:v>
      </x:c>
      <x:c r="H93" s="28" t="n">
        <x:v>42769</x:v>
      </x:c>
      <x:c r="I93" t="str">
        <x:v>08:28:44</x:v>
      </x:c>
      <x:c r="J93" t="n">
        <x:v>2017</x:v>
      </x:c>
      <x:c r="K93" t="n">
        <x:v>18.25200238</x:v>
      </x:c>
      <x:c r="L93" t="n">
        <x:v>-65.10937592</x:v>
      </x:c>
      <x:c r="M93" t="n">
        <x:v>28.689</x:v>
      </x:c>
      <x:c r="N93" t="str">
        <x:v>https://nccospublicstor.blob.core.windows.net/biomapper/usviinsularshelf2017/videos/low/AA2017_096.mp4</x:v>
      </x:c>
      <x:c r="O93" t="n">
        <x:v>1</x:v>
      </x:c>
      <x:c r="P93" t="n">
        <x:v>0</x:v>
      </x:c>
      <x:c r="Q93" t="n">
        <x:v>0</x:v>
      </x:c>
      <x:c r="R93" t="n">
        <x:v>0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0</x:v>
      </x:c>
      <x:c r="X93" t="n">
        <x:v>0</x:v>
      </x:c>
      <x:c r="Y93" t="n">
        <x:v>0</x:v>
      </x:c>
      <x:c r="Z93" t="n">
        <x:v>1</x:v>
      </x:c>
      <x:c r="AA93" t="n">
        <x:v>4</x:v>
      </x:c>
      <x:c r="AB93" t="str">
        <x:v>Pass</x:v>
      </x:c>
      <x:c r="AC93" t="str"/>
      <x:c r="AD93" t="str"/>
    </x:row>
    <x:row r="94">
      <x:c r="A94" t="str">
        <x:v>REC0093</x:v>
      </x:c>
      <x:c r="B94" t="n">
        <x:v>92</x:v>
      </x:c>
      <x:c r="C94" t="str">
        <x:v>St. Thomas, USVI</x:v>
      </x:c>
      <x:c r="D94" t="str">
        <x:v>AA</x:v>
      </x:c>
      <x:c r="E94" t="str">
        <x:v>Accuracy Assessment</x:v>
      </x:c>
      <x:c r="F94" t="str">
        <x:v>HD Seaviewer Drop Camera</x:v>
      </x:c>
      <x:c r="G94" t="str">
        <x:v>AA2017_097</x:v>
      </x:c>
      <x:c r="H94" s="28" t="n">
        <x:v>42765</x:v>
      </x:c>
      <x:c r="I94" t="str">
        <x:v>13:57:31</x:v>
      </x:c>
      <x:c r="J94" t="n">
        <x:v>2017</x:v>
      </x:c>
      <x:c r="K94" t="n">
        <x:v>18.19771418</x:v>
      </x:c>
      <x:c r="L94" t="n">
        <x:v>-65.10589302</x:v>
      </x:c>
      <x:c r="M94" t="n">
        <x:v>42.145</x:v>
      </x:c>
      <x:c r="N94" t="str">
        <x:v>https://nccospublicstor.blob.core.windows.net/biomapper/usviinsularshelf2017/videos/low/AA2017_097.mp4</x:v>
      </x:c>
      <x:c r="O94" t="n">
        <x:v>1</x:v>
      </x:c>
      <x:c r="P94" t="n">
        <x:v>0</x:v>
      </x:c>
      <x:c r="Q94" t="n">
        <x:v>0</x:v>
      </x:c>
      <x:c r="R94" t="n">
        <x:v>1</x:v>
      </x:c>
      <x:c r="S94" t="n">
        <x:v>1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1</x:v>
      </x:c>
      <x:c r="Y94" t="n">
        <x:v>0</x:v>
      </x:c>
      <x:c r="Z94" t="n">
        <x:v>2</x:v>
      </x:c>
      <x:c r="AA94" t="n">
        <x:v>1</x:v>
      </x:c>
      <x:c r="AB94" t="str">
        <x:v>Pass</x:v>
      </x:c>
      <x:c r="AC94" t="str"/>
      <x:c r="AD94" t="str">
        <x:v>Line on bottom; Camera dropped on agg reef/sand boundary in spur and groove habitat.  GPS points look to be on agg reef</x:v>
      </x:c>
    </x:row>
    <x:row r="95">
      <x:c r="A95" t="str">
        <x:v>REC0094</x:v>
      </x:c>
      <x:c r="B95" t="n">
        <x:v>93</x:v>
      </x:c>
      <x:c r="C95" t="str">
        <x:v>St. Thomas, USVI</x:v>
      </x:c>
      <x:c r="D95" t="str">
        <x:v>AA</x:v>
      </x:c>
      <x:c r="E95" t="str">
        <x:v>Accuracy Assessment</x:v>
      </x:c>
      <x:c r="F95" t="str">
        <x:v>HD Seaviewer Drop Camera</x:v>
      </x:c>
      <x:c r="G95" t="str">
        <x:v>AA2017_098</x:v>
      </x:c>
      <x:c r="H95" s="28" t="n">
        <x:v>42767</x:v>
      </x:c>
      <x:c r="I95" t="str">
        <x:v>10:50:00</x:v>
      </x:c>
      <x:c r="J95" t="n">
        <x:v>2017</x:v>
      </x:c>
      <x:c r="K95" t="n">
        <x:v>18.22760658</x:v>
      </x:c>
      <x:c r="L95" t="n">
        <x:v>-65.10645544</x:v>
      </x:c>
      <x:c r="M95" t="n">
        <x:v>32.964</x:v>
      </x:c>
      <x:c r="N95" t="str">
        <x:v>https://nccospublicstor.blob.core.windows.net/biomapper/usviinsularshelf2017/videos/low/AA2017_098.mp4</x:v>
      </x:c>
      <x:c r="O95" t="n">
        <x:v>1</x:v>
      </x:c>
      <x:c r="P95" t="n">
        <x:v>0</x:v>
      </x:c>
      <x:c r="Q95" t="n">
        <x:v>0</x:v>
      </x:c>
      <x:c r="R95" t="n">
        <x:v>0</x:v>
      </x:c>
      <x:c r="S95" t="n">
        <x:v>1</x:v>
      </x:c>
      <x:c r="T95" t="n">
        <x:v>0</x:v>
      </x:c>
      <x:c r="U95" t="n">
        <x:v>1</x:v>
      </x:c>
      <x:c r="V95" t="n">
        <x:v>1</x:v>
      </x:c>
      <x:c r="W95" t="n">
        <x:v>0</x:v>
      </x:c>
      <x:c r="X95" t="n">
        <x:v>0</x:v>
      </x:c>
      <x:c r="Y95" t="n">
        <x:v>0</x:v>
      </x:c>
      <x:c r="Z95" t="n">
        <x:v>1</x:v>
      </x:c>
      <x:c r="AA95" t="n">
        <x:v>3</x:v>
      </x:c>
      <x:c r="AB95" t="str">
        <x:v>Pass</x:v>
      </x:c>
      <x:c r="AC95" t="str"/>
      <x:c r="AD95" t="str"/>
    </x:row>
    <x:row r="96">
      <x:c r="A96" t="str">
        <x:v>REC0095</x:v>
      </x:c>
      <x:c r="B96" t="n">
        <x:v>94</x:v>
      </x:c>
      <x:c r="C96" t="str">
        <x:v>St. Thomas, USVI</x:v>
      </x:c>
      <x:c r="D96" t="str">
        <x:v>AA</x:v>
      </x:c>
      <x:c r="E96" t="str">
        <x:v>Accuracy Assessment</x:v>
      </x:c>
      <x:c r="F96" t="str">
        <x:v>HD Seaviewer Drop Camera</x:v>
      </x:c>
      <x:c r="G96" t="str">
        <x:v>AA2017_099</x:v>
      </x:c>
      <x:c r="H96" s="28" t="n">
        <x:v>42765</x:v>
      </x:c>
      <x:c r="I96" t="str">
        <x:v>14:57:46</x:v>
      </x:c>
      <x:c r="J96" t="n">
        <x:v>2017</x:v>
      </x:c>
      <x:c r="K96" t="n">
        <x:v>18.2169791</x:v>
      </x:c>
      <x:c r="L96" t="n">
        <x:v>-65.10596377</x:v>
      </x:c>
      <x:c r="M96" t="n">
        <x:v>39.533</x:v>
      </x:c>
      <x:c r="N96" t="str">
        <x:v>https://nccospublicstor.blob.core.windows.net/biomapper/usviinsularshelf2017/videos/low/AA2017_099.mp4</x:v>
      </x:c>
      <x:c r="O96" t="n">
        <x:v>1</x:v>
      </x:c>
      <x:c r="P96" t="n">
        <x:v>0</x:v>
      </x:c>
      <x:c r="Q96" t="n">
        <x:v>0</x:v>
      </x:c>
      <x:c r="R96" t="n">
        <x:v>0</x:v>
      </x:c>
      <x:c r="S96" t="n">
        <x:v>1</x:v>
      </x:c>
      <x:c r="T96" t="n">
        <x:v>0</x:v>
      </x:c>
      <x:c r="U96" t="n">
        <x:v>1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1</x:v>
      </x:c>
      <x:c r="AA96" t="n">
        <x:v>2</x:v>
      </x:c>
      <x:c r="AB96" t="str">
        <x:v>Pass</x:v>
      </x:c>
      <x:c r="AC96" t="str"/>
      <x:c r="AD96" t="str">
        <x:v>1 lionfish</x:v>
      </x:c>
    </x:row>
    <x:row r="97">
      <x:c r="A97" t="str">
        <x:v>REC0096</x:v>
      </x:c>
      <x:c r="B97" t="n">
        <x:v>95</x:v>
      </x:c>
      <x:c r="C97" t="str">
        <x:v>St. Thomas, USVI</x:v>
      </x:c>
      <x:c r="D97" t="str">
        <x:v>AA</x:v>
      </x:c>
      <x:c r="E97" t="str">
        <x:v>Accuracy Assessment</x:v>
      </x:c>
      <x:c r="F97" t="str">
        <x:v>HD Seaviewer Drop Camera</x:v>
      </x:c>
      <x:c r="G97" t="str">
        <x:v>AA2017_101</x:v>
      </x:c>
      <x:c r="H97" s="28" t="n">
        <x:v>42765</x:v>
      </x:c>
      <x:c r="I97" t="str">
        <x:v>14:13:16</x:v>
      </x:c>
      <x:c r="J97" t="n">
        <x:v>2017</x:v>
      </x:c>
      <x:c r="K97" t="n">
        <x:v>18.20973483</x:v>
      </x:c>
      <x:c r="L97" t="n">
        <x:v>-65.10310859</x:v>
      </x:c>
      <x:c r="M97" t="n">
        <x:v>35.928</x:v>
      </x:c>
      <x:c r="N97" t="str">
        <x:v>https://nccospublicstor.blob.core.windows.net/biomapper/usviinsularshelf2017/videos/low/AA2017_101.mp4</x:v>
      </x:c>
      <x:c r="O97" t="n">
        <x:v>1</x:v>
      </x:c>
      <x:c r="P97" t="n">
        <x:v>0</x:v>
      </x:c>
      <x:c r="Q97" t="n">
        <x:v>0</x:v>
      </x:c>
      <x:c r="R97" t="n">
        <x:v>0</x:v>
      </x:c>
      <x:c r="S97" t="n">
        <x:v>1</x:v>
      </x:c>
      <x:c r="T97" t="n">
        <x:v>1</x:v>
      </x:c>
      <x:c r="U97" t="n">
        <x:v>1</x:v>
      </x:c>
      <x:c r="V97" t="n">
        <x:v>0</x:v>
      </x:c>
      <x:c r="W97" t="n">
        <x:v>0</x:v>
      </x:c>
      <x:c r="X97" t="n">
        <x:v>1</x:v>
      </x:c>
      <x:c r="Y97" t="n">
        <x:v>0</x:v>
      </x:c>
      <x:c r="Z97" t="n">
        <x:v>1</x:v>
      </x:c>
      <x:c r="AA97" t="n">
        <x:v>3</x:v>
      </x:c>
      <x:c r="AB97" t="str">
        <x:v>Pass</x:v>
      </x:c>
      <x:c r="AC97" t="str"/>
      <x:c r="AD97" t="str">
        <x:v>Line on bottom; Orbicella franksi; Montasteria cavernosa; Partial bleaching</x:v>
      </x:c>
    </x:row>
    <x:row r="98">
      <x:c r="A98" t="str">
        <x:v>REC0097</x:v>
      </x:c>
      <x:c r="B98" t="n">
        <x:v>96</x:v>
      </x:c>
      <x:c r="C98" t="str">
        <x:v>St. Thomas, USVI</x:v>
      </x:c>
      <x:c r="D98" t="str">
        <x:v>AA</x:v>
      </x:c>
      <x:c r="E98" t="str">
        <x:v>Accuracy Assessment</x:v>
      </x:c>
      <x:c r="F98" t="str">
        <x:v>HD Seaviewer Drop Camera</x:v>
      </x:c>
      <x:c r="G98" t="str">
        <x:v>AA2017_102</x:v>
      </x:c>
      <x:c r="H98" s="28" t="n">
        <x:v>42765</x:v>
      </x:c>
      <x:c r="I98" t="str">
        <x:v>14:05:07</x:v>
      </x:c>
      <x:c r="J98" t="n">
        <x:v>2017</x:v>
      </x:c>
      <x:c r="K98" t="n">
        <x:v>18.19958924</x:v>
      </x:c>
      <x:c r="L98" t="n">
        <x:v>-65.10184702</x:v>
      </x:c>
      <x:c r="M98" t="n">
        <x:v>41.907</x:v>
      </x:c>
      <x:c r="N98" t="str">
        <x:v>https://nccospublicstor.blob.core.windows.net/biomapper/usviinsularshelf2017/videos/low/AA2017_102.mp4</x:v>
      </x:c>
      <x:c r="O98" t="n">
        <x:v>1</x:v>
      </x:c>
      <x:c r="P98" t="n">
        <x:v>0</x:v>
      </x:c>
      <x:c r="Q98" t="n">
        <x:v>0</x:v>
      </x:c>
      <x:c r="R98" t="n">
        <x:v>1</x:v>
      </x:c>
      <x:c r="S98" t="n">
        <x:v>1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2</x:v>
      </x:c>
      <x:c r="AA98" t="n">
        <x:v>1</x:v>
      </x:c>
      <x:c r="AB98" t="str">
        <x:v>Pass</x:v>
      </x:c>
      <x:c r="AC98" t="str"/>
      <x:c r="AD98" t="str"/>
    </x:row>
    <x:row r="99">
      <x:c r="A99" t="str">
        <x:v>REC0098</x:v>
      </x:c>
      <x:c r="B99" t="n">
        <x:v>97</x:v>
      </x:c>
      <x:c r="C99" t="str">
        <x:v>St. Thomas, USVI</x:v>
      </x:c>
      <x:c r="D99" t="str">
        <x:v>AA</x:v>
      </x:c>
      <x:c r="E99" t="str">
        <x:v>Accuracy Assessment</x:v>
      </x:c>
      <x:c r="F99" t="str">
        <x:v>HD Seaviewer Drop Camera</x:v>
      </x:c>
      <x:c r="G99" t="str">
        <x:v>AA2017_103</x:v>
      </x:c>
      <x:c r="H99" s="28" t="n">
        <x:v>42769</x:v>
      </x:c>
      <x:c r="I99" t="str">
        <x:v>08:22:12</x:v>
      </x:c>
      <x:c r="J99" t="n">
        <x:v>2017</x:v>
      </x:c>
      <x:c r="K99" t="n">
        <x:v>18.25086352</x:v>
      </x:c>
      <x:c r="L99" t="n">
        <x:v>-65.10199366</x:v>
      </x:c>
      <x:c r="M99" t="n">
        <x:v>27.756</x:v>
      </x:c>
      <x:c r="N99" t="str">
        <x:v>https://nccospublicstor.blob.core.windows.net/biomapper/usviinsularshelf2017/videos/low/AA2017_103.mp4</x:v>
      </x:c>
      <x:c r="O99" t="n">
        <x:v>1</x:v>
      </x:c>
      <x:c r="P99" t="n">
        <x:v>0</x:v>
      </x:c>
      <x:c r="Q99" t="n">
        <x:v>0</x:v>
      </x:c>
      <x:c r="R99" t="n">
        <x:v>0</x:v>
      </x:c>
      <x:c r="S99" t="n">
        <x:v>1</x:v>
      </x:c>
      <x:c r="T99" t="n">
        <x:v>1</x:v>
      </x:c>
      <x:c r="U99" t="n">
        <x:v>1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1</x:v>
      </x:c>
      <x:c r="AA99" t="n">
        <x:v>3</x:v>
      </x:c>
      <x:c r="AB99" t="str">
        <x:v>Pass</x:v>
      </x:c>
      <x:c r="AC99" t="str"/>
      <x:c r="AD99" t="str"/>
    </x:row>
    <x:row r="100">
      <x:c r="A100" t="str">
        <x:v>REC0099</x:v>
      </x:c>
      <x:c r="B100" t="n">
        <x:v>98</x:v>
      </x:c>
      <x:c r="C100" t="str">
        <x:v>St. Thomas, USVI</x:v>
      </x:c>
      <x:c r="D100" t="str">
        <x:v>AA</x:v>
      </x:c>
      <x:c r="E100" t="str">
        <x:v>Accuracy Assessment</x:v>
      </x:c>
      <x:c r="F100" t="str">
        <x:v>HD Seaviewer Drop Camera</x:v>
      </x:c>
      <x:c r="G100" t="str">
        <x:v>AA2017_104</x:v>
      </x:c>
      <x:c r="H100" s="28" t="n">
        <x:v>42767</x:v>
      </x:c>
      <x:c r="I100" t="str">
        <x:v>10:42:16</x:v>
      </x:c>
      <x:c r="J100" t="n">
        <x:v>2017</x:v>
      </x:c>
      <x:c r="K100" t="n">
        <x:v>18.22970909</x:v>
      </x:c>
      <x:c r="L100" t="n">
        <x:v>-65.10126136</x:v>
      </x:c>
      <x:c r="M100" t="n">
        <x:v>31.161</x:v>
      </x:c>
      <x:c r="N100" t="str">
        <x:v>https://nccospublicstor.blob.core.windows.net/biomapper/usviinsularshelf2017/videos/low/AA2017_104.mp4</x:v>
      </x:c>
      <x:c r="O100" t="n">
        <x:v>1</x:v>
      </x:c>
      <x:c r="P100" t="n">
        <x:v>0</x:v>
      </x:c>
      <x:c r="Q100" t="n">
        <x:v>0</x:v>
      </x:c>
      <x:c r="R100" t="n">
        <x:v>0</x:v>
      </x:c>
      <x:c r="S100" t="n">
        <x:v>1</x:v>
      </x:c>
      <x:c r="T100" t="n">
        <x:v>0</x:v>
      </x:c>
      <x:c r="U100" t="n">
        <x:v>1</x:v>
      </x:c>
      <x:c r="V100" t="n">
        <x:v>1</x:v>
      </x:c>
      <x:c r="W100" t="n">
        <x:v>0</x:v>
      </x:c>
      <x:c r="X100" t="n">
        <x:v>0</x:v>
      </x:c>
      <x:c r="Y100" t="n">
        <x:v>0</x:v>
      </x:c>
      <x:c r="Z100" t="n">
        <x:v>1</x:v>
      </x:c>
      <x:c r="AA100" t="n">
        <x:v>3</x:v>
      </x:c>
      <x:c r="AB100" t="str">
        <x:v>Pass</x:v>
      </x:c>
      <x:c r="AC100" t="str"/>
      <x:c r="AD100" t="str">
        <x:v>20-30% live hard coral cover</x:v>
      </x:c>
    </x:row>
    <x:row r="101">
      <x:c r="A101" t="str">
        <x:v>REC0100</x:v>
      </x:c>
      <x:c r="B101" t="n">
        <x:v>99</x:v>
      </x:c>
      <x:c r="C101" t="str">
        <x:v>St. Thomas, USVI</x:v>
      </x:c>
      <x:c r="D101" t="str">
        <x:v>AA</x:v>
      </x:c>
      <x:c r="E101" t="str">
        <x:v>Accuracy Assessment</x:v>
      </x:c>
      <x:c r="F101" t="str">
        <x:v>HD Seaviewer Drop Camera</x:v>
      </x:c>
      <x:c r="G101" t="str">
        <x:v>AA2017_105</x:v>
      </x:c>
      <x:c r="H101" s="28" t="n">
        <x:v>42769</x:v>
      </x:c>
      <x:c r="I101" t="str">
        <x:v>08:54:21</x:v>
      </x:c>
      <x:c r="J101" t="n">
        <x:v>2017</x:v>
      </x:c>
      <x:c r="K101" t="n">
        <x:v>18.28031396</x:v>
      </x:c>
      <x:c r="L101" t="n">
        <x:v>-65.10175345</x:v>
      </x:c>
      <x:c r="M101" t="n">
        <x:v>33.193</x:v>
      </x:c>
      <x:c r="N101" t="str">
        <x:v>https://nccospublicstor.blob.core.windows.net/biomapper/usviinsularshelf2017/videos/low/AA2017_105.mp4</x:v>
      </x:c>
      <x:c r="O101" t="n">
        <x:v>0</x:v>
      </x:c>
      <x:c r="P101" t="n">
        <x:v>0</x:v>
      </x:c>
      <x:c r="Q101" t="n">
        <x:v>0</x:v>
      </x:c>
      <x:c r="R101" t="n">
        <x:v>1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1</x:v>
      </x:c>
      <x:c r="AA101" t="n">
        <x:v>0</x:v>
      </x:c>
      <x:c r="AB101" t="str">
        <x:v>Pass</x:v>
      </x:c>
      <x:c r="AC101" t="str"/>
      <x:c r="AD101" t="str">
        <x:v>Small patch reefs and sponges present on descent</x:v>
      </x:c>
    </x:row>
    <x:row r="102">
      <x:c r="A102" t="str">
        <x:v>REC0101</x:v>
      </x:c>
      <x:c r="B102" t="n">
        <x:v>100</x:v>
      </x:c>
      <x:c r="C102" t="str">
        <x:v>St. Thomas, USVI</x:v>
      </x:c>
      <x:c r="D102" t="str">
        <x:v>AA</x:v>
      </x:c>
      <x:c r="E102" t="str">
        <x:v>Accuracy Assessment</x:v>
      </x:c>
      <x:c r="F102" t="str">
        <x:v>HD Seaviewer Drop Camera</x:v>
      </x:c>
      <x:c r="G102" t="str">
        <x:v>AA2017_106</x:v>
      </x:c>
      <x:c r="H102" s="28" t="n">
        <x:v>42769</x:v>
      </x:c>
      <x:c r="I102" t="str">
        <x:v>08:47:54</x:v>
      </x:c>
      <x:c r="J102" t="n">
        <x:v>2017</x:v>
      </x:c>
      <x:c r="K102" t="n">
        <x:v>18.2775251</x:v>
      </x:c>
      <x:c r="L102" t="n">
        <x:v>-65.10124075</x:v>
      </x:c>
      <x:c r="M102" t="n">
        <x:v>27.593</x:v>
      </x:c>
      <x:c r="N102" t="str">
        <x:v>https://nccospublicstor.blob.core.windows.net/biomapper/usviinsularshelf2017/videos/low/AA2017_106.mp4</x:v>
      </x:c>
      <x:c r="O102" t="n">
        <x:v>1</x:v>
      </x:c>
      <x:c r="P102" t="n">
        <x:v>0</x:v>
      </x:c>
      <x:c r="Q102" t="n">
        <x:v>0</x:v>
      </x:c>
      <x:c r="R102" t="n">
        <x:v>1</x:v>
      </x:c>
      <x:c r="S102" t="n">
        <x:v>1</x:v>
      </x:c>
      <x:c r="T102" t="n">
        <x:v>1</x:v>
      </x:c>
      <x:c r="U102" t="n">
        <x:v>1</x:v>
      </x:c>
      <x:c r="V102" t="n">
        <x:v>1</x:v>
      </x:c>
      <x:c r="W102" t="n">
        <x:v>0</x:v>
      </x:c>
      <x:c r="X102" t="n">
        <x:v>0</x:v>
      </x:c>
      <x:c r="Y102" t="n">
        <x:v>0</x:v>
      </x:c>
      <x:c r="Z102" t="n">
        <x:v>2</x:v>
      </x:c>
      <x:c r="AA102" t="n">
        <x:v>4</x:v>
      </x:c>
      <x:c r="AB102" t="str">
        <x:v>Pass</x:v>
      </x:c>
      <x:c r="AC102" t="str"/>
      <x:c r="AD102" t="str">
        <x:v>Sand visible on decent</x:v>
      </x:c>
    </x:row>
    <x:row r="103">
      <x:c r="A103" t="str">
        <x:v>REC0102</x:v>
      </x:c>
      <x:c r="B103" t="n">
        <x:v>101</x:v>
      </x:c>
      <x:c r="C103" t="str">
        <x:v>St. Thomas, USVI</x:v>
      </x:c>
      <x:c r="D103" t="str">
        <x:v>AA</x:v>
      </x:c>
      <x:c r="E103" t="str">
        <x:v>Accuracy Assessment</x:v>
      </x:c>
      <x:c r="F103" t="str">
        <x:v>HD Seaviewer Drop Camera</x:v>
      </x:c>
      <x:c r="G103" t="str">
        <x:v>AA2017_107</x:v>
      </x:c>
      <x:c r="H103" s="28" t="n">
        <x:v>42767</x:v>
      </x:c>
      <x:c r="I103" t="str">
        <x:v>10:34:29</x:v>
      </x:c>
      <x:c r="J103" t="n">
        <x:v>2017</x:v>
      </x:c>
      <x:c r="K103" t="n">
        <x:v>18.22517099</x:v>
      </x:c>
      <x:c r="L103" t="n">
        <x:v>-65.09677837</x:v>
      </x:c>
      <x:c r="M103" t="n">
        <x:v>40.475</x:v>
      </x:c>
      <x:c r="N103" t="str">
        <x:v>https://nccospublicstor.blob.core.windows.net/biomapper/usviinsularshelf2017/videos/low/AA2017_107.mp4</x:v>
      </x:c>
      <x:c r="O103" t="n">
        <x:v>1</x:v>
      </x:c>
      <x:c r="P103" t="n">
        <x:v>0</x:v>
      </x:c>
      <x:c r="Q103" t="n">
        <x:v>0</x:v>
      </x:c>
      <x:c r="R103" t="n">
        <x:v>0</x:v>
      </x:c>
      <x:c r="S103" t="n">
        <x:v>1</x:v>
      </x:c>
      <x:c r="T103" t="n">
        <x:v>0</x:v>
      </x:c>
      <x:c r="U103" t="n">
        <x:v>1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1</x:v>
      </x:c>
      <x:c r="AA103" t="n">
        <x:v>2</x:v>
      </x:c>
      <x:c r="AB103" t="str">
        <x:v>Pass</x:v>
      </x:c>
      <x:c r="AC103" t="str"/>
      <x:c r="AD103" t="str"/>
    </x:row>
    <x:row r="104">
      <x:c r="A104" t="str">
        <x:v>REC0103</x:v>
      </x:c>
      <x:c r="B104" t="n">
        <x:v>102</x:v>
      </x:c>
      <x:c r="C104" t="str">
        <x:v>St. Thomas, USVI</x:v>
      </x:c>
      <x:c r="D104" t="str">
        <x:v>AA</x:v>
      </x:c>
      <x:c r="E104" t="str">
        <x:v>Accuracy Assessment</x:v>
      </x:c>
      <x:c r="F104" t="str">
        <x:v>HD Seaviewer Drop Camera</x:v>
      </x:c>
      <x:c r="G104" t="str">
        <x:v>AA2017_108</x:v>
      </x:c>
      <x:c r="H104" s="28" t="n">
        <x:v>42765</x:v>
      </x:c>
      <x:c r="I104" t="str">
        <x:v>13:06:14</x:v>
      </x:c>
      <x:c r="J104" t="n">
        <x:v>2017</x:v>
      </x:c>
      <x:c r="K104" t="n">
        <x:v>18.17871703</x:v>
      </x:c>
      <x:c r="L104" t="n">
        <x:v>-65.10014368</x:v>
      </x:c>
      <x:c r="M104" t="n">
        <x:v>44.855</x:v>
      </x:c>
      <x:c r="N104" t="str">
        <x:v>https://nccospublicstor.blob.core.windows.net/biomapper/usviinsularshelf2017/videos/low/AA2017_108.mp4</x:v>
      </x:c>
      <x:c r="O104" t="n">
        <x:v>1</x:v>
      </x:c>
      <x:c r="P104" t="n">
        <x:v>0</x:v>
      </x:c>
      <x:c r="Q104" t="n">
        <x:v>0</x:v>
      </x:c>
      <x:c r="R104" t="n">
        <x:v>1</x:v>
      </x:c>
      <x:c r="S104" t="n">
        <x:v>1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2</x:v>
      </x:c>
      <x:c r="AA104" t="n">
        <x:v>1</x:v>
      </x:c>
      <x:c r="AB104" t="str">
        <x:v>Pass</x:v>
      </x:c>
      <x:c r="AC104" t="str"/>
      <x:c r="AD104" t="str">
        <x:v>Camera dropped on agg reef/sand boundary.  GPS points look to be on sand with patch reefs</x:v>
      </x:c>
    </x:row>
    <x:row r="105">
      <x:c r="A105" t="str">
        <x:v>REC0104</x:v>
      </x:c>
      <x:c r="B105" t="n">
        <x:v>103</x:v>
      </x:c>
      <x:c r="C105" t="str">
        <x:v>St. Thomas, USVI</x:v>
      </x:c>
      <x:c r="D105" t="str">
        <x:v>AA</x:v>
      </x:c>
      <x:c r="E105" t="str">
        <x:v>Accuracy Assessment</x:v>
      </x:c>
      <x:c r="F105" t="str">
        <x:v>HD Seaviewer Drop Camera</x:v>
      </x:c>
      <x:c r="G105" t="str">
        <x:v>AA2017_109</x:v>
      </x:c>
      <x:c r="H105" s="28" t="n">
        <x:v>42765</x:v>
      </x:c>
      <x:c r="I105" t="str">
        <x:v>12:56:03</x:v>
      </x:c>
      <x:c r="J105" t="n">
        <x:v>2017</x:v>
      </x:c>
      <x:c r="K105" t="n">
        <x:v>18.19131859</x:v>
      </x:c>
      <x:c r="L105" t="n">
        <x:v>-65.09833218</x:v>
      </x:c>
      <x:c r="M105" t="n">
        <x:v>42.984</x:v>
      </x:c>
      <x:c r="N105" t="str">
        <x:v>https://nccospublicstor.blob.core.windows.net/biomapper/usviinsularshelf2017/videos/low/AA2017_109.mp4</x:v>
      </x:c>
      <x:c r="O105" t="n">
        <x:v>1</x:v>
      </x:c>
      <x:c r="P105" t="n">
        <x:v>0</x:v>
      </x:c>
      <x:c r="Q105" t="n">
        <x:v>0</x:v>
      </x:c>
      <x:c r="R105" t="n">
        <x:v>1</x:v>
      </x:c>
      <x:c r="S105" t="n">
        <x:v>1</x:v>
      </x:c>
      <x:c r="T105" t="n">
        <x:v>0</x:v>
      </x:c>
      <x:c r="U105" t="n">
        <x:v>1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2</x:v>
      </x:c>
      <x:c r="AA105" t="n">
        <x:v>2</x:v>
      </x:c>
      <x:c r="AB105" t="str">
        <x:v>Pass</x:v>
      </x:c>
      <x:c r="AC105" t="str"/>
      <x:c r="AD105" t="str"/>
    </x:row>
    <x:row r="106">
      <x:c r="A106" t="str">
        <x:v>REC0105</x:v>
      </x:c>
      <x:c r="B106" t="n">
        <x:v>104</x:v>
      </x:c>
      <x:c r="C106" t="str">
        <x:v>St. Thomas, USVI</x:v>
      </x:c>
      <x:c r="D106" t="str">
        <x:v>AA</x:v>
      </x:c>
      <x:c r="E106" t="str">
        <x:v>Accuracy Assessment</x:v>
      </x:c>
      <x:c r="F106" t="str">
        <x:v>HD Seaviewer Drop Camera</x:v>
      </x:c>
      <x:c r="G106" t="str">
        <x:v>AA2017_110</x:v>
      </x:c>
      <x:c r="H106" s="28" t="n">
        <x:v>42769</x:v>
      </x:c>
      <x:c r="I106" t="str">
        <x:v>08:39:38</x:v>
      </x:c>
      <x:c r="J106" t="n">
        <x:v>2017</x:v>
      </x:c>
      <x:c r="K106" t="n">
        <x:v>18.26581827</x:v>
      </x:c>
      <x:c r="L106" t="n">
        <x:v>-65.09208675</x:v>
      </x:c>
      <x:c r="M106" t="n">
        <x:v>27.66</x:v>
      </x:c>
      <x:c r="N106" t="str">
        <x:v>https://nccospublicstor.blob.core.windows.net/biomapper/usviinsularshelf2017/videos/low/AA2017_110.mp4</x:v>
      </x:c>
      <x:c r="O106" t="n">
        <x:v>1</x:v>
      </x:c>
      <x:c r="P106" t="n">
        <x:v>0</x:v>
      </x:c>
      <x:c r="Q106" t="n">
        <x:v>0</x:v>
      </x:c>
      <x:c r="R106" t="n">
        <x:v>0</x:v>
      </x:c>
      <x:c r="S106" t="n">
        <x:v>1</x:v>
      </x:c>
      <x:c r="T106" t="n">
        <x:v>1</x:v>
      </x:c>
      <x:c r="U106" t="n">
        <x:v>1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1</x:v>
      </x:c>
      <x:c r="AA106" t="n">
        <x:v>3</x:v>
      </x:c>
      <x:c r="AB106" t="str">
        <x:v>Pass</x:v>
      </x:c>
      <x:c r="AC106" t="str"/>
      <x:c r="AD106" t="str"/>
    </x:row>
    <x:row r="107">
      <x:c r="A107" t="str">
        <x:v>REC0106</x:v>
      </x:c>
      <x:c r="B107" t="n">
        <x:v>105</x:v>
      </x:c>
      <x:c r="C107" t="str">
        <x:v>St. Thomas, USVI</x:v>
      </x:c>
      <x:c r="D107" t="str">
        <x:v>AA</x:v>
      </x:c>
      <x:c r="E107" t="str">
        <x:v>Accuracy Assessment</x:v>
      </x:c>
      <x:c r="F107" t="str">
        <x:v>HD Seaviewer Drop Camera</x:v>
      </x:c>
      <x:c r="G107" t="str">
        <x:v>AA2017_111</x:v>
      </x:c>
      <x:c r="H107" s="28" t="n">
        <x:v>42767</x:v>
      </x:c>
      <x:c r="I107" t="str">
        <x:v>10:27:00</x:v>
      </x:c>
      <x:c r="J107" t="n">
        <x:v>2017</x:v>
      </x:c>
      <x:c r="K107" t="n">
        <x:v>18.23118055</x:v>
      </x:c>
      <x:c r="L107" t="n">
        <x:v>-65.0917833</x:v>
      </x:c>
      <x:c r="M107" t="n">
        <x:v>33.889</x:v>
      </x:c>
      <x:c r="N107" t="str">
        <x:v>https://nccospublicstor.blob.core.windows.net/biomapper/usviinsularshelf2017/videos/low/AA2017_111.mp4</x:v>
      </x:c>
      <x:c r="O107" t="n">
        <x:v>1</x:v>
      </x:c>
      <x:c r="P107" t="n">
        <x:v>0</x:v>
      </x:c>
      <x:c r="Q107" t="n">
        <x:v>0</x:v>
      </x:c>
      <x:c r="R107" t="n">
        <x:v>0</x:v>
      </x:c>
      <x:c r="S107" t="n">
        <x:v>1</x:v>
      </x:c>
      <x:c r="T107" t="n">
        <x:v>0</x:v>
      </x:c>
      <x:c r="U107" t="n">
        <x:v>1</x:v>
      </x:c>
      <x:c r="V107" t="n">
        <x:v>1</x:v>
      </x:c>
      <x:c r="W107" t="n">
        <x:v>0</x:v>
      </x:c>
      <x:c r="X107" t="n">
        <x:v>0</x:v>
      </x:c>
      <x:c r="Y107" t="n">
        <x:v>0</x:v>
      </x:c>
      <x:c r="Z107" t="n">
        <x:v>1</x:v>
      </x:c>
      <x:c r="AA107" t="n">
        <x:v>3</x:v>
      </x:c>
      <x:c r="AB107" t="str">
        <x:v>Pass</x:v>
      </x:c>
      <x:c r="AC107" t="str"/>
      <x:c r="AD107" t="str"/>
    </x:row>
    <x:row r="108">
      <x:c r="A108" t="str">
        <x:v>REC0107</x:v>
      </x:c>
      <x:c r="B108" t="n">
        <x:v>106</x:v>
      </x:c>
      <x:c r="C108" t="str">
        <x:v>St. Thomas, USVI</x:v>
      </x:c>
      <x:c r="D108" t="str">
        <x:v>AA</x:v>
      </x:c>
      <x:c r="E108" t="str">
        <x:v>Accuracy Assessment</x:v>
      </x:c>
      <x:c r="F108" t="str">
        <x:v>HD Seaviewer Drop Camera</x:v>
      </x:c>
      <x:c r="G108" t="str">
        <x:v>AA2017_112</x:v>
      </x:c>
      <x:c r="H108" s="28" t="n">
        <x:v>42769</x:v>
      </x:c>
      <x:c r="I108" t="str">
        <x:v>07:56:26</x:v>
      </x:c>
      <x:c r="J108" t="n">
        <x:v>2017</x:v>
      </x:c>
      <x:c r="K108" t="n">
        <x:v>18.24544893</x:v>
      </x:c>
      <x:c r="L108" t="n">
        <x:v>-65.09268844</x:v>
      </x:c>
      <x:c r="M108" t="n">
        <x:v>29.832</x:v>
      </x:c>
      <x:c r="N108" t="str">
        <x:v>https://nccospublicstor.blob.core.windows.net/biomapper/usviinsularshelf2017/videos/low/AA2017_112.mp4</x:v>
      </x:c>
      <x:c r="O108" t="n">
        <x:v>1</x:v>
      </x:c>
      <x:c r="P108" t="n">
        <x:v>0</x:v>
      </x:c>
      <x:c r="Q108" t="n">
        <x:v>0</x:v>
      </x:c>
      <x:c r="R108" t="n">
        <x:v>0</x:v>
      </x:c>
      <x:c r="S108" t="n">
        <x:v>1</x:v>
      </x:c>
      <x:c r="T108" t="n">
        <x:v>0</x:v>
      </x:c>
      <x:c r="U108" t="n">
        <x:v>1</x:v>
      </x:c>
      <x:c r="V108" t="n">
        <x:v>1</x:v>
      </x:c>
      <x:c r="W108" t="n">
        <x:v>0</x:v>
      </x:c>
      <x:c r="X108" t="n">
        <x:v>0</x:v>
      </x:c>
      <x:c r="Y108" t="n">
        <x:v>0</x:v>
      </x:c>
      <x:c r="Z108" t="n">
        <x:v>1</x:v>
      </x:c>
      <x:c r="AA108" t="n">
        <x:v>3</x:v>
      </x:c>
      <x:c r="AB108" t="str">
        <x:v>Pass</x:v>
      </x:c>
      <x:c r="AC108" t="str"/>
      <x:c r="AD108" t="str"/>
    </x:row>
    <x:row r="109">
      <x:c r="A109" t="str">
        <x:v>REC0108</x:v>
      </x:c>
      <x:c r="B109" t="n">
        <x:v>107</x:v>
      </x:c>
      <x:c r="C109" t="str">
        <x:v>St. Thomas, USVI</x:v>
      </x:c>
      <x:c r="D109" t="str">
        <x:v>AA</x:v>
      </x:c>
      <x:c r="E109" t="str">
        <x:v>Accuracy Assessment</x:v>
      </x:c>
      <x:c r="F109" t="str">
        <x:v>HD Seaviewer Drop Camera</x:v>
      </x:c>
      <x:c r="G109" t="str">
        <x:v>AA2017_113</x:v>
      </x:c>
      <x:c r="H109" s="28" t="n">
        <x:v>42768</x:v>
      </x:c>
      <x:c r="I109" t="str">
        <x:v>14:33:24</x:v>
      </x:c>
      <x:c r="J109" t="n">
        <x:v>2017</x:v>
      </x:c>
      <x:c r="K109" t="n">
        <x:v>18.28201633</x:v>
      </x:c>
      <x:c r="L109" t="n">
        <x:v>-65.09308863</x:v>
      </x:c>
      <x:c r="M109" t="n">
        <x:v>34.755</x:v>
      </x:c>
      <x:c r="N109" t="str">
        <x:v>https://nccospublicstor.blob.core.windows.net/biomapper/usviinsularshelf2017/videos/low/AA2017_113.mp4</x:v>
      </x:c>
      <x:c r="O109" t="n">
        <x:v>1</x:v>
      </x:c>
      <x:c r="P109" t="n">
        <x:v>0</x:v>
      </x:c>
      <x:c r="Q109" t="n">
        <x:v>0</x:v>
      </x:c>
      <x:c r="R109" t="n">
        <x:v>1</x:v>
      </x:c>
      <x:c r="S109" t="n">
        <x:v>0</x:v>
      </x:c>
      <x:c r="T109" t="n">
        <x:v>1</x:v>
      </x:c>
      <x:c r="U109" t="n">
        <x:v>0</x:v>
      </x:c>
      <x:c r="V109" t="n">
        <x:v>1</x:v>
      </x:c>
      <x:c r="W109" t="n">
        <x:v>0</x:v>
      </x:c>
      <x:c r="X109" t="n">
        <x:v>0</x:v>
      </x:c>
      <x:c r="Y109" t="n">
        <x:v>0</x:v>
      </x:c>
      <x:c r="Z109" t="n">
        <x:v>2</x:v>
      </x:c>
      <x:c r="AA109" t="n">
        <x:v>2</x:v>
      </x:c>
      <x:c r="AB109" t="str">
        <x:v>Pass</x:v>
      </x:c>
      <x:c r="AC109" t="str"/>
      <x:c r="AD109" t="str">
        <x:v>Patch reef habitat</x:v>
      </x:c>
    </x:row>
    <x:row r="110">
      <x:c r="A110" t="str">
        <x:v>REC0109</x:v>
      </x:c>
      <x:c r="B110" t="n">
        <x:v>108</x:v>
      </x:c>
      <x:c r="C110" t="str">
        <x:v>St. Thomas, USVI</x:v>
      </x:c>
      <x:c r="D110" t="str">
        <x:v>AA</x:v>
      </x:c>
      <x:c r="E110" t="str">
        <x:v>Accuracy Assessment</x:v>
      </x:c>
      <x:c r="F110" t="str">
        <x:v>HD Seaviewer Drop Camera</x:v>
      </x:c>
      <x:c r="G110" t="str">
        <x:v>AA2017_114</x:v>
      </x:c>
      <x:c r="H110" s="28" t="n">
        <x:v>42765</x:v>
      </x:c>
      <x:c r="I110" t="str">
        <x:v>12:03:01</x:v>
      </x:c>
      <x:c r="J110" t="n">
        <x:v>2017</x:v>
      </x:c>
      <x:c r="K110" t="n">
        <x:v>18.18779748</x:v>
      </x:c>
      <x:c r="L110" t="n">
        <x:v>-65.08903743</x:v>
      </x:c>
      <x:c r="M110" t="n">
        <x:v>35.6</x:v>
      </x:c>
      <x:c r="N110" t="str">
        <x:v>https://nccospublicstor.blob.core.windows.net/biomapper/usviinsularshelf2017/videos/low/AA2017_114.mp4</x:v>
      </x:c>
      <x:c r="O110" t="n">
        <x:v>1</x:v>
      </x:c>
      <x:c r="P110" t="n">
        <x:v>0</x:v>
      </x:c>
      <x:c r="Q110" t="n">
        <x:v>0</x:v>
      </x:c>
      <x:c r="R110" t="n">
        <x:v>0</x:v>
      </x:c>
      <x:c r="S110" t="n">
        <x:v>1</x:v>
      </x:c>
      <x:c r="T110" t="n">
        <x:v>1</x:v>
      </x:c>
      <x:c r="U110" t="n">
        <x:v>1</x:v>
      </x:c>
      <x:c r="V110" t="n">
        <x:v>1</x:v>
      </x:c>
      <x:c r="W110" t="n">
        <x:v>0</x:v>
      </x:c>
      <x:c r="X110" t="n">
        <x:v>0</x:v>
      </x:c>
      <x:c r="Y110" t="n">
        <x:v>0</x:v>
      </x:c>
      <x:c r="Z110" t="n">
        <x:v>1</x:v>
      </x:c>
      <x:c r="AA110" t="n">
        <x:v>4</x:v>
      </x:c>
      <x:c r="AB110" t="str">
        <x:v>Pass</x:v>
      </x:c>
      <x:c r="AC110" t="str"/>
      <x:c r="AD110" t="str">
        <x:v>orbicella franksi</x:v>
      </x:c>
    </x:row>
    <x:row r="111">
      <x:c r="A111" t="str">
        <x:v>REC0110</x:v>
      </x:c>
      <x:c r="B111" t="n">
        <x:v>109</x:v>
      </x:c>
      <x:c r="C111" t="str">
        <x:v>St. Thomas, USVI</x:v>
      </x:c>
      <x:c r="D111" t="str">
        <x:v>AA</x:v>
      </x:c>
      <x:c r="E111" t="str">
        <x:v>Accuracy Assessment</x:v>
      </x:c>
      <x:c r="F111" t="str">
        <x:v>HD Seaviewer Drop Camera</x:v>
      </x:c>
      <x:c r="G111" t="str">
        <x:v>AA2017_115</x:v>
      </x:c>
      <x:c r="H111" s="28" t="n">
        <x:v>42765</x:v>
      </x:c>
      <x:c r="I111" t="str">
        <x:v>12:47:23</x:v>
      </x:c>
      <x:c r="J111" t="n">
        <x:v>2017</x:v>
      </x:c>
      <x:c r="K111" t="n">
        <x:v>18.19534108</x:v>
      </x:c>
      <x:c r="L111" t="n">
        <x:v>-65.08868053</x:v>
      </x:c>
      <x:c r="M111" t="n">
        <x:v>42.342</x:v>
      </x:c>
      <x:c r="N111" t="str">
        <x:v>https://nccospublicstor.blob.core.windows.net/biomapper/usviinsularshelf2017/videos/low/AA2017_115.mp4</x:v>
      </x:c>
      <x:c r="O111" t="n">
        <x:v>1</x:v>
      </x:c>
      <x:c r="P111" t="n">
        <x:v>0</x:v>
      </x:c>
      <x:c r="Q111" t="n">
        <x:v>0</x:v>
      </x:c>
      <x:c r="R111" t="n">
        <x:v>0</x:v>
      </x:c>
      <x:c r="S111" t="n">
        <x:v>1</x:v>
      </x:c>
      <x:c r="T111" t="n">
        <x:v>0</x:v>
      </x:c>
      <x:c r="U111" t="n">
        <x:v>1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1</x:v>
      </x:c>
      <x:c r="AA111" t="n">
        <x:v>2</x:v>
      </x:c>
      <x:c r="AB111" t="str">
        <x:v>Pass</x:v>
      </x:c>
      <x:c r="AC111" t="str"/>
      <x:c r="AD111" t="str"/>
    </x:row>
    <x:row r="112">
      <x:c r="A112" t="str">
        <x:v>REC0111</x:v>
      </x:c>
      <x:c r="B112" t="n">
        <x:v>110</x:v>
      </x:c>
      <x:c r="C112" t="str">
        <x:v>St. Thomas, USVI</x:v>
      </x:c>
      <x:c r="D112" t="str">
        <x:v>AA</x:v>
      </x:c>
      <x:c r="E112" t="str">
        <x:v>Accuracy Assessment</x:v>
      </x:c>
      <x:c r="F112" t="str">
        <x:v>HD Seaviewer Drop Camera</x:v>
      </x:c>
      <x:c r="G112" t="str">
        <x:v>AA2017_116</x:v>
      </x:c>
      <x:c r="H112" s="28" t="n">
        <x:v>42767</x:v>
      </x:c>
      <x:c r="I112" t="str">
        <x:v>10:20:06</x:v>
      </x:c>
      <x:c r="J112" t="n">
        <x:v>2017</x:v>
      </x:c>
      <x:c r="K112" t="n">
        <x:v>18.22678543</x:v>
      </x:c>
      <x:c r="L112" t="n">
        <x:v>-65.08708387</x:v>
      </x:c>
      <x:c r="M112" t="n">
        <x:v>33.04</x:v>
      </x:c>
      <x:c r="N112" t="str">
        <x:v>https://nccospublicstor.blob.core.windows.net/biomapper/usviinsularshelf2017/videos/low/AA2017_116.mp4</x:v>
      </x:c>
      <x:c r="O112" t="n">
        <x:v>1</x:v>
      </x:c>
      <x:c r="P112" t="n">
        <x:v>0</x:v>
      </x:c>
      <x:c r="Q112" t="n">
        <x:v>0</x:v>
      </x:c>
      <x:c r="R112" t="n">
        <x:v>0</x:v>
      </x:c>
      <x:c r="S112" t="n">
        <x:v>1</x:v>
      </x:c>
      <x:c r="T112" t="n">
        <x:v>0</x:v>
      </x:c>
      <x:c r="U112" t="n">
        <x:v>1</x:v>
      </x:c>
      <x:c r="V112" t="n">
        <x:v>1</x:v>
      </x:c>
      <x:c r="W112" t="n">
        <x:v>0</x:v>
      </x:c>
      <x:c r="X112" t="n">
        <x:v>0</x:v>
      </x:c>
      <x:c r="Y112" t="n">
        <x:v>0</x:v>
      </x:c>
      <x:c r="Z112" t="n">
        <x:v>1</x:v>
      </x:c>
      <x:c r="AA112" t="n">
        <x:v>3</x:v>
      </x:c>
      <x:c r="AB112" t="str">
        <x:v>Pass</x:v>
      </x:c>
      <x:c r="AC112" t="str"/>
      <x:c r="AD112" t="str">
        <x:v>20-30% live hard coral cover</x:v>
      </x:c>
    </x:row>
    <x:row r="113">
      <x:c r="A113" t="str">
        <x:v>REC0112</x:v>
      </x:c>
      <x:c r="B113" t="n">
        <x:v>111</x:v>
      </x:c>
      <x:c r="C113" t="str">
        <x:v>St. Thomas, USVI</x:v>
      </x:c>
      <x:c r="D113" t="str">
        <x:v>AA</x:v>
      </x:c>
      <x:c r="E113" t="str">
        <x:v>Accuracy Assessment</x:v>
      </x:c>
      <x:c r="F113" t="str">
        <x:v>HD Seaviewer Drop Camera</x:v>
      </x:c>
      <x:c r="G113" t="str">
        <x:v>AA2017_118</x:v>
      </x:c>
      <x:c r="H113" s="28" t="n">
        <x:v>42765</x:v>
      </x:c>
      <x:c r="I113" t="str">
        <x:v>11:56:21</x:v>
      </x:c>
      <x:c r="J113" t="n">
        <x:v>2017</x:v>
      </x:c>
      <x:c r="K113" t="n">
        <x:v>18.1832202</x:v>
      </x:c>
      <x:c r="L113" t="n">
        <x:v>-65.08427783</x:v>
      </x:c>
      <x:c r="M113" t="n">
        <x:v>34.147</x:v>
      </x:c>
      <x:c r="N113" t="str">
        <x:v>https://nccospublicstor.blob.core.windows.net/biomapper/usviinsularshelf2017/videos/low/AA2017_118.mp4</x:v>
      </x:c>
      <x:c r="O113" t="n">
        <x:v>1</x:v>
      </x:c>
      <x:c r="P113" t="n">
        <x:v>0</x:v>
      </x:c>
      <x:c r="Q113" t="n">
        <x:v>0</x:v>
      </x:c>
      <x:c r="R113" t="n">
        <x:v>0</x:v>
      </x:c>
      <x:c r="S113" t="n">
        <x:v>1</x:v>
      </x:c>
      <x:c r="T113" t="n">
        <x:v>0</x:v>
      </x:c>
      <x:c r="U113" t="n">
        <x:v>1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1</x:v>
      </x:c>
      <x:c r="AA113" t="n">
        <x:v>2</x:v>
      </x:c>
      <x:c r="AB113" t="str">
        <x:v>Pass</x:v>
      </x:c>
      <x:c r="AC113" t="str"/>
      <x:c r="AD113" t="str">
        <x:v>mycetophyllia aliciae, orbicella franksi</x:v>
      </x:c>
    </x:row>
    <x:row r="114">
      <x:c r="A114" t="str">
        <x:v>REC0113</x:v>
      </x:c>
      <x:c r="B114" t="n">
        <x:v>112</x:v>
      </x:c>
      <x:c r="C114" t="str">
        <x:v>St. Thomas, USVI</x:v>
      </x:c>
      <x:c r="D114" t="str">
        <x:v>AA</x:v>
      </x:c>
      <x:c r="E114" t="str">
        <x:v>Accuracy Assessment</x:v>
      </x:c>
      <x:c r="F114" t="str">
        <x:v>HD Seaviewer Drop Camera</x:v>
      </x:c>
      <x:c r="G114" t="str">
        <x:v>AA2017_119</x:v>
      </x:c>
      <x:c r="H114" s="28" t="n">
        <x:v>42765</x:v>
      </x:c>
      <x:c r="I114" t="str">
        <x:v>11:42:17</x:v>
      </x:c>
      <x:c r="J114" t="n">
        <x:v>2017</x:v>
      </x:c>
      <x:c r="K114" t="n">
        <x:v>18.19248038</x:v>
      </x:c>
      <x:c r="L114" t="n">
        <x:v>-65.07974973</x:v>
      </x:c>
      <x:c r="M114" t="n">
        <x:v>36.698</x:v>
      </x:c>
      <x:c r="N114" t="str">
        <x:v>https://nccospublicstor.blob.core.windows.net/biomapper/usviinsularshelf2017/videos/low/AA2017_119.mp4</x:v>
      </x:c>
      <x:c r="O114" t="n">
        <x:v>1</x:v>
      </x:c>
      <x:c r="P114" t="n">
        <x:v>0</x:v>
      </x:c>
      <x:c r="Q114" t="n">
        <x:v>0</x:v>
      </x:c>
      <x:c r="R114" t="n">
        <x:v>0</x:v>
      </x:c>
      <x:c r="S114" t="n">
        <x:v>1</x:v>
      </x:c>
      <x:c r="T114" t="n">
        <x:v>0</x:v>
      </x:c>
      <x:c r="U114" t="n">
        <x:v>1</x:v>
      </x:c>
      <x:c r="V114" t="n">
        <x:v>1</x:v>
      </x:c>
      <x:c r="W114" t="n">
        <x:v>0</x:v>
      </x:c>
      <x:c r="X114" t="n">
        <x:v>0</x:v>
      </x:c>
      <x:c r="Y114" t="n">
        <x:v>0</x:v>
      </x:c>
      <x:c r="Z114" t="n">
        <x:v>1</x:v>
      </x:c>
      <x:c r="AA114" t="n">
        <x:v>3</x:v>
      </x:c>
      <x:c r="AB114" t="str">
        <x:v>Pass</x:v>
      </x:c>
      <x:c r="AC114" t="str"/>
      <x:c r="AD114" t="str"/>
    </x:row>
    <x:row r="115">
      <x:c r="A115" t="str">
        <x:v>REC0114</x:v>
      </x:c>
      <x:c r="B115" t="n">
        <x:v>113</x:v>
      </x:c>
      <x:c r="C115" t="str">
        <x:v>St. Thomas, USVI</x:v>
      </x:c>
      <x:c r="D115" t="str">
        <x:v>AA</x:v>
      </x:c>
      <x:c r="E115" t="str">
        <x:v>Accuracy Assessment</x:v>
      </x:c>
      <x:c r="F115" t="str">
        <x:v>HD Seaviewer Drop Camera</x:v>
      </x:c>
      <x:c r="G115" t="str">
        <x:v>AA2017_120</x:v>
      </x:c>
      <x:c r="H115" s="28" t="n">
        <x:v>42765</x:v>
      </x:c>
      <x:c r="I115" t="str">
        <x:v>11:32:35</x:v>
      </x:c>
      <x:c r="J115" t="n">
        <x:v>2017</x:v>
      </x:c>
      <x:c r="K115" t="n">
        <x:v>18.20020567</x:v>
      </x:c>
      <x:c r="L115" t="n">
        <x:v>-65.07779319</x:v>
      </x:c>
      <x:c r="M115" t="n">
        <x:v>41.677</x:v>
      </x:c>
      <x:c r="N115" t="str">
        <x:v>https://nccospublicstor.blob.core.windows.net/biomapper/usviinsularshelf2017/videos/low/AA2017_120.mp4</x:v>
      </x:c>
      <x:c r="O115" t="n">
        <x:v>1</x:v>
      </x:c>
      <x:c r="P115" t="n">
        <x:v>0</x:v>
      </x:c>
      <x:c r="Q115" t="n">
        <x:v>0</x:v>
      </x:c>
      <x:c r="R115" t="n">
        <x:v>0</x:v>
      </x:c>
      <x:c r="S115" t="n">
        <x:v>1</x:v>
      </x:c>
      <x:c r="T115" t="n">
        <x:v>0</x:v>
      </x:c>
      <x:c r="U115" t="n">
        <x:v>1</x:v>
      </x:c>
      <x:c r="V115" t="n">
        <x:v>1</x:v>
      </x:c>
      <x:c r="W115" t="n">
        <x:v>0</x:v>
      </x:c>
      <x:c r="X115" t="n">
        <x:v>0</x:v>
      </x:c>
      <x:c r="Y115" t="n">
        <x:v>0</x:v>
      </x:c>
      <x:c r="Z115" t="n">
        <x:v>1</x:v>
      </x:c>
      <x:c r="AA115" t="n">
        <x:v>3</x:v>
      </x:c>
      <x:c r="AB115" t="str">
        <x:v>Pass</x:v>
      </x:c>
      <x:c r="AC115" t="str"/>
      <x:c r="AD115" t="str"/>
    </x:row>
    <x:row r="116">
      <x:c r="A116" t="str">
        <x:v>REC0115</x:v>
      </x:c>
      <x:c r="B116" t="n">
        <x:v>114</x:v>
      </x:c>
      <x:c r="C116" t="str">
        <x:v>St. Thomas, USVI</x:v>
      </x:c>
      <x:c r="D116" t="str">
        <x:v>AA</x:v>
      </x:c>
      <x:c r="E116" t="str">
        <x:v>Accuracy Assessment</x:v>
      </x:c>
      <x:c r="F116" t="str">
        <x:v>HD Seaviewer Drop Camera</x:v>
      </x:c>
      <x:c r="G116" t="str">
        <x:v>AA2017_121</x:v>
      </x:c>
      <x:c r="H116" s="28" t="n">
        <x:v>42767</x:v>
      </x:c>
      <x:c r="I116" t="str">
        <x:v>08:53:04</x:v>
      </x:c>
      <x:c r="J116" t="n">
        <x:v>2017</x:v>
      </x:c>
      <x:c r="K116" t="n">
        <x:v>18.25322622</x:v>
      </x:c>
      <x:c r="L116" t="n">
        <x:v>-65.07816758</x:v>
      </x:c>
      <x:c r="M116" t="n">
        <x:v>33.694</x:v>
      </x:c>
      <x:c r="N116" t="str">
        <x:v>https://nccospublicstor.blob.core.windows.net/biomapper/usviinsularshelf2017/videos/low/AA2017_121.mp4</x:v>
      </x:c>
      <x:c r="O116" t="n">
        <x:v>1</x:v>
      </x:c>
      <x:c r="P116" t="n">
        <x:v>0</x:v>
      </x:c>
      <x:c r="Q116" t="n">
        <x:v>0</x:v>
      </x:c>
      <x:c r="R116" t="n">
        <x:v>1</x:v>
      </x:c>
      <x:c r="S116" t="n">
        <x:v>1</x:v>
      </x:c>
      <x:c r="T116" t="n">
        <x:v>1</x:v>
      </x:c>
      <x:c r="U116" t="n">
        <x:v>1</x:v>
      </x:c>
      <x:c r="V116" t="n">
        <x:v>1</x:v>
      </x:c>
      <x:c r="W116" t="n">
        <x:v>0</x:v>
      </x:c>
      <x:c r="X116" t="n">
        <x:v>0</x:v>
      </x:c>
      <x:c r="Y116" t="n">
        <x:v>0</x:v>
      </x:c>
      <x:c r="Z116" t="n">
        <x:v>2</x:v>
      </x:c>
      <x:c r="AA116" t="n">
        <x:v>4</x:v>
      </x:c>
      <x:c r="AB116" t="str">
        <x:v>Pass</x:v>
      </x:c>
      <x:c r="AC116" t="str"/>
      <x:c r="AD116" t="str">
        <x:v>Spur and groove habitat</x:v>
      </x:c>
    </x:row>
    <x:row r="117">
      <x:c r="A117" t="str">
        <x:v>REC0116</x:v>
      </x:c>
      <x:c r="B117" t="n">
        <x:v>115</x:v>
      </x:c>
      <x:c r="C117" t="str">
        <x:v>St. Thomas, USVI</x:v>
      </x:c>
      <x:c r="D117" t="str">
        <x:v>AA</x:v>
      </x:c>
      <x:c r="E117" t="str">
        <x:v>Accuracy Assessment</x:v>
      </x:c>
      <x:c r="F117" t="str">
        <x:v>HD Seaviewer Drop Camera</x:v>
      </x:c>
      <x:c r="G117" t="str">
        <x:v>AA2017_122</x:v>
      </x:c>
      <x:c r="H117" s="28" t="n">
        <x:v>42767</x:v>
      </x:c>
      <x:c r="I117" t="str">
        <x:v>08:28:41</x:v>
      </x:c>
      <x:c r="J117" t="n">
        <x:v>2017</x:v>
      </x:c>
      <x:c r="K117" t="n">
        <x:v>18.26656913</x:v>
      </x:c>
      <x:c r="L117" t="n">
        <x:v>-65.0761226</x:v>
      </x:c>
      <x:c r="M117" t="n">
        <x:v>34.465</x:v>
      </x:c>
      <x:c r="N117" t="str">
        <x:v>https://nccospublicstor.blob.core.windows.net/biomapper/usviinsularshelf2017/videos/low/AA2017_122.mp4</x:v>
      </x:c>
      <x:c r="O117" t="n">
        <x:v>0</x:v>
      </x:c>
      <x:c r="P117" t="n">
        <x:v>1</x:v>
      </x:c>
      <x:c r="Q117" t="n">
        <x:v>0</x:v>
      </x:c>
      <x:c r="R117" t="n">
        <x:v>1</x:v>
      </x:c>
      <x:c r="S117" t="n">
        <x:v>0</x:v>
      </x:c>
      <x:c r="T117" t="n">
        <x:v>0</x:v>
      </x:c>
      <x:c r="U117" t="n">
        <x:v>0</x:v>
      </x:c>
      <x:c r="V117" t="n">
        <x:v>1</x:v>
      </x:c>
      <x:c r="W117" t="n">
        <x:v>0</x:v>
      </x:c>
      <x:c r="X117" t="n">
        <x:v>0</x:v>
      </x:c>
      <x:c r="Y117" t="n">
        <x:v>0</x:v>
      </x:c>
      <x:c r="Z117" t="n">
        <x:v>2</x:v>
      </x:c>
      <x:c r="AA117" t="n">
        <x:v>1</x:v>
      </x:c>
      <x:c r="AB117" t="str">
        <x:v>Pass</x:v>
      </x:c>
      <x:c r="AC117" t="str"/>
      <x:c r="AD117" t="str"/>
    </x:row>
    <x:row r="118">
      <x:c r="A118" t="str">
        <x:v>REC0117</x:v>
      </x:c>
      <x:c r="B118" t="n">
        <x:v>116</x:v>
      </x:c>
      <x:c r="C118" t="str">
        <x:v>St. Thomas, USVI</x:v>
      </x:c>
      <x:c r="D118" t="str">
        <x:v>AA</x:v>
      </x:c>
      <x:c r="E118" t="str">
        <x:v>Accuracy Assessment</x:v>
      </x:c>
      <x:c r="F118" t="str">
        <x:v>HD Seaviewer Drop Camera</x:v>
      </x:c>
      <x:c r="G118" t="str">
        <x:v>AA2017_123</x:v>
      </x:c>
      <x:c r="H118" s="28" t="n">
        <x:v>42767</x:v>
      </x:c>
      <x:c r="I118" t="str">
        <x:v>10:01:34</x:v>
      </x:c>
      <x:c r="J118" t="n">
        <x:v>2017</x:v>
      </x:c>
      <x:c r="K118" t="n">
        <x:v>18.22092292</x:v>
      </x:c>
      <x:c r="L118" t="n">
        <x:v>-65.07692175</x:v>
      </x:c>
      <x:c r="M118" t="n">
        <x:v>39.735</x:v>
      </x:c>
      <x:c r="N118" t="str">
        <x:v>https://nccospublicstor.blob.core.windows.net/biomapper/usviinsularshelf2017/videos/low/AA2017_123.mp4</x:v>
      </x:c>
      <x:c r="O118" t="n">
        <x:v>1</x:v>
      </x:c>
      <x:c r="P118" t="n">
        <x:v>0</x:v>
      </x:c>
      <x:c r="Q118" t="n">
        <x:v>0</x:v>
      </x:c>
      <x:c r="R118" t="n">
        <x:v>0</x:v>
      </x:c>
      <x:c r="S118" t="n">
        <x:v>1</x:v>
      </x:c>
      <x:c r="T118" t="n">
        <x:v>0</x:v>
      </x:c>
      <x:c r="U118" t="n">
        <x:v>1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1</x:v>
      </x:c>
      <x:c r="AA118" t="n">
        <x:v>2</x:v>
      </x:c>
      <x:c r="AB118" t="str">
        <x:v>Pass</x:v>
      </x:c>
      <x:c r="AC118" t="str"/>
      <x:c r="AD118" t="str">
        <x:v>&lt;1% live hard coral</x:v>
      </x:c>
    </x:row>
    <x:row r="119">
      <x:c r="A119" t="str">
        <x:v>REC0118</x:v>
      </x:c>
      <x:c r="B119" t="n">
        <x:v>117</x:v>
      </x:c>
      <x:c r="C119" t="str">
        <x:v>St. Thomas, USVI</x:v>
      </x:c>
      <x:c r="D119" t="str">
        <x:v>AA</x:v>
      </x:c>
      <x:c r="E119" t="str">
        <x:v>Accuracy Assessment</x:v>
      </x:c>
      <x:c r="F119" t="str">
        <x:v>HD Seaviewer Drop Camera</x:v>
      </x:c>
      <x:c r="G119" t="str">
        <x:v>AA2017_124</x:v>
      </x:c>
      <x:c r="H119" s="28" t="n">
        <x:v>42767</x:v>
      </x:c>
      <x:c r="I119" t="str">
        <x:v>10:11:22</x:v>
      </x:c>
      <x:c r="J119" t="n">
        <x:v>2017</x:v>
      </x:c>
      <x:c r="K119" t="n">
        <x:v>18.23573633</x:v>
      </x:c>
      <x:c r="L119" t="n">
        <x:v>-65.0762271</x:v>
      </x:c>
      <x:c r="M119" t="n">
        <x:v>31.491</x:v>
      </x:c>
      <x:c r="N119" t="str">
        <x:v>https://nccospublicstor.blob.core.windows.net/biomapper/usviinsularshelf2017/videos/low/AA2017_124.mp4</x:v>
      </x:c>
      <x:c r="O119" t="n">
        <x:v>1</x:v>
      </x:c>
      <x:c r="P119" t="n">
        <x:v>0</x:v>
      </x:c>
      <x:c r="Q119" t="n">
        <x:v>0</x:v>
      </x:c>
      <x:c r="R119" t="n">
        <x:v>0</x:v>
      </x:c>
      <x:c r="S119" t="n">
        <x:v>1</x:v>
      </x:c>
      <x:c r="T119" t="n">
        <x:v>0</x:v>
      </x:c>
      <x:c r="U119" t="n">
        <x:v>1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1</x:v>
      </x:c>
      <x:c r="AA119" t="n">
        <x:v>2</x:v>
      </x:c>
      <x:c r="AB119" t="str">
        <x:v>Pass</x:v>
      </x:c>
      <x:c r="AC119" t="str"/>
      <x:c r="AD119" t="str">
        <x:v>30-40% live hard coral cover</x:v>
      </x:c>
    </x:row>
    <x:row r="120">
      <x:c r="A120" t="str">
        <x:v>REC0119</x:v>
      </x:c>
      <x:c r="B120" t="n">
        <x:v>118</x:v>
      </x:c>
      <x:c r="C120" t="str">
        <x:v>St. Thomas, USVI</x:v>
      </x:c>
      <x:c r="D120" t="str">
        <x:v>AA</x:v>
      </x:c>
      <x:c r="E120" t="str">
        <x:v>Accuracy Assessment</x:v>
      </x:c>
      <x:c r="F120" t="str">
        <x:v>HD Seaviewer Drop Camera</x:v>
      </x:c>
      <x:c r="G120" t="str">
        <x:v>AA2017_125</x:v>
      </x:c>
      <x:c r="H120" s="28" t="n">
        <x:v>42765</x:v>
      </x:c>
      <x:c r="I120" t="str">
        <x:v>11:50:23</x:v>
      </x:c>
      <x:c r="J120" t="n">
        <x:v>2017</x:v>
      </x:c>
      <x:c r="K120" t="n">
        <x:v>18.18652864</x:v>
      </x:c>
      <x:c r="L120" t="n">
        <x:v>-65.07535916</x:v>
      </x:c>
      <x:c r="M120" t="n">
        <x:v>29.899</x:v>
      </x:c>
      <x:c r="N120" t="str">
        <x:v>https://nccospublicstor.blob.core.windows.net/biomapper/usviinsularshelf2017/videos/low/AA2017_125.mp4</x:v>
      </x:c>
      <x:c r="O120" t="n">
        <x:v>1</x:v>
      </x:c>
      <x:c r="P120" t="n">
        <x:v>0</x:v>
      </x:c>
      <x:c r="Q120" t="n">
        <x:v>0</x:v>
      </x:c>
      <x:c r="R120" t="n">
        <x:v>0</x:v>
      </x:c>
      <x:c r="S120" t="n">
        <x:v>1</x:v>
      </x:c>
      <x:c r="T120" t="n">
        <x:v>0</x:v>
      </x:c>
      <x:c r="U120" t="n">
        <x:v>1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1</x:v>
      </x:c>
      <x:c r="AA120" t="n">
        <x:v>2</x:v>
      </x:c>
      <x:c r="AB120" t="str">
        <x:v>Pass</x:v>
      </x:c>
      <x:c r="AC120" t="str"/>
      <x:c r="AD120" t="str"/>
    </x:row>
    <x:row r="121">
      <x:c r="A121" t="str">
        <x:v>REC0120</x:v>
      </x:c>
      <x:c r="B121" t="n">
        <x:v>119</x:v>
      </x:c>
      <x:c r="C121" t="str">
        <x:v>St. Thomas, USVI</x:v>
      </x:c>
      <x:c r="D121" t="str">
        <x:v>AA</x:v>
      </x:c>
      <x:c r="E121" t="str">
        <x:v>Accuracy Assessment</x:v>
      </x:c>
      <x:c r="F121" t="str">
        <x:v>HD Seaviewer Drop Camera</x:v>
      </x:c>
      <x:c r="G121" t="str">
        <x:v>AA2017_126</x:v>
      </x:c>
      <x:c r="H121" s="28" t="n">
        <x:v>42767</x:v>
      </x:c>
      <x:c r="I121" t="str">
        <x:v>08:43:41</x:v>
      </x:c>
      <x:c r="J121" t="n">
        <x:v>2017</x:v>
      </x:c>
      <x:c r="K121" t="n">
        <x:v>18.25965699</x:v>
      </x:c>
      <x:c r="L121" t="n">
        <x:v>-65.07266197</x:v>
      </x:c>
      <x:c r="M121" t="n">
        <x:v>34.593</x:v>
      </x:c>
      <x:c r="N121" t="str">
        <x:v>https://nccospublicstor.blob.core.windows.net/biomapper/usviinsularshelf2017/videos/low/AA2017_126.mp4</x:v>
      </x:c>
      <x:c r="O121" t="n">
        <x:v>0</x:v>
      </x:c>
      <x:c r="P121" t="n">
        <x:v>0</x:v>
      </x:c>
      <x:c r="Q121" t="n">
        <x:v>1</x:v>
      </x:c>
      <x:c r="R121" t="n">
        <x:v>0</x:v>
      </x:c>
      <x:c r="S121" t="n">
        <x:v>0</x:v>
      </x:c>
      <x:c r="T121" t="n">
        <x:v>0</x:v>
      </x:c>
      <x:c r="U121" t="n">
        <x:v>1</x:v>
      </x:c>
      <x:c r="V121" t="n">
        <x:v>1</x:v>
      </x:c>
      <x:c r="W121" t="n">
        <x:v>0</x:v>
      </x:c>
      <x:c r="X121" t="n">
        <x:v>0</x:v>
      </x:c>
      <x:c r="Y121" t="n">
        <x:v>0</x:v>
      </x:c>
      <x:c r="Z121" t="n">
        <x:v>1</x:v>
      </x:c>
      <x:c r="AA121" t="n">
        <x:v>2</x:v>
      </x:c>
      <x:c r="AB121" t="str">
        <x:v>Pass</x:v>
      </x:c>
      <x:c r="AC121" t="str"/>
      <x:c r="AD121" t="str"/>
    </x:row>
    <x:row r="122">
      <x:c r="A122" t="str">
        <x:v>REC0121</x:v>
      </x:c>
      <x:c r="B122" t="n">
        <x:v>120</x:v>
      </x:c>
      <x:c r="C122" t="str">
        <x:v>St. Thomas, USVI</x:v>
      </x:c>
      <x:c r="D122" t="str">
        <x:v>AA</x:v>
      </x:c>
      <x:c r="E122" t="str">
        <x:v>Accuracy Assessment</x:v>
      </x:c>
      <x:c r="F122" t="str">
        <x:v>HD Seaviewer Drop Camera</x:v>
      </x:c>
      <x:c r="G122" t="str">
        <x:v>AA2017_128</x:v>
      </x:c>
      <x:c r="H122" s="28" t="n">
        <x:v>42767</x:v>
      </x:c>
      <x:c r="I122" t="str">
        <x:v>09:05:23</x:v>
      </x:c>
      <x:c r="J122" t="n">
        <x:v>2017</x:v>
      </x:c>
      <x:c r="K122" t="n">
        <x:v>18.25221164</x:v>
      </x:c>
      <x:c r="L122" t="n">
        <x:v>-65.06814883</x:v>
      </x:c>
      <x:c r="M122" t="n">
        <x:v>35.216</x:v>
      </x:c>
      <x:c r="N122" t="str">
        <x:v>https://nccospublicstor.blob.core.windows.net/biomapper/usviinsularshelf2017/videos/low/AA2017_128.mp4</x:v>
      </x:c>
      <x:c r="O122" t="n">
        <x:v>0</x:v>
      </x:c>
      <x:c r="P122" t="n">
        <x:v>0</x:v>
      </x:c>
      <x:c r="Q122" t="n">
        <x:v>1</x:v>
      </x:c>
      <x:c r="R122" t="n">
        <x:v>0</x:v>
      </x:c>
      <x:c r="S122" t="n">
        <x:v>1</x:v>
      </x:c>
      <x:c r="T122" t="n">
        <x:v>0</x:v>
      </x:c>
      <x:c r="U122" t="n">
        <x:v>1</x:v>
      </x:c>
      <x:c r="V122" t="n">
        <x:v>1</x:v>
      </x:c>
      <x:c r="W122" t="n">
        <x:v>0</x:v>
      </x:c>
      <x:c r="X122" t="n">
        <x:v>0</x:v>
      </x:c>
      <x:c r="Y122" t="n">
        <x:v>0</x:v>
      </x:c>
      <x:c r="Z122" t="n">
        <x:v>1</x:v>
      </x:c>
      <x:c r="AA122" t="n">
        <x:v>3</x:v>
      </x:c>
      <x:c r="AB122" t="str">
        <x:v>Pass</x:v>
      </x:c>
      <x:c r="AC122" t="str"/>
      <x:c r="AD122" t="str"/>
    </x:row>
    <x:row r="123">
      <x:c r="A123" t="str">
        <x:v>REC0122</x:v>
      </x:c>
      <x:c r="B123" t="n">
        <x:v>121</x:v>
      </x:c>
      <x:c r="C123" t="str">
        <x:v>St. Thomas, USVI</x:v>
      </x:c>
      <x:c r="D123" t="str">
        <x:v>AA</x:v>
      </x:c>
      <x:c r="E123" t="str">
        <x:v>Accuracy Assessment</x:v>
      </x:c>
      <x:c r="F123" t="str">
        <x:v>HD Seaviewer Drop Camera</x:v>
      </x:c>
      <x:c r="G123" t="str">
        <x:v>AA2017_129</x:v>
      </x:c>
      <x:c r="H123" s="28" t="n">
        <x:v>42767</x:v>
      </x:c>
      <x:c r="I123" t="str">
        <x:v>09:52:46</x:v>
      </x:c>
      <x:c r="J123" t="n">
        <x:v>2017</x:v>
      </x:c>
      <x:c r="K123" t="n">
        <x:v>18.21927735</x:v>
      </x:c>
      <x:c r="L123" t="n">
        <x:v>-65.06874639</x:v>
      </x:c>
      <x:c r="M123" t="n">
        <x:v>41.572</x:v>
      </x:c>
      <x:c r="N123" t="str">
        <x:v>https://nccospublicstor.blob.core.windows.net/biomapper/usviinsularshelf2017/videos/low/AA2017_129.mp4</x:v>
      </x:c>
      <x:c r="O123" t="n">
        <x:v>0</x:v>
      </x:c>
      <x:c r="P123" t="n">
        <x:v>0</x:v>
      </x:c>
      <x:c r="Q123" t="n">
        <x:v>0</x:v>
      </x:c>
      <x:c r="R123" t="n">
        <x:v>1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1</x:v>
      </x:c>
      <x:c r="AA123" t="n">
        <x:v>0</x:v>
      </x:c>
      <x:c r="AB123" t="str">
        <x:v>Pass</x:v>
      </x:c>
      <x:c r="AC123" t="str"/>
      <x:c r="AD123" t="str">
        <x:v>Patch reef habitat</x:v>
      </x:c>
    </x:row>
    <x:row r="124">
      <x:c r="A124" t="str">
        <x:v>REC0123</x:v>
      </x:c>
      <x:c r="B124" t="n">
        <x:v>122</x:v>
      </x:c>
      <x:c r="C124" t="str">
        <x:v>St. Thomas, USVI</x:v>
      </x:c>
      <x:c r="D124" t="str">
        <x:v>AA</x:v>
      </x:c>
      <x:c r="E124" t="str">
        <x:v>Accuracy Assessment</x:v>
      </x:c>
      <x:c r="F124" t="str">
        <x:v>HD Seaviewer Drop Camera</x:v>
      </x:c>
      <x:c r="G124" t="str">
        <x:v>AA2017_130</x:v>
      </x:c>
      <x:c r="H124" s="28" t="n">
        <x:v>42767</x:v>
      </x:c>
      <x:c r="I124" t="str">
        <x:v>09:29:00</x:v>
      </x:c>
      <x:c r="J124" t="n">
        <x:v>2017</x:v>
      </x:c>
      <x:c r="K124" t="n">
        <x:v>18.24173721</x:v>
      </x:c>
      <x:c r="L124" t="n">
        <x:v>-65.06428585</x:v>
      </x:c>
      <x:c r="M124" t="n">
        <x:v>36.812</x:v>
      </x:c>
      <x:c r="N124" t="str">
        <x:v>https://nccospublicstor.blob.core.windows.net/biomapper/usviinsularshelf2017/videos/low/AA2017_130.mp4</x:v>
      </x:c>
      <x:c r="O124" t="n">
        <x:v>0</x:v>
      </x:c>
      <x:c r="P124" t="n">
        <x:v>0</x:v>
      </x:c>
      <x:c r="Q124" t="n">
        <x:v>0</x:v>
      </x:c>
      <x:c r="R124" t="n">
        <x:v>1</x:v>
      </x:c>
      <x:c r="S124" t="n">
        <x:v>0</x:v>
      </x:c>
      <x:c r="T124" t="n">
        <x:v>0</x:v>
      </x:c>
      <x:c r="U124" t="n">
        <x:v>0</x:v>
      </x:c>
      <x:c r="V124" t="n">
        <x:v>1</x:v>
      </x:c>
      <x:c r="W124" t="n">
        <x:v>0</x:v>
      </x:c>
      <x:c r="X124" t="n">
        <x:v>0</x:v>
      </x:c>
      <x:c r="Y124" t="n">
        <x:v>0</x:v>
      </x:c>
      <x:c r="Z124" t="n">
        <x:v>1</x:v>
      </x:c>
      <x:c r="AA124" t="n">
        <x:v>1</x:v>
      </x:c>
      <x:c r="AB124" t="str">
        <x:v>Pass</x:v>
      </x:c>
      <x:c r="AC124" t="str"/>
      <x:c r="AD124" t="str">
        <x:v>Small patch reef present</x:v>
      </x:c>
    </x:row>
    <x:row r="125">
      <x:c r="A125" t="str">
        <x:v>REC0124</x:v>
      </x:c>
      <x:c r="B125" t="n">
        <x:v>123</x:v>
      </x:c>
      <x:c r="C125" t="str">
        <x:v>St. Thomas, USVI</x:v>
      </x:c>
      <x:c r="D125" t="str">
        <x:v>AA</x:v>
      </x:c>
      <x:c r="E125" t="str">
        <x:v>Accuracy Assessment</x:v>
      </x:c>
      <x:c r="F125" t="str">
        <x:v>HD Seaviewer Drop Camera</x:v>
      </x:c>
      <x:c r="G125" t="str">
        <x:v>AA2017_131</x:v>
      </x:c>
      <x:c r="H125" s="28" t="n">
        <x:v>42767</x:v>
      </x:c>
      <x:c r="I125" t="str">
        <x:v>08:01:40</x:v>
      </x:c>
      <x:c r="J125" t="n">
        <x:v>2017</x:v>
      </x:c>
      <x:c r="K125" t="n">
        <x:v>18.28521595</x:v>
      </x:c>
      <x:c r="L125" t="n">
        <x:v>-65.06499814</x:v>
      </x:c>
      <x:c r="M125" t="n">
        <x:v>32.906</x:v>
      </x:c>
      <x:c r="N125" t="str">
        <x:v>https://nccospublicstor.blob.core.windows.net/biomapper/usviinsularshelf2017/videos/low/AA2017_131.mp4</x:v>
      </x:c>
      <x:c r="O125" t="n">
        <x:v>0</x:v>
      </x:c>
      <x:c r="P125" t="n">
        <x:v>0</x:v>
      </x:c>
      <x:c r="Q125" t="n">
        <x:v>1</x:v>
      </x:c>
      <x:c r="R125" t="n">
        <x:v>1</x:v>
      </x:c>
      <x:c r="S125" t="n">
        <x:v>0</x:v>
      </x:c>
      <x:c r="T125" t="n">
        <x:v>0</x:v>
      </x:c>
      <x:c r="U125" t="n">
        <x:v>1</x:v>
      </x:c>
      <x:c r="V125" t="n">
        <x:v>1</x:v>
      </x:c>
      <x:c r="W125" t="n">
        <x:v>0</x:v>
      </x:c>
      <x:c r="X125" t="n">
        <x:v>0</x:v>
      </x:c>
      <x:c r="Y125" t="n">
        <x:v>0</x:v>
      </x:c>
      <x:c r="Z125" t="n">
        <x:v>2</x:v>
      </x:c>
      <x:c r="AA125" t="n">
        <x:v>2</x:v>
      </x:c>
      <x:c r="AB125" t="str">
        <x:v>Pass</x:v>
      </x:c>
      <x:c r="AC125" t="str"/>
      <x:c r="AD125" t="str"/>
    </x:row>
    <x:row r="126">
      <x:c r="A126" t="str">
        <x:v>REC0125</x:v>
      </x:c>
      <x:c r="B126" t="n">
        <x:v>124</x:v>
      </x:c>
      <x:c r="C126" t="str">
        <x:v>St. Thomas, USVI</x:v>
      </x:c>
      <x:c r="D126" t="str">
        <x:v>AA</x:v>
      </x:c>
      <x:c r="E126" t="str">
        <x:v>Accuracy Assessment</x:v>
      </x:c>
      <x:c r="F126" t="str">
        <x:v>HD Seaviewer Drop Camera</x:v>
      </x:c>
      <x:c r="G126" t="str">
        <x:v>AA2017_132</x:v>
      </x:c>
      <x:c r="H126" s="28" t="n">
        <x:v>42767</x:v>
      </x:c>
      <x:c r="I126" t="str">
        <x:v>08:17:51</x:v>
      </x:c>
      <x:c r="J126" t="n">
        <x:v>2017</x:v>
      </x:c>
      <x:c r="K126" t="n">
        <x:v>18.26849418</x:v>
      </x:c>
      <x:c r="L126" t="n">
        <x:v>-65.06317546</x:v>
      </x:c>
      <x:c r="M126" t="n">
        <x:v>34.448</x:v>
      </x:c>
      <x:c r="N126" t="str">
        <x:v>https://nccospublicstor.blob.core.windows.net/biomapper/usviinsularshelf2017/videos/low/AA2017_132.mp4</x:v>
      </x:c>
      <x:c r="O126" t="n">
        <x:v>0</x:v>
      </x:c>
      <x:c r="P126" t="n">
        <x:v>0</x:v>
      </x:c>
      <x:c r="Q126" t="n">
        <x:v>1</x:v>
      </x:c>
      <x:c r="R126" t="n">
        <x:v>0</x:v>
      </x:c>
      <x:c r="S126" t="n">
        <x:v>0</x:v>
      </x:c>
      <x:c r="T126" t="n">
        <x:v>0</x:v>
      </x:c>
      <x:c r="U126" t="n">
        <x:v>1</x:v>
      </x:c>
      <x:c r="V126" t="n">
        <x:v>1</x:v>
      </x:c>
      <x:c r="W126" t="n">
        <x:v>0</x:v>
      </x:c>
      <x:c r="X126" t="n">
        <x:v>0</x:v>
      </x:c>
      <x:c r="Y126" t="n">
        <x:v>0</x:v>
      </x:c>
      <x:c r="Z126" t="n">
        <x:v>1</x:v>
      </x:c>
      <x:c r="AA126" t="n">
        <x:v>2</x:v>
      </x:c>
      <x:c r="AB126" t="str">
        <x:v>Pass</x:v>
      </x:c>
      <x:c r="AC126" t="str"/>
      <x:c r="AD126" t="str"/>
    </x:row>
    <x:row r="127">
      <x:c r="A127" t="str">
        <x:v>REC0126</x:v>
      </x:c>
      <x:c r="B127" t="n">
        <x:v>125</x:v>
      </x:c>
      <x:c r="C127" t="str">
        <x:v>St. Thomas, USVI</x:v>
      </x:c>
      <x:c r="D127" t="str">
        <x:v>AA</x:v>
      </x:c>
      <x:c r="E127" t="str">
        <x:v>Accuracy Assessment</x:v>
      </x:c>
      <x:c r="F127" t="str">
        <x:v>HD Seaviewer Drop Camera</x:v>
      </x:c>
      <x:c r="G127" t="str">
        <x:v>AA2017_133</x:v>
      </x:c>
      <x:c r="H127" s="28" t="n">
        <x:v>42765</x:v>
      </x:c>
      <x:c r="I127" t="str">
        <x:v>11:23:01</x:v>
      </x:c>
      <x:c r="J127" t="n">
        <x:v>2017</x:v>
      </x:c>
      <x:c r="K127" t="n">
        <x:v>18.20305752</x:v>
      </x:c>
      <x:c r="L127" t="n">
        <x:v>-65.06206997</x:v>
      </x:c>
      <x:c r="M127" t="n">
        <x:v>37.638</x:v>
      </x:c>
      <x:c r="N127" t="str">
        <x:v>https://nccospublicstor.blob.core.windows.net/biomapper/usviinsularshelf2017/videos/low/AA2017_133.mp4</x:v>
      </x:c>
      <x:c r="O127" t="n">
        <x:v>1</x:v>
      </x:c>
      <x:c r="P127" t="n">
        <x:v>0</x:v>
      </x:c>
      <x:c r="Q127" t="n">
        <x:v>0</x:v>
      </x:c>
      <x:c r="R127" t="n">
        <x:v>0</x:v>
      </x:c>
      <x:c r="S127" t="n">
        <x:v>1</x:v>
      </x:c>
      <x:c r="T127" t="n">
        <x:v>0</x:v>
      </x:c>
      <x:c r="U127" t="n">
        <x:v>1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1</x:v>
      </x:c>
      <x:c r="AA127" t="n">
        <x:v>2</x:v>
      </x:c>
      <x:c r="AB127" t="str">
        <x:v>Pass</x:v>
      </x:c>
      <x:c r="AC127" t="str"/>
      <x:c r="AD127" t="str"/>
    </x:row>
    <x:row r="128">
      <x:c r="A128" t="str">
        <x:v>REC0127</x:v>
      </x:c>
      <x:c r="B128" t="n">
        <x:v>126</x:v>
      </x:c>
      <x:c r="C128" t="str">
        <x:v>St. Thomas, USVI</x:v>
      </x:c>
      <x:c r="D128" t="str">
        <x:v>AA</x:v>
      </x:c>
      <x:c r="E128" t="str">
        <x:v>Accuracy Assessment</x:v>
      </x:c>
      <x:c r="F128" t="str">
        <x:v>HD Seaviewer Drop Camera</x:v>
      </x:c>
      <x:c r="G128" t="str">
        <x:v>AA2017_134</x:v>
      </x:c>
      <x:c r="H128" s="28" t="n">
        <x:v>42767</x:v>
      </x:c>
      <x:c r="I128" t="str">
        <x:v>09:19:52</x:v>
      </x:c>
      <x:c r="J128" t="n">
        <x:v>2017</x:v>
      </x:c>
      <x:c r="K128" t="n">
        <x:v>18.25107616</x:v>
      </x:c>
      <x:c r="L128" t="n">
        <x:v>-65.0623725</x:v>
      </x:c>
      <x:c r="M128" t="n">
        <x:v>35.746</x:v>
      </x:c>
      <x:c r="N128" t="str">
        <x:v>https://nccospublicstor.blob.core.windows.net/biomapper/usviinsularshelf2017/videos/low/AA2017_134.mp4</x:v>
      </x:c>
      <x:c r="O128" t="n">
        <x:v>0</x:v>
      </x:c>
      <x:c r="P128" t="n">
        <x:v>0</x:v>
      </x:c>
      <x:c r="Q128" t="n">
        <x:v>1</x:v>
      </x:c>
      <x:c r="R128" t="n">
        <x:v>0</x:v>
      </x:c>
      <x:c r="S128" t="n">
        <x:v>0</x:v>
      </x:c>
      <x:c r="T128" t="n">
        <x:v>0</x:v>
      </x:c>
      <x:c r="U128" t="n">
        <x:v>1</x:v>
      </x:c>
      <x:c r="V128" t="n">
        <x:v>1</x:v>
      </x:c>
      <x:c r="W128" t="n">
        <x:v>0</x:v>
      </x:c>
      <x:c r="X128" t="n">
        <x:v>0</x:v>
      </x:c>
      <x:c r="Y128" t="n">
        <x:v>0</x:v>
      </x:c>
      <x:c r="Z128" t="n">
        <x:v>1</x:v>
      </x:c>
      <x:c r="AA128" t="n">
        <x:v>2</x:v>
      </x:c>
      <x:c r="AB128" t="str">
        <x:v>Pass</x:v>
      </x:c>
      <x:c r="AC128" t="str"/>
      <x:c r="AD128" t="str"/>
    </x:row>
    <x:row r="129">
      <x:c r="A129" t="str">
        <x:v>REC0128</x:v>
      </x:c>
      <x:c r="B129" t="n">
        <x:v>127</x:v>
      </x:c>
      <x:c r="C129" t="str">
        <x:v>St. Thomas, USVI</x:v>
      </x:c>
      <x:c r="D129" t="str">
        <x:v>AA</x:v>
      </x:c>
      <x:c r="E129" t="str">
        <x:v>Accuracy Assessment</x:v>
      </x:c>
      <x:c r="F129" t="str">
        <x:v>HD Seaviewer Drop Camera</x:v>
      </x:c>
      <x:c r="G129" t="str">
        <x:v>AA2017_135</x:v>
      </x:c>
      <x:c r="H129" s="28" t="n">
        <x:v>42767</x:v>
      </x:c>
      <x:c r="I129" t="str">
        <x:v>09:40:48</x:v>
      </x:c>
      <x:c r="J129" t="n">
        <x:v>2017</x:v>
      </x:c>
      <x:c r="K129" t="n">
        <x:v>18.23013945</x:v>
      </x:c>
      <x:c r="L129" t="n">
        <x:v>-65.061275</x:v>
      </x:c>
      <x:c r="M129" t="n">
        <x:v>39.798</x:v>
      </x:c>
      <x:c r="N129" t="str">
        <x:v>https://nccospublicstor.blob.core.windows.net/biomapper/usviinsularshelf2017/videos/low/AA2017_135.mp4</x:v>
      </x:c>
      <x:c r="O129" t="n">
        <x:v>1</x:v>
      </x:c>
      <x:c r="P129" t="n">
        <x:v>0</x:v>
      </x:c>
      <x:c r="Q129" t="n">
        <x:v>0</x:v>
      </x:c>
      <x:c r="R129" t="n">
        <x:v>1</x:v>
      </x:c>
      <x:c r="S129" t="n">
        <x:v>1</x:v>
      </x:c>
      <x:c r="T129" t="n">
        <x:v>0</x:v>
      </x:c>
      <x:c r="U129" t="n">
        <x:v>1</x:v>
      </x:c>
      <x:c r="V129" t="n">
        <x:v>1</x:v>
      </x:c>
      <x:c r="W129" t="n">
        <x:v>0</x:v>
      </x:c>
      <x:c r="X129" t="n">
        <x:v>0</x:v>
      </x:c>
      <x:c r="Y129" t="n">
        <x:v>0</x:v>
      </x:c>
      <x:c r="Z129" t="n">
        <x:v>2</x:v>
      </x:c>
      <x:c r="AA129" t="n">
        <x:v>3</x:v>
      </x:c>
      <x:c r="AB129" t="str">
        <x:v>Pass</x:v>
      </x:c>
      <x:c r="AC129" t="str"/>
      <x:c r="AD129" t="str">
        <x:v>Spur and groove habitat</x:v>
      </x:c>
    </x:row>
    <x:row r="130">
      <x:c r="A130" t="str">
        <x:v>REC0129</x:v>
      </x:c>
      <x:c r="B130" t="n">
        <x:v>128</x:v>
      </x:c>
      <x:c r="C130" t="str">
        <x:v>St. Thomas, USVI</x:v>
      </x:c>
      <x:c r="D130" t="str">
        <x:v>AA</x:v>
      </x:c>
      <x:c r="E130" t="str">
        <x:v>Accuracy Assessment</x:v>
      </x:c>
      <x:c r="F130" t="str">
        <x:v>HD Seaviewer Drop Camera</x:v>
      </x:c>
      <x:c r="G130" t="str">
        <x:v>AA2017_136</x:v>
      </x:c>
      <x:c r="H130" s="28" t="n">
        <x:v>42769</x:v>
      </x:c>
      <x:c r="I130" t="str">
        <x:v>09:47:06</x:v>
      </x:c>
      <x:c r="J130" t="n">
        <x:v>2017</x:v>
      </x:c>
      <x:c r="K130" t="n">
        <x:v>18.25427898</x:v>
      </x:c>
      <x:c r="L130" t="n">
        <x:v>-65.05862446</x:v>
      </x:c>
      <x:c r="M130" t="n">
        <x:v>35.748</x:v>
      </x:c>
      <x:c r="N130" t="str">
        <x:v>https://nccospublicstor.blob.core.windows.net/biomapper/usviinsularshelf2017/videos/low/AA2017_136.mp4</x:v>
      </x:c>
      <x:c r="O130" t="n">
        <x:v>0</x:v>
      </x:c>
      <x:c r="P130" t="n">
        <x:v>0</x:v>
      </x:c>
      <x:c r="Q130" t="n">
        <x:v>1</x:v>
      </x:c>
      <x:c r="R130" t="n">
        <x:v>1</x:v>
      </x:c>
      <x:c r="S130" t="n">
        <x:v>0</x:v>
      </x:c>
      <x:c r="T130" t="n">
        <x:v>0</x:v>
      </x:c>
      <x:c r="U130" t="n">
        <x:v>1</x:v>
      </x:c>
      <x:c r="V130" t="n">
        <x:v>1</x:v>
      </x:c>
      <x:c r="W130" t="n">
        <x:v>0</x:v>
      </x:c>
      <x:c r="X130" t="n">
        <x:v>0</x:v>
      </x:c>
      <x:c r="Y130" t="n">
        <x:v>0</x:v>
      </x:c>
      <x:c r="Z130" t="n">
        <x:v>2</x:v>
      </x:c>
      <x:c r="AA130" t="n">
        <x:v>2</x:v>
      </x:c>
      <x:c r="AB130" t="str">
        <x:v>Pass</x:v>
      </x:c>
      <x:c r="AC130" t="str"/>
      <x:c r="AD130" t="str">
        <x:v>patch reef visible on descent</x:v>
      </x:c>
    </x:row>
    <x:row r="131">
      <x:c r="A131" t="str">
        <x:v>REC0130</x:v>
      </x:c>
      <x:c r="B131" t="n">
        <x:v>129</x:v>
      </x:c>
      <x:c r="C131" t="str">
        <x:v>St. Thomas, USVI</x:v>
      </x:c>
      <x:c r="D131" t="str">
        <x:v>AA</x:v>
      </x:c>
      <x:c r="E131" t="str">
        <x:v>Accuracy Assessment</x:v>
      </x:c>
      <x:c r="F131" t="str">
        <x:v>HD Seaviewer Drop Camera</x:v>
      </x:c>
      <x:c r="G131" t="str">
        <x:v>AA2017_137</x:v>
      </x:c>
      <x:c r="H131" s="28" t="n">
        <x:v>42769</x:v>
      </x:c>
      <x:c r="I131" t="str">
        <x:v>09:56:27</x:v>
      </x:c>
      <x:c r="J131" t="n">
        <x:v>2017</x:v>
      </x:c>
      <x:c r="K131" t="n">
        <x:v>18.24391213</x:v>
      </x:c>
      <x:c r="L131" t="n">
        <x:v>-65.05053502</x:v>
      </x:c>
      <x:c r="M131" t="n">
        <x:v>36.367</x:v>
      </x:c>
      <x:c r="N131" t="str">
        <x:v>https://nccospublicstor.blob.core.windows.net/biomapper/usviinsularshelf2017/videos/low/AA2017_137.mp4</x:v>
      </x:c>
      <x:c r="O131" t="n">
        <x:v>1</x:v>
      </x:c>
      <x:c r="P131" t="n">
        <x:v>1</x:v>
      </x:c>
      <x:c r="Q131" t="n">
        <x:v>0</x:v>
      </x:c>
      <x:c r="R131" t="n">
        <x:v>1</x:v>
      </x:c>
      <x:c r="S131" t="n">
        <x:v>1</x:v>
      </x:c>
      <x:c r="T131" t="n">
        <x:v>1</x:v>
      </x:c>
      <x:c r="U131" t="n">
        <x:v>1</x:v>
      </x:c>
      <x:c r="V131" t="n">
        <x:v>1</x:v>
      </x:c>
      <x:c r="W131" t="n">
        <x:v>0</x:v>
      </x:c>
      <x:c r="X131" t="n">
        <x:v>0</x:v>
      </x:c>
      <x:c r="Y131" t="n">
        <x:v>0</x:v>
      </x:c>
      <x:c r="Z131" t="n">
        <x:v>3</x:v>
      </x:c>
      <x:c r="AA131" t="n">
        <x:v>4</x:v>
      </x:c>
      <x:c r="AB131" t="str">
        <x:v>Pass</x:v>
      </x:c>
      <x:c r="AC131" t="str"/>
      <x:c r="AD131" t="str"/>
    </x:row>
    <x:row r="132">
      <x:c r="A132" t="str">
        <x:v>REC0131</x:v>
      </x:c>
      <x:c r="B132" t="n">
        <x:v>130</x:v>
      </x:c>
      <x:c r="C132" t="str">
        <x:v>St. Thomas, USVI</x:v>
      </x:c>
      <x:c r="D132" t="str">
        <x:v>AA</x:v>
      </x:c>
      <x:c r="E132" t="str">
        <x:v>Accuracy Assessment</x:v>
      </x:c>
      <x:c r="F132" t="str">
        <x:v>HD Seaviewer Drop Camera</x:v>
      </x:c>
      <x:c r="G132" t="str">
        <x:v>AA2017_138</x:v>
      </x:c>
      <x:c r="H132" s="28" t="n">
        <x:v>42765</x:v>
      </x:c>
      <x:c r="I132" t="str">
        <x:v>11:13:33</x:v>
      </x:c>
      <x:c r="J132" t="n">
        <x:v>2017</x:v>
      </x:c>
      <x:c r="K132" t="n">
        <x:v>18.20585699</x:v>
      </x:c>
      <x:c r="L132" t="n">
        <x:v>-65.05113617</x:v>
      </x:c>
      <x:c r="M132" t="n">
        <x:v>43.718</x:v>
      </x:c>
      <x:c r="N132" t="str">
        <x:v>https://nccospublicstor.blob.core.windows.net/biomapper/usviinsularshelf2017/videos/low/AA2017_138.mp4</x:v>
      </x:c>
      <x:c r="O132" t="n">
        <x:v>1</x:v>
      </x:c>
      <x:c r="P132" t="n">
        <x:v>0</x:v>
      </x:c>
      <x:c r="Q132" t="n">
        <x:v>0</x:v>
      </x:c>
      <x:c r="R132" t="n">
        <x:v>0</x:v>
      </x:c>
      <x:c r="S132" t="n">
        <x:v>1</x:v>
      </x:c>
      <x:c r="T132" t="n">
        <x:v>0</x:v>
      </x:c>
      <x:c r="U132" t="n">
        <x:v>1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1</x:v>
      </x:c>
      <x:c r="AA132" t="n">
        <x:v>2</x:v>
      </x:c>
      <x:c r="AB132" t="str">
        <x:v>Pass</x:v>
      </x:c>
      <x:c r="AC132" t="str"/>
      <x:c r="AD132" t="str"/>
    </x:row>
    <x:row r="133">
      <x:c r="A133" t="str">
        <x:v>REC0132</x:v>
      </x:c>
      <x:c r="B133" t="n">
        <x:v>131</x:v>
      </x:c>
      <x:c r="C133" t="str">
        <x:v>St. Thomas, USVI</x:v>
      </x:c>
      <x:c r="D133" t="str">
        <x:v>AA</x:v>
      </x:c>
      <x:c r="E133" t="str">
        <x:v>Accuracy Assessment</x:v>
      </x:c>
      <x:c r="F133" t="str">
        <x:v>HD Seaviewer Drop Camera</x:v>
      </x:c>
      <x:c r="G133" t="str">
        <x:v>AA2017_139</x:v>
      </x:c>
      <x:c r="H133" s="28" t="n">
        <x:v>42769</x:v>
      </x:c>
      <x:c r="I133" t="str">
        <x:v>15:04:00</x:v>
      </x:c>
      <x:c r="J133" t="n">
        <x:v>2017</x:v>
      </x:c>
      <x:c r="K133" t="n">
        <x:v>18.28397317</x:v>
      </x:c>
      <x:c r="L133" t="n">
        <x:v>-65.05509973</x:v>
      </x:c>
      <x:c r="M133" t="n">
        <x:v>33.335</x:v>
      </x:c>
      <x:c r="N133" t="str">
        <x:v>https://nccospublicstor.blob.core.windows.net/biomapper/usviinsularshelf2017/videos/low/AA2017_139.mp4</x:v>
      </x:c>
      <x:c r="O133" t="n">
        <x:v>0</x:v>
      </x:c>
      <x:c r="P133" t="n">
        <x:v>0</x:v>
      </x:c>
      <x:c r="Q133" t="n">
        <x:v>1</x:v>
      </x:c>
      <x:c r="R133" t="n">
        <x:v>0</x:v>
      </x:c>
      <x:c r="S133" t="n">
        <x:v>0</x:v>
      </x:c>
      <x:c r="T133" t="n">
        <x:v>0</x:v>
      </x:c>
      <x:c r="U133" t="n">
        <x:v>1</x:v>
      </x:c>
      <x:c r="V133" t="n">
        <x:v>1</x:v>
      </x:c>
      <x:c r="W133" t="n">
        <x:v>0</x:v>
      </x:c>
      <x:c r="X133" t="n">
        <x:v>0</x:v>
      </x:c>
      <x:c r="Y133" t="n">
        <x:v>0</x:v>
      </x:c>
      <x:c r="Z133" t="n">
        <x:v>1</x:v>
      </x:c>
      <x:c r="AA133" t="n">
        <x:v>2</x:v>
      </x:c>
      <x:c r="AB133" t="str">
        <x:v>Pass</x:v>
      </x:c>
      <x:c r="AC133" t="str"/>
      <x:c r="AD133" t="str">
        <x:v>fish trip on descent</x:v>
      </x:c>
    </x:row>
    <x:row r="134">
      <x:c r="A134" t="str">
        <x:v>REC0133</x:v>
      </x:c>
      <x:c r="B134" t="n">
        <x:v>132</x:v>
      </x:c>
      <x:c r="C134" t="str">
        <x:v>St. Thomas, USVI</x:v>
      </x:c>
      <x:c r="D134" t="str">
        <x:v>AA</x:v>
      </x:c>
      <x:c r="E134" t="str">
        <x:v>Accuracy Assessment</x:v>
      </x:c>
      <x:c r="F134" t="str">
        <x:v>HD Seaviewer Drop Camera</x:v>
      </x:c>
      <x:c r="G134" t="str">
        <x:v>AA2017_140</x:v>
      </x:c>
      <x:c r="H134" s="28" t="n">
        <x:v>42769</x:v>
      </x:c>
      <x:c r="I134" t="str">
        <x:v>10:08:10</x:v>
      </x:c>
      <x:c r="J134" t="n">
        <x:v>2017</x:v>
      </x:c>
      <x:c r="K134" t="n">
        <x:v>18.22907612</x:v>
      </x:c>
      <x:c r="L134" t="n">
        <x:v>-65.04831581</x:v>
      </x:c>
      <x:c r="M134" t="n">
        <x:v>40.493</x:v>
      </x:c>
      <x:c r="N134" t="str">
        <x:v>https://nccospublicstor.blob.core.windows.net/biomapper/usviinsularshelf2017/videos/low/AA2017_140.mp4</x:v>
      </x:c>
      <x:c r="O134" t="n">
        <x:v>1</x:v>
      </x:c>
      <x:c r="P134" t="n">
        <x:v>0</x:v>
      </x:c>
      <x:c r="Q134" t="n">
        <x:v>0</x:v>
      </x:c>
      <x:c r="R134" t="n">
        <x:v>1</x:v>
      </x:c>
      <x:c r="S134" t="n">
        <x:v>1</x:v>
      </x:c>
      <x:c r="T134" t="n">
        <x:v>1</x:v>
      </x:c>
      <x:c r="U134" t="n">
        <x:v>1</x:v>
      </x:c>
      <x:c r="V134" t="n">
        <x:v>1</x:v>
      </x:c>
      <x:c r="W134" t="n">
        <x:v>0</x:v>
      </x:c>
      <x:c r="X134" t="n">
        <x:v>0</x:v>
      </x:c>
      <x:c r="Y134" t="n">
        <x:v>0</x:v>
      </x:c>
      <x:c r="Z134" t="n">
        <x:v>2</x:v>
      </x:c>
      <x:c r="AA134" t="n">
        <x:v>4</x:v>
      </x:c>
      <x:c r="AB134" t="str">
        <x:v>Pass</x:v>
      </x:c>
      <x:c r="AC134" t="str"/>
      <x:c r="AD134" t="str">
        <x:v>patch reefs</x:v>
      </x:c>
    </x:row>
    <x:row r="135">
      <x:c r="A135" t="str">
        <x:v>REC0134</x:v>
      </x:c>
      <x:c r="B135" t="n">
        <x:v>133</x:v>
      </x:c>
      <x:c r="C135" t="str">
        <x:v>St. Thomas, USVI</x:v>
      </x:c>
      <x:c r="D135" t="str">
        <x:v>AA</x:v>
      </x:c>
      <x:c r="E135" t="str">
        <x:v>Accuracy Assessment</x:v>
      </x:c>
      <x:c r="F135" t="str">
        <x:v>HD Seaviewer Drop Camera</x:v>
      </x:c>
      <x:c r="G135" t="str">
        <x:v>AA2017_141</x:v>
      </x:c>
      <x:c r="H135" s="28" t="n">
        <x:v>42769</x:v>
      </x:c>
      <x:c r="I135" t="str">
        <x:v>10:17:04</x:v>
      </x:c>
      <x:c r="J135" t="n">
        <x:v>2017</x:v>
      </x:c>
      <x:c r="K135" t="n">
        <x:v>18.22249285</x:v>
      </x:c>
      <x:c r="L135" t="n">
        <x:v>-65.04705532</x:v>
      </x:c>
      <x:c r="M135" t="n">
        <x:v>39.287</x:v>
      </x:c>
      <x:c r="N135" t="str">
        <x:v>https://nccospublicstor.blob.core.windows.net/biomapper/usviinsularshelf2017/videos/low/AA2017_141.mp4</x:v>
      </x:c>
      <x:c r="O135" t="n">
        <x:v>1</x:v>
      </x:c>
      <x:c r="P135" t="n">
        <x:v>0</x:v>
      </x:c>
      <x:c r="Q135" t="n">
        <x:v>0</x:v>
      </x:c>
      <x:c r="R135" t="n">
        <x:v>1</x:v>
      </x:c>
      <x:c r="S135" t="n">
        <x:v>1</x:v>
      </x:c>
      <x:c r="T135" t="n">
        <x:v>0</x:v>
      </x:c>
      <x:c r="U135" t="n">
        <x:v>1</x:v>
      </x:c>
      <x:c r="V135" t="n">
        <x:v>1</x:v>
      </x:c>
      <x:c r="W135" t="n">
        <x:v>0</x:v>
      </x:c>
      <x:c r="X135" t="n">
        <x:v>0</x:v>
      </x:c>
      <x:c r="Y135" t="n">
        <x:v>0</x:v>
      </x:c>
      <x:c r="Z135" t="n">
        <x:v>2</x:v>
      </x:c>
      <x:c r="AA135" t="n">
        <x:v>3</x:v>
      </x:c>
      <x:c r="AB135" t="str">
        <x:v>Pass</x:v>
      </x:c>
      <x:c r="AC135" t="str"/>
      <x:c r="AD135" t="str"/>
    </x:row>
    <x:row r="136">
      <x:c r="A136" t="str">
        <x:v>REC0135</x:v>
      </x:c>
      <x:c r="B136" t="n">
        <x:v>134</x:v>
      </x:c>
      <x:c r="C136" t="str">
        <x:v>St. Thomas, USVI</x:v>
      </x:c>
      <x:c r="D136" t="str">
        <x:v>AA</x:v>
      </x:c>
      <x:c r="E136" t="str">
        <x:v>Accuracy Assessment</x:v>
      </x:c>
      <x:c r="F136" t="str">
        <x:v>HD Seaviewer Drop Camera</x:v>
      </x:c>
      <x:c r="G136" t="str">
        <x:v>AA2017_142</x:v>
      </x:c>
      <x:c r="H136" s="28" t="n">
        <x:v>42769</x:v>
      </x:c>
      <x:c r="I136" t="str">
        <x:v>14:58:27</x:v>
      </x:c>
      <x:c r="J136" t="n">
        <x:v>2017</x:v>
      </x:c>
      <x:c r="K136" t="n">
        <x:v>18.27933993</x:v>
      </x:c>
      <x:c r="L136" t="n">
        <x:v>-65.04646737</x:v>
      </x:c>
      <x:c r="M136" t="n">
        <x:v>32.968</x:v>
      </x:c>
      <x:c r="N136" t="str">
        <x:v>https://nccospublicstor.blob.core.windows.net/biomapper/usviinsularshelf2017/videos/low/AA2017_142.mp4</x:v>
      </x:c>
      <x:c r="O136" t="n">
        <x:v>0</x:v>
      </x:c>
      <x:c r="P136" t="n">
        <x:v>0</x:v>
      </x:c>
      <x:c r="Q136" t="n">
        <x:v>1</x:v>
      </x:c>
      <x:c r="R136" t="n">
        <x:v>0</x:v>
      </x:c>
      <x:c r="S136" t="n">
        <x:v>0</x:v>
      </x:c>
      <x:c r="T136" t="n">
        <x:v>0</x:v>
      </x:c>
      <x:c r="U136" t="n">
        <x:v>1</x:v>
      </x:c>
      <x:c r="V136" t="n">
        <x:v>1</x:v>
      </x:c>
      <x:c r="W136" t="n">
        <x:v>0</x:v>
      </x:c>
      <x:c r="X136" t="n">
        <x:v>0</x:v>
      </x:c>
      <x:c r="Y136" t="n">
        <x:v>0</x:v>
      </x:c>
      <x:c r="Z136" t="n">
        <x:v>1</x:v>
      </x:c>
      <x:c r="AA136" t="n">
        <x:v>2</x:v>
      </x:c>
      <x:c r="AB136" t="str">
        <x:v>Pass</x:v>
      </x:c>
      <x:c r="AC136" t="str"/>
      <x:c r="AD136" t="str"/>
    </x:row>
    <x:row r="137">
      <x:c r="A137" t="str">
        <x:v>REC0136</x:v>
      </x:c>
      <x:c r="B137" t="n">
        <x:v>135</x:v>
      </x:c>
      <x:c r="C137" t="str">
        <x:v>St. Thomas, USVI</x:v>
      </x:c>
      <x:c r="D137" t="str">
        <x:v>AA</x:v>
      </x:c>
      <x:c r="E137" t="str">
        <x:v>Accuracy Assessment</x:v>
      </x:c>
      <x:c r="F137" t="str">
        <x:v>HD Seaviewer Drop Camera</x:v>
      </x:c>
      <x:c r="G137" t="str">
        <x:v>AA2017_143</x:v>
      </x:c>
      <x:c r="H137" s="28" t="n">
        <x:v>42769</x:v>
      </x:c>
      <x:c r="I137" t="str">
        <x:v>14:49:34</x:v>
      </x:c>
      <x:c r="J137" t="n">
        <x:v>2017</x:v>
      </x:c>
      <x:c r="K137" t="n">
        <x:v>18.26707753</x:v>
      </x:c>
      <x:c r="L137" t="n">
        <x:v>-65.03925346</x:v>
      </x:c>
      <x:c r="M137" t="n">
        <x:v>33.457</x:v>
      </x:c>
      <x:c r="N137" t="str">
        <x:v>https://nccospublicstor.blob.core.windows.net/biomapper/usviinsularshelf2017/videos/low/AA2017_143.mp4</x:v>
      </x:c>
      <x:c r="O137" t="n">
        <x:v>0</x:v>
      </x:c>
      <x:c r="P137" t="n">
        <x:v>0</x:v>
      </x:c>
      <x:c r="Q137" t="n">
        <x:v>1</x:v>
      </x:c>
      <x:c r="R137" t="n">
        <x:v>0</x:v>
      </x:c>
      <x:c r="S137" t="n">
        <x:v>0</x:v>
      </x:c>
      <x:c r="T137" t="n">
        <x:v>0</x:v>
      </x:c>
      <x:c r="U137" t="n">
        <x:v>1</x:v>
      </x:c>
      <x:c r="V137" t="n">
        <x:v>1</x:v>
      </x:c>
      <x:c r="W137" t="n">
        <x:v>0</x:v>
      </x:c>
      <x:c r="X137" t="n">
        <x:v>0</x:v>
      </x:c>
      <x:c r="Y137" t="n">
        <x:v>0</x:v>
      </x:c>
      <x:c r="Z137" t="n">
        <x:v>1</x:v>
      </x:c>
      <x:c r="AA137" t="n">
        <x:v>2</x:v>
      </x:c>
      <x:c r="AB137" t="str">
        <x:v>Pass</x:v>
      </x:c>
      <x:c r="AC137" t="str"/>
      <x:c r="AD137" t="str"/>
    </x:row>
    <x:row r="138">
      <x:c r="A138" t="str">
        <x:v>REC0137</x:v>
      </x:c>
      <x:c r="B138" t="n">
        <x:v>136</x:v>
      </x:c>
      <x:c r="C138" t="str">
        <x:v>St. Thomas, USVI</x:v>
      </x:c>
      <x:c r="D138" t="str">
        <x:v>AA</x:v>
      </x:c>
      <x:c r="E138" t="str">
        <x:v>Accuracy Assessment</x:v>
      </x:c>
      <x:c r="F138" t="str">
        <x:v>HD Seaviewer Drop Camera</x:v>
      </x:c>
      <x:c r="G138" t="str">
        <x:v>AA2017_144</x:v>
      </x:c>
      <x:c r="H138" s="28" t="n">
        <x:v>42769</x:v>
      </x:c>
      <x:c r="I138" t="str">
        <x:v>14:34:40</x:v>
      </x:c>
      <x:c r="J138" t="n">
        <x:v>2017</x:v>
      </x:c>
      <x:c r="K138" t="n">
        <x:v>18.2537706</x:v>
      </x:c>
      <x:c r="L138" t="n">
        <x:v>-65.03509278</x:v>
      </x:c>
      <x:c r="M138" t="n">
        <x:v>36.867</x:v>
      </x:c>
      <x:c r="N138" t="str">
        <x:v>https://nccospublicstor.blob.core.windows.net/biomapper/usviinsularshelf2017/videos/low/AA2017_144.mp4</x:v>
      </x:c>
      <x:c r="O138" t="n">
        <x:v>0</x:v>
      </x:c>
      <x:c r="P138" t="n">
        <x:v>0</x:v>
      </x:c>
      <x:c r="Q138" t="n">
        <x:v>1</x:v>
      </x:c>
      <x:c r="R138" t="n">
        <x:v>1</x:v>
      </x:c>
      <x:c r="S138" t="n">
        <x:v>0</x:v>
      </x:c>
      <x:c r="T138" t="n">
        <x:v>0</x:v>
      </x:c>
      <x:c r="U138" t="n">
        <x:v>1</x:v>
      </x:c>
      <x:c r="V138" t="n">
        <x:v>1</x:v>
      </x:c>
      <x:c r="W138" t="n">
        <x:v>0</x:v>
      </x:c>
      <x:c r="X138" t="n">
        <x:v>0</x:v>
      </x:c>
      <x:c r="Y138" t="n">
        <x:v>0</x:v>
      </x:c>
      <x:c r="Z138" t="n">
        <x:v>2</x:v>
      </x:c>
      <x:c r="AA138" t="n">
        <x:v>2</x:v>
      </x:c>
      <x:c r="AB138" t="str">
        <x:v>Pass</x:v>
      </x:c>
      <x:c r="AC138" t="str"/>
      <x:c r="AD138" t="str">
        <x:v>small patch reef in video FOV.  Ignored in classifcation because isolated and small</x:v>
      </x:c>
    </x:row>
    <x:row r="139">
      <x:c r="A139" t="str">
        <x:v>REC0138</x:v>
      </x:c>
      <x:c r="B139" t="n">
        <x:v>137</x:v>
      </x:c>
      <x:c r="C139" t="str">
        <x:v>St. Thomas, USVI</x:v>
      </x:c>
      <x:c r="D139" t="str">
        <x:v>AA</x:v>
      </x:c>
      <x:c r="E139" t="str">
        <x:v>Accuracy Assessment</x:v>
      </x:c>
      <x:c r="F139" t="str">
        <x:v>HD Seaviewer Drop Camera</x:v>
      </x:c>
      <x:c r="G139" t="str">
        <x:v>AA2017_145</x:v>
      </x:c>
      <x:c r="H139" s="28" t="n">
        <x:v>42769</x:v>
      </x:c>
      <x:c r="I139" t="str">
        <x:v>14:41:59</x:v>
      </x:c>
      <x:c r="J139" t="n">
        <x:v>2017</x:v>
      </x:c>
      <x:c r="K139" t="n">
        <x:v>18.26062684</x:v>
      </x:c>
      <x:c r="L139" t="n">
        <x:v>-65.03384657</x:v>
      </x:c>
      <x:c r="M139" t="n">
        <x:v>34.972</x:v>
      </x:c>
      <x:c r="N139" t="str">
        <x:v>https://nccospublicstor.blob.core.windows.net/biomapper/usviinsularshelf2017/videos/low/AA2017_145.mp4</x:v>
      </x:c>
      <x:c r="O139" t="n">
        <x:v>0</x:v>
      </x:c>
      <x:c r="P139" t="n">
        <x:v>0</x:v>
      </x:c>
      <x:c r="Q139" t="n">
        <x:v>1</x:v>
      </x:c>
      <x:c r="R139" t="n">
        <x:v>0</x:v>
      </x:c>
      <x:c r="S139" t="n">
        <x:v>0</x:v>
      </x:c>
      <x:c r="T139" t="n">
        <x:v>0</x:v>
      </x:c>
      <x:c r="U139" t="n">
        <x:v>1</x:v>
      </x:c>
      <x:c r="V139" t="n">
        <x:v>1</x:v>
      </x:c>
      <x:c r="W139" t="n">
        <x:v>0</x:v>
      </x:c>
      <x:c r="X139" t="n">
        <x:v>0</x:v>
      </x:c>
      <x:c r="Y139" t="n">
        <x:v>0</x:v>
      </x:c>
      <x:c r="Z139" t="n">
        <x:v>1</x:v>
      </x:c>
      <x:c r="AA139" t="n">
        <x:v>2</x:v>
      </x:c>
      <x:c r="AB139" t="str">
        <x:v>Pass</x:v>
      </x:c>
      <x:c r="AC139" t="str"/>
      <x:c r="AD139" t="str">
        <x:v>blue runners in video</x:v>
      </x:c>
    </x:row>
    <x:row r="140">
      <x:c r="A140" t="str">
        <x:v>REC0139</x:v>
      </x:c>
      <x:c r="B140" t="n">
        <x:v>138</x:v>
      </x:c>
      <x:c r="C140" t="str">
        <x:v>St. Thomas, USVI</x:v>
      </x:c>
      <x:c r="D140" t="str">
        <x:v>AA</x:v>
      </x:c>
      <x:c r="E140" t="str">
        <x:v>Accuracy Assessment</x:v>
      </x:c>
      <x:c r="F140" t="str">
        <x:v>HD Seaviewer Drop Camera</x:v>
      </x:c>
      <x:c r="G140" t="str">
        <x:v>AA2017_146</x:v>
      </x:c>
      <x:c r="H140" s="28" t="n">
        <x:v>42769</x:v>
      </x:c>
      <x:c r="I140" t="str">
        <x:v>10:27:16</x:v>
      </x:c>
      <x:c r="J140" t="n">
        <x:v>2017</x:v>
      </x:c>
      <x:c r="K140" t="n">
        <x:v>18.23926627</x:v>
      </x:c>
      <x:c r="L140" t="n">
        <x:v>-65.03298373</x:v>
      </x:c>
      <x:c r="M140" t="n">
        <x:v>39.244</x:v>
      </x:c>
      <x:c r="N140" t="str">
        <x:v>https://nccospublicstor.blob.core.windows.net/biomapper/usviinsularshelf2017/videos/low/AA2017_146.mp4</x:v>
      </x:c>
      <x:c r="O140" t="n">
        <x:v>0</x:v>
      </x:c>
      <x:c r="P140" t="n">
        <x:v>0</x:v>
      </x:c>
      <x:c r="Q140" t="n">
        <x:v>1</x:v>
      </x:c>
      <x:c r="R140" t="n">
        <x:v>1</x:v>
      </x:c>
      <x:c r="S140" t="n">
        <x:v>0</x:v>
      </x:c>
      <x:c r="T140" t="n">
        <x:v>0</x:v>
      </x:c>
      <x:c r="U140" t="n">
        <x:v>1</x:v>
      </x:c>
      <x:c r="V140" t="n">
        <x:v>1</x:v>
      </x:c>
      <x:c r="W140" t="n">
        <x:v>0</x:v>
      </x:c>
      <x:c r="X140" t="n">
        <x:v>0</x:v>
      </x:c>
      <x:c r="Y140" t="n">
        <x:v>0</x:v>
      </x:c>
      <x:c r="Z140" t="n">
        <x:v>2</x:v>
      </x:c>
      <x:c r="AA140" t="n">
        <x:v>2</x:v>
      </x:c>
      <x:c r="AB140" t="str">
        <x:v>Pass</x:v>
      </x:c>
      <x:c r="AC140" t="str"/>
      <x:c r="AD140" t="str">
        <x:v>rhodoliths?</x:v>
      </x:c>
    </x:row>
    <x:row r="141">
      <x:c r="A141" t="str">
        <x:v>REC0140</x:v>
      </x:c>
      <x:c r="B141" t="n">
        <x:v>139</x:v>
      </x:c>
      <x:c r="C141" t="str">
        <x:v>St. Thomas, USVI</x:v>
      </x:c>
      <x:c r="D141" t="str">
        <x:v>AA</x:v>
      </x:c>
      <x:c r="E141" t="str">
        <x:v>Accuracy Assessment</x:v>
      </x:c>
      <x:c r="F141" t="str">
        <x:v>HD Seaviewer Drop Camera</x:v>
      </x:c>
      <x:c r="G141" t="str">
        <x:v>AA2017_147</x:v>
      </x:c>
      <x:c r="H141" s="28" t="n">
        <x:v>42769</x:v>
      </x:c>
      <x:c r="I141" t="str">
        <x:v>10:55:41</x:v>
      </x:c>
      <x:c r="J141" t="n">
        <x:v>2017</x:v>
      </x:c>
      <x:c r="K141" t="n">
        <x:v>18.22793183</x:v>
      </x:c>
      <x:c r="L141" t="n">
        <x:v>-65.02697048</x:v>
      </x:c>
      <x:c r="M141" t="n">
        <x:v>40.35</x:v>
      </x:c>
      <x:c r="N141" t="str">
        <x:v>https://nccospublicstor.blob.core.windows.net/biomapper/usviinsularshelf2017/videos/low/AA2017_147.mp4</x:v>
      </x:c>
      <x:c r="O141" t="n">
        <x:v>0</x:v>
      </x:c>
      <x:c r="P141" t="n">
        <x:v>0</x:v>
      </x:c>
      <x:c r="Q141" t="n">
        <x:v>1</x:v>
      </x:c>
      <x:c r="R141" t="n">
        <x:v>1</x:v>
      </x:c>
      <x:c r="S141" t="n">
        <x:v>0</x:v>
      </x:c>
      <x:c r="T141" t="n">
        <x:v>0</x:v>
      </x:c>
      <x:c r="U141" t="n">
        <x:v>1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2</x:v>
      </x:c>
      <x:c r="AA141" t="n">
        <x:v>1</x:v>
      </x:c>
      <x:c r="AB141" t="str">
        <x:v>Pass</x:v>
      </x:c>
      <x:c r="AC141" t="str"/>
      <x:c r="AD141" t="str"/>
    </x:row>
    <x:row r="142">
      <x:c r="A142" t="str">
        <x:v>REC0141</x:v>
      </x:c>
      <x:c r="B142" t="n">
        <x:v>140</x:v>
      </x:c>
      <x:c r="C142" t="str">
        <x:v>St. Thomas, USVI</x:v>
      </x:c>
      <x:c r="D142" t="str">
        <x:v>AA</x:v>
      </x:c>
      <x:c r="E142" t="str">
        <x:v>Accuracy Assessment</x:v>
      </x:c>
      <x:c r="F142" t="str">
        <x:v>HD Seaviewer Drop Camera</x:v>
      </x:c>
      <x:c r="G142" t="str">
        <x:v>AA2017_148</x:v>
      </x:c>
      <x:c r="H142" s="28" t="n">
        <x:v>42769</x:v>
      </x:c>
      <x:c r="I142" t="str">
        <x:v>14:27:33</x:v>
      </x:c>
      <x:c r="J142" t="n">
        <x:v>2017</x:v>
      </x:c>
      <x:c r="K142" t="n">
        <x:v>18.2545551</x:v>
      </x:c>
      <x:c r="L142" t="n">
        <x:v>-65.02587845</x:v>
      </x:c>
      <x:c r="M142" t="n">
        <x:v>36.892</x:v>
      </x:c>
      <x:c r="N142" t="str">
        <x:v>https://nccospublicstor.blob.core.windows.net/biomapper/usviinsularshelf2017/videos/low/AA2017_148.mp4</x:v>
      </x:c>
      <x:c r="O142" t="n">
        <x:v>0</x:v>
      </x:c>
      <x:c r="P142" t="n">
        <x:v>0</x:v>
      </x:c>
      <x:c r="Q142" t="n">
        <x:v>1</x:v>
      </x:c>
      <x:c r="R142" t="n">
        <x:v>1</x:v>
      </x:c>
      <x:c r="S142" t="n">
        <x:v>0</x:v>
      </x:c>
      <x:c r="T142" t="n">
        <x:v>0</x:v>
      </x:c>
      <x:c r="U142" t="n">
        <x:v>1</x:v>
      </x:c>
      <x:c r="V142" t="n">
        <x:v>1</x:v>
      </x:c>
      <x:c r="W142" t="n">
        <x:v>0</x:v>
      </x:c>
      <x:c r="X142" t="n">
        <x:v>0</x:v>
      </x:c>
      <x:c r="Y142" t="n">
        <x:v>0</x:v>
      </x:c>
      <x:c r="Z142" t="n">
        <x:v>2</x:v>
      </x:c>
      <x:c r="AA142" t="n">
        <x:v>2</x:v>
      </x:c>
      <x:c r="AB142" t="str">
        <x:v>Pass</x:v>
      </x:c>
      <x:c r="AC142" t="str"/>
      <x:c r="AD142" t="str"/>
    </x:row>
    <x:row r="143">
      <x:c r="A143" t="str">
        <x:v>REC0142</x:v>
      </x:c>
      <x:c r="B143" t="n">
        <x:v>142</x:v>
      </x:c>
      <x:c r="C143" t="str">
        <x:v>St. Thomas, USVI</x:v>
      </x:c>
      <x:c r="D143" t="str">
        <x:v>AA</x:v>
      </x:c>
      <x:c r="E143" t="str">
        <x:v>Accuracy Assessment</x:v>
      </x:c>
      <x:c r="F143" t="str">
        <x:v>HD Seaviewer Drop Camera</x:v>
      </x:c>
      <x:c r="G143" t="str">
        <x:v>AA2017_149</x:v>
      </x:c>
      <x:c r="H143" s="28" t="n">
        <x:v>42765</x:v>
      </x:c>
      <x:c r="I143" t="str">
        <x:v>11:02:59</x:v>
      </x:c>
      <x:c r="J143" t="n">
        <x:v>2017</x:v>
      </x:c>
      <x:c r="K143" t="n">
        <x:v>18.21115954</x:v>
      </x:c>
      <x:c r="L143" t="n">
        <x:v>-65.02309774</x:v>
      </x:c>
      <x:c r="M143" t="n">
        <x:v>43.953</x:v>
      </x:c>
      <x:c r="N143" t="str">
        <x:v>https://nccospublicstor.blob.core.windows.net/biomapper/usviinsularshelf2017/videos/low/AA2017_149.mp4</x:v>
      </x:c>
      <x:c r="O143" t="n">
        <x:v>1</x:v>
      </x:c>
      <x:c r="P143" t="n">
        <x:v>0</x:v>
      </x:c>
      <x:c r="Q143" t="n">
        <x:v>0</x:v>
      </x:c>
      <x:c r="R143" t="n">
        <x:v>0</x:v>
      </x:c>
      <x:c r="S143" t="n">
        <x:v>1</x:v>
      </x:c>
      <x:c r="T143" t="n">
        <x:v>0</x:v>
      </x:c>
      <x:c r="U143" t="n">
        <x:v>0</x:v>
      </x:c>
      <x:c r="V143" t="n">
        <x:v>1</x:v>
      </x:c>
      <x:c r="W143" t="n">
        <x:v>0</x:v>
      </x:c>
      <x:c r="X143" t="n">
        <x:v>0</x:v>
      </x:c>
      <x:c r="Y143" t="n">
        <x:v>0</x:v>
      </x:c>
      <x:c r="Z143" t="n">
        <x:v>1</x:v>
      </x:c>
      <x:c r="AA143" t="n">
        <x:v>2</x:v>
      </x:c>
      <x:c r="AB143" t="str">
        <x:v>Review</x:v>
      </x:c>
      <x:c r="AC143" t="str">
        <x:v>Duplicate SITE ID (source-documented for AA2017_149); index/FID mismatch; Projected coordinates inconsistent with latitude/longitude (&gt;5 m)</x:v>
      </x:c>
      <x:c r="AD143" t="str">
        <x:v>This site is duplicated because starts out as sand and rhodo then transitions to pavement and then agg reef</x:v>
      </x:c>
    </x:row>
    <x:row r="144">
      <x:c r="A144" t="str">
        <x:v>REC0143</x:v>
      </x:c>
      <x:c r="B144" t="n">
        <x:v>141</x:v>
      </x:c>
      <x:c r="C144" t="str">
        <x:v>St. Thomas, USVI</x:v>
      </x:c>
      <x:c r="D144" t="str">
        <x:v>AA</x:v>
      </x:c>
      <x:c r="E144" t="str">
        <x:v>Accuracy Assessment</x:v>
      </x:c>
      <x:c r="F144" t="str">
        <x:v>HD Seaviewer Drop Camera</x:v>
      </x:c>
      <x:c r="G144" t="str">
        <x:v>AA2017_149</x:v>
      </x:c>
      <x:c r="H144" s="28" t="n">
        <x:v>42765</x:v>
      </x:c>
      <x:c r="I144" t="str">
        <x:v>11:01:55</x:v>
      </x:c>
      <x:c r="J144" t="n">
        <x:v>2017</x:v>
      </x:c>
      <x:c r="K144" t="n">
        <x:v>18.21137455</x:v>
      </x:c>
      <x:c r="L144" t="n">
        <x:v>-65.02308038</x:v>
      </x:c>
      <x:c r="M144" t="n">
        <x:v>44.215</x:v>
      </x:c>
      <x:c r="N144" t="str">
        <x:v>https://nccospublicstor.blob.core.windows.net/biomapper/usviinsularshelf2017/videos/low/AA2017_149.mp4</x:v>
      </x:c>
      <x:c r="O144" t="n">
        <x:v>0</x:v>
      </x:c>
      <x:c r="P144" t="n">
        <x:v>0</x:v>
      </x:c>
      <x:c r="Q144" t="n">
        <x:v>1</x:v>
      </x:c>
      <x:c r="R144" t="n">
        <x:v>1</x:v>
      </x:c>
      <x:c r="S144" t="n">
        <x:v>0</x:v>
      </x:c>
      <x:c r="T144" t="n">
        <x:v>0</x:v>
      </x:c>
      <x:c r="U144" t="n">
        <x:v>0</x:v>
      </x:c>
      <x:c r="V144" t="n">
        <x:v>1</x:v>
      </x:c>
      <x:c r="W144" t="n">
        <x:v>0</x:v>
      </x:c>
      <x:c r="X144" t="n">
        <x:v>0</x:v>
      </x:c>
      <x:c r="Y144" t="n">
        <x:v>0</x:v>
      </x:c>
      <x:c r="Z144" t="n">
        <x:v>2</x:v>
      </x:c>
      <x:c r="AA144" t="n">
        <x:v>1</x:v>
      </x:c>
      <x:c r="AB144" t="str">
        <x:v>Review</x:v>
      </x:c>
      <x:c r="AC144" t="str">
        <x:v>Duplicate SITE ID (source-documented for AA2017_149); index/FID mismatch; Projected coordinates inconsistent with latitude/longitude (&gt;5 m)</x:v>
      </x:c>
      <x:c r="AD144" t="str">
        <x:v>This site is duplicated because starts out as sand and rhodo then transitions to pavement and then agg reef</x:v>
      </x:c>
    </x:row>
    <x:row r="145">
      <x:c r="A145" t="str">
        <x:v>REC0144</x:v>
      </x:c>
      <x:c r="B145" t="n">
        <x:v>143</x:v>
      </x:c>
      <x:c r="C145" t="str">
        <x:v>St. Thomas, USVI</x:v>
      </x:c>
      <x:c r="D145" t="str">
        <x:v>AA</x:v>
      </x:c>
      <x:c r="E145" t="str">
        <x:v>Accuracy Assessment</x:v>
      </x:c>
      <x:c r="F145" t="str">
        <x:v>HD Seaviewer Drop Camera</x:v>
      </x:c>
      <x:c r="G145" t="str">
        <x:v>AA2017_150</x:v>
      </x:c>
      <x:c r="H145" s="28" t="n">
        <x:v>42769</x:v>
      </x:c>
      <x:c r="I145" t="str">
        <x:v>10:44:47</x:v>
      </x:c>
      <x:c r="J145" t="n">
        <x:v>2017</x:v>
      </x:c>
      <x:c r="K145" t="n">
        <x:v>18.24641339</x:v>
      </x:c>
      <x:c r="L145" t="n">
        <x:v>-65.01771431</x:v>
      </x:c>
      <x:c r="M145" t="n">
        <x:v>39.589</x:v>
      </x:c>
      <x:c r="N145" t="str">
        <x:v>https://nccospublicstor.blob.core.windows.net/biomapper/usviinsularshelf2017/videos/low/AA2017_150.mp4</x:v>
      </x:c>
      <x:c r="O145" t="n">
        <x:v>0</x:v>
      </x:c>
      <x:c r="P145" t="n">
        <x:v>0</x:v>
      </x:c>
      <x:c r="Q145" t="n">
        <x:v>1</x:v>
      </x:c>
      <x:c r="R145" t="n">
        <x:v>1</x:v>
      </x:c>
      <x:c r="S145" t="n">
        <x:v>0</x:v>
      </x:c>
      <x:c r="T145" t="n">
        <x:v>0</x:v>
      </x:c>
      <x:c r="U145" t="n">
        <x:v>1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2</x:v>
      </x:c>
      <x:c r="AA145" t="n">
        <x:v>1</x:v>
      </x:c>
      <x:c r="AB145" t="str">
        <x:v>Pass</x:v>
      </x:c>
      <x:c r="AC145" t="str"/>
      <x:c r="AD145" t="str"/>
    </x:row>
    <x:row r="146">
      <x:c r="A146" t="str">
        <x:v>REC0145</x:v>
      </x:c>
      <x:c r="B146" t="n">
        <x:v>144</x:v>
      </x:c>
      <x:c r="C146" t="str">
        <x:v>St. Thomas, USVI</x:v>
      </x:c>
      <x:c r="D146" t="str">
        <x:v>AA</x:v>
      </x:c>
      <x:c r="E146" t="str">
        <x:v>Accuracy Assessment</x:v>
      </x:c>
      <x:c r="F146" t="str">
        <x:v>HD Seaviewer Drop Camera</x:v>
      </x:c>
      <x:c r="G146" t="str">
        <x:v>AA2017_151</x:v>
      </x:c>
      <x:c r="H146" s="28" t="n">
        <x:v>42765</x:v>
      </x:c>
      <x:c r="I146" t="str">
        <x:v>10:55:01</x:v>
      </x:c>
      <x:c r="J146" t="n">
        <x:v>2017</x:v>
      </x:c>
      <x:c r="K146" t="n">
        <x:v>18.21320155</x:v>
      </x:c>
      <x:c r="L146" t="n">
        <x:v>-65.01509694</x:v>
      </x:c>
      <x:c r="M146" t="n">
        <x:v>43.97</x:v>
      </x:c>
      <x:c r="N146" t="str">
        <x:v>https://nccospublicstor.blob.core.windows.net/biomapper/usviinsularshelf2017/videos/low/AA2017_151.mp4</x:v>
      </x:c>
      <x:c r="O146" t="n">
        <x:v>0</x:v>
      </x:c>
      <x:c r="P146" t="n">
        <x:v>0</x:v>
      </x:c>
      <x:c r="Q146" t="n">
        <x:v>1</x:v>
      </x:c>
      <x:c r="R146" t="n">
        <x:v>1</x:v>
      </x:c>
      <x:c r="S146" t="n">
        <x:v>0</x:v>
      </x:c>
      <x:c r="T146" t="n">
        <x:v>0</x:v>
      </x:c>
      <x:c r="U146" t="n">
        <x:v>1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2</x:v>
      </x:c>
      <x:c r="AA146" t="n">
        <x:v>1</x:v>
      </x:c>
      <x:c r="AB146" t="str">
        <x:v>Pass</x:v>
      </x:c>
      <x:c r="AC146" t="str"/>
      <x:c r="AD146" t="str"/>
    </x:row>
    <x:row r="147">
      <x:c r="A147" t="str">
        <x:v>REC0146</x:v>
      </x:c>
      <x:c r="B147" t="n">
        <x:v>145</x:v>
      </x:c>
      <x:c r="C147" t="str">
        <x:v>St. Thomas, USVI</x:v>
      </x:c>
      <x:c r="D147" t="str">
        <x:v>AA</x:v>
      </x:c>
      <x:c r="E147" t="str">
        <x:v>Accuracy Assessment</x:v>
      </x:c>
      <x:c r="F147" t="str">
        <x:v>HD Seaviewer Drop Camera</x:v>
      </x:c>
      <x:c r="G147" t="str">
        <x:v>AA2017_152</x:v>
      </x:c>
      <x:c r="H147" s="28" t="n">
        <x:v>42769</x:v>
      </x:c>
      <x:c r="I147" t="str">
        <x:v>11:55:18</x:v>
      </x:c>
      <x:c r="J147" t="n">
        <x:v>2017</x:v>
      </x:c>
      <x:c r="K147" t="n">
        <x:v>18.22714807</x:v>
      </x:c>
      <x:c r="L147" t="n">
        <x:v>-65.0144337</x:v>
      </x:c>
      <x:c r="M147" t="n">
        <x:v>40.646</x:v>
      </x:c>
      <x:c r="N147" t="str">
        <x:v>https://nccospublicstor.blob.core.windows.net/biomapper/usviinsularshelf2017/videos/low/AA2017_152.mp4</x:v>
      </x:c>
      <x:c r="O147" t="n">
        <x:v>0</x:v>
      </x:c>
      <x:c r="P147" t="n">
        <x:v>0</x:v>
      </x:c>
      <x:c r="Q147" t="n">
        <x:v>1</x:v>
      </x:c>
      <x:c r="R147" t="n">
        <x:v>1</x:v>
      </x:c>
      <x:c r="S147" t="n">
        <x:v>0</x:v>
      </x:c>
      <x:c r="T147" t="n">
        <x:v>0</x:v>
      </x:c>
      <x:c r="U147" t="n">
        <x:v>1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2</x:v>
      </x:c>
      <x:c r="AA147" t="n">
        <x:v>1</x:v>
      </x:c>
      <x:c r="AB147" t="str">
        <x:v>Pass</x:v>
      </x:c>
      <x:c r="AC147" t="str"/>
      <x:c r="AD147" t="str">
        <x:v>sparse macroalgae &amp; rhodoliths</x:v>
      </x:c>
    </x:row>
    <x:row r="148">
      <x:c r="A148" t="str">
        <x:v>REC0147</x:v>
      </x:c>
      <x:c r="B148" t="n">
        <x:v>146</x:v>
      </x:c>
      <x:c r="C148" t="str">
        <x:v>St. Thomas, USVI</x:v>
      </x:c>
      <x:c r="D148" t="str">
        <x:v>AA</x:v>
      </x:c>
      <x:c r="E148" t="str">
        <x:v>Accuracy Assessment</x:v>
      </x:c>
      <x:c r="F148" t="str">
        <x:v>HD Seaviewer Drop Camera</x:v>
      </x:c>
      <x:c r="G148" t="str">
        <x:v>AA2017_153</x:v>
      </x:c>
      <x:c r="H148" s="28" t="n">
        <x:v>42765</x:v>
      </x:c>
      <x:c r="I148" t="str">
        <x:v>10:37:47</x:v>
      </x:c>
      <x:c r="J148" t="n">
        <x:v>2017</x:v>
      </x:c>
      <x:c r="K148" t="n">
        <x:v>18.22047851</x:v>
      </x:c>
      <x:c r="L148" t="n">
        <x:v>-65.0092896</x:v>
      </x:c>
      <x:c r="M148" t="n">
        <x:v>41.723</x:v>
      </x:c>
      <x:c r="N148" t="str">
        <x:v>https://nccospublicstor.blob.core.windows.net/biomapper/usviinsularshelf2017/videos/low/AA2017_153.mp4</x:v>
      </x:c>
      <x:c r="O148" t="n">
        <x:v>0</x:v>
      </x:c>
      <x:c r="P148" t="n">
        <x:v>0</x:v>
      </x:c>
      <x:c r="Q148" t="n">
        <x:v>1</x:v>
      </x:c>
      <x:c r="R148" t="n">
        <x:v>0</x:v>
      </x:c>
      <x:c r="S148" t="n">
        <x:v>0</x:v>
      </x:c>
      <x:c r="T148" t="n">
        <x:v>0</x:v>
      </x:c>
      <x:c r="U148" t="n">
        <x:v>1</x:v>
      </x:c>
      <x:c r="V148" t="n">
        <x:v>1</x:v>
      </x:c>
      <x:c r="W148" t="n">
        <x:v>0</x:v>
      </x:c>
      <x:c r="X148" t="n">
        <x:v>0</x:v>
      </x:c>
      <x:c r="Y148" t="n">
        <x:v>0</x:v>
      </x:c>
      <x:c r="Z148" t="n">
        <x:v>1</x:v>
      </x:c>
      <x:c r="AA148" t="n">
        <x:v>2</x:v>
      </x:c>
      <x:c r="AB148" t="str">
        <x:v>Pass</x:v>
      </x:c>
      <x:c r="AC148" t="str"/>
      <x:c r="AD148" t="str"/>
    </x:row>
    <x:row r="149">
      <x:c r="A149" t="str">
        <x:v>REC0148</x:v>
      </x:c>
      <x:c r="B149" t="n">
        <x:v>147</x:v>
      </x:c>
      <x:c r="C149" t="str">
        <x:v>St. Thomas, USVI</x:v>
      </x:c>
      <x:c r="D149" t="str">
        <x:v>AA</x:v>
      </x:c>
      <x:c r="E149" t="str">
        <x:v>Accuracy Assessment</x:v>
      </x:c>
      <x:c r="F149" t="str">
        <x:v>HD Seaviewer Drop Camera</x:v>
      </x:c>
      <x:c r="G149" t="str">
        <x:v>AA2017_154</x:v>
      </x:c>
      <x:c r="H149" s="28" t="n">
        <x:v>42769</x:v>
      </x:c>
      <x:c r="I149" t="str">
        <x:v>14:18:52</x:v>
      </x:c>
      <x:c r="J149" t="n">
        <x:v>2017</x:v>
      </x:c>
      <x:c r="K149" t="n">
        <x:v>18.263119</x:v>
      </x:c>
      <x:c r="L149" t="n">
        <x:v>-65.00886339</x:v>
      </x:c>
      <x:c r="M149" t="n">
        <x:v>34.684</x:v>
      </x:c>
      <x:c r="N149" t="str">
        <x:v>https://nccospublicstor.blob.core.windows.net/biomapper/usviinsularshelf2017/videos/low/AA2017_154.mp4</x:v>
      </x:c>
      <x:c r="O149" t="n">
        <x:v>0</x:v>
      </x:c>
      <x:c r="P149" t="n">
        <x:v>0</x:v>
      </x:c>
      <x:c r="Q149" t="n">
        <x:v>1</x:v>
      </x:c>
      <x:c r="R149" t="n">
        <x:v>0</x:v>
      </x:c>
      <x:c r="S149" t="n">
        <x:v>0</x:v>
      </x:c>
      <x:c r="T149" t="n">
        <x:v>0</x:v>
      </x:c>
      <x:c r="U149" t="n">
        <x:v>1</x:v>
      </x:c>
      <x:c r="V149" t="n">
        <x:v>1</x:v>
      </x:c>
      <x:c r="W149" t="n">
        <x:v>0</x:v>
      </x:c>
      <x:c r="X149" t="n">
        <x:v>0</x:v>
      </x:c>
      <x:c r="Y149" t="n">
        <x:v>0</x:v>
      </x:c>
      <x:c r="Z149" t="n">
        <x:v>1</x:v>
      </x:c>
      <x:c r="AA149" t="n">
        <x:v>2</x:v>
      </x:c>
      <x:c r="AB149" t="str">
        <x:v>Pass</x:v>
      </x:c>
      <x:c r="AC149" t="str"/>
      <x:c r="AD149" t="str"/>
    </x:row>
    <x:row r="150">
      <x:c r="A150" t="str">
        <x:v>REC0149</x:v>
      </x:c>
      <x:c r="B150" t="n">
        <x:v>148</x:v>
      </x:c>
      <x:c r="C150" t="str">
        <x:v>St. Thomas, USVI</x:v>
      </x:c>
      <x:c r="D150" t="str">
        <x:v>AA</x:v>
      </x:c>
      <x:c r="E150" t="str">
        <x:v>Accuracy Assessment</x:v>
      </x:c>
      <x:c r="F150" t="str">
        <x:v>HD Seaviewer Drop Camera</x:v>
      </x:c>
      <x:c r="G150" t="str">
        <x:v>AA2017_155</x:v>
      </x:c>
      <x:c r="H150" s="28" t="n">
        <x:v>42765</x:v>
      </x:c>
      <x:c r="I150" t="str">
        <x:v>10:17:50</x:v>
      </x:c>
      <x:c r="J150" t="n">
        <x:v>2017</x:v>
      </x:c>
      <x:c r="K150" t="n">
        <x:v>18.2267825</x:v>
      </x:c>
      <x:c r="L150" t="n">
        <x:v>-65.00669866</x:v>
      </x:c>
      <x:c r="M150" t="n">
        <x:v>40.709</x:v>
      </x:c>
      <x:c r="N150" t="str">
        <x:v>https://nccospublicstor.blob.core.windows.net/biomapper/usviinsularshelf2017/videos/low/AA2017_155.mp4</x:v>
      </x:c>
      <x:c r="O150" t="n">
        <x:v>0</x:v>
      </x:c>
      <x:c r="P150" t="n">
        <x:v>0</x:v>
      </x:c>
      <x:c r="Q150" t="n">
        <x:v>1</x:v>
      </x:c>
      <x:c r="R150" t="n">
        <x:v>1</x:v>
      </x:c>
      <x:c r="S150" t="n">
        <x:v>0</x:v>
      </x:c>
      <x:c r="T150" t="n">
        <x:v>0</x:v>
      </x:c>
      <x:c r="U150" t="n">
        <x:v>1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2</x:v>
      </x:c>
      <x:c r="AA150" t="n">
        <x:v>1</x:v>
      </x:c>
      <x:c r="AB150" t="str">
        <x:v>Pass</x:v>
      </x:c>
      <x:c r="AC150" t="str"/>
      <x:c r="AD150" t="str"/>
    </x:row>
    <x:row r="151">
      <x:c r="A151" t="str">
        <x:v>REC0150</x:v>
      </x:c>
      <x:c r="B151" t="n">
        <x:v>149</x:v>
      </x:c>
      <x:c r="C151" t="str">
        <x:v>St. Thomas, USVI</x:v>
      </x:c>
      <x:c r="D151" t="str">
        <x:v>AA</x:v>
      </x:c>
      <x:c r="E151" t="str">
        <x:v>Accuracy Assessment</x:v>
      </x:c>
      <x:c r="F151" t="str">
        <x:v>HD Seaviewer Drop Camera</x:v>
      </x:c>
      <x:c r="G151" t="str">
        <x:v>AA2017_156</x:v>
      </x:c>
      <x:c r="H151" s="28" t="n">
        <x:v>42769</x:v>
      </x:c>
      <x:c r="I151" t="str">
        <x:v>12:04:21</x:v>
      </x:c>
      <x:c r="J151" t="n">
        <x:v>2017</x:v>
      </x:c>
      <x:c r="K151" t="n">
        <x:v>18.23272476</x:v>
      </x:c>
      <x:c r="L151" t="n">
        <x:v>-65.00784507</x:v>
      </x:c>
      <x:c r="M151" t="n">
        <x:v>40.789</x:v>
      </x:c>
      <x:c r="N151" t="str">
        <x:v>https://nccospublicstor.blob.core.windows.net/biomapper/usviinsularshelf2017/videos/low/AA2017_156.mp4</x:v>
      </x:c>
      <x:c r="O151" t="n">
        <x:v>0</x:v>
      </x:c>
      <x:c r="P151" t="n">
        <x:v>0</x:v>
      </x:c>
      <x:c r="Q151" t="n">
        <x:v>1</x:v>
      </x:c>
      <x:c r="R151" t="n">
        <x:v>1</x:v>
      </x:c>
      <x:c r="S151" t="n">
        <x:v>0</x:v>
      </x:c>
      <x:c r="T151" t="n">
        <x:v>0</x:v>
      </x:c>
      <x:c r="U151" t="n">
        <x:v>1</x:v>
      </x:c>
      <x:c r="V151" t="n">
        <x:v>1</x:v>
      </x:c>
      <x:c r="W151" t="n">
        <x:v>0</x:v>
      </x:c>
      <x:c r="X151" t="n">
        <x:v>0</x:v>
      </x:c>
      <x:c r="Y151" t="n">
        <x:v>0</x:v>
      </x:c>
      <x:c r="Z151" t="n">
        <x:v>2</x:v>
      </x:c>
      <x:c r="AA151" t="n">
        <x:v>2</x:v>
      </x:c>
      <x:c r="AB151" t="str">
        <x:v>Pass</x:v>
      </x:c>
      <x:c r="AC151" t="str"/>
      <x:c r="AD151" t="str"/>
    </x:row>
    <x:row r="152">
      <x:c r="A152" t="str">
        <x:v>REC0151</x:v>
      </x:c>
      <x:c r="B152" t="n">
        <x:v>150</x:v>
      </x:c>
      <x:c r="C152" t="str">
        <x:v>St. Thomas, USVI</x:v>
      </x:c>
      <x:c r="D152" t="str">
        <x:v>AA</x:v>
      </x:c>
      <x:c r="E152" t="str">
        <x:v>Accuracy Assessment</x:v>
      </x:c>
      <x:c r="F152" t="str">
        <x:v>HD Seaviewer Drop Camera</x:v>
      </x:c>
      <x:c r="G152" t="str">
        <x:v>AA2017_157</x:v>
      </x:c>
      <x:c r="H152" s="28" t="n">
        <x:v>42765</x:v>
      </x:c>
      <x:c r="I152" t="str">
        <x:v>10:46:43</x:v>
      </x:c>
      <x:c r="J152" t="n">
        <x:v>2017</x:v>
      </x:c>
      <x:c r="K152" t="n">
        <x:v>18.20930838</x:v>
      </x:c>
      <x:c r="L152" t="n">
        <x:v>-65.0050165</x:v>
      </x:c>
      <x:c r="M152" t="n">
        <x:v>43.835</x:v>
      </x:c>
      <x:c r="N152" t="str">
        <x:v>https://nccospublicstor.blob.core.windows.net/biomapper/usviinsularshelf2017/videos/low/AA2017_157.mp4</x:v>
      </x:c>
      <x:c r="O152" t="n">
        <x:v>1</x:v>
      </x:c>
      <x:c r="P152" t="n">
        <x:v>0</x:v>
      </x:c>
      <x:c r="Q152" t="n">
        <x:v>0</x:v>
      </x:c>
      <x:c r="R152" t="n">
        <x:v>0</x:v>
      </x:c>
      <x:c r="S152" t="n">
        <x:v>1</x:v>
      </x:c>
      <x:c r="T152" t="n">
        <x:v>0</x:v>
      </x:c>
      <x:c r="U152" t="n">
        <x:v>1</x:v>
      </x:c>
      <x:c r="V152" t="n">
        <x:v>1</x:v>
      </x:c>
      <x:c r="W152" t="n">
        <x:v>0</x:v>
      </x:c>
      <x:c r="X152" t="n">
        <x:v>0</x:v>
      </x:c>
      <x:c r="Y152" t="n">
        <x:v>0</x:v>
      </x:c>
      <x:c r="Z152" t="n">
        <x:v>1</x:v>
      </x:c>
      <x:c r="AA152" t="n">
        <x:v>3</x:v>
      </x:c>
      <x:c r="AB152" t="str">
        <x:v>Pass</x:v>
      </x:c>
      <x:c r="AC152" t="str"/>
      <x:c r="AD152" t="str"/>
    </x:row>
    <x:row r="153">
      <x:c r="A153" t="str">
        <x:v>REC0152</x:v>
      </x:c>
      <x:c r="B153" t="n">
        <x:v>151</x:v>
      </x:c>
      <x:c r="C153" t="str">
        <x:v>St. Thomas, USVI</x:v>
      </x:c>
      <x:c r="D153" t="str">
        <x:v>AA</x:v>
      </x:c>
      <x:c r="E153" t="str">
        <x:v>Accuracy Assessment</x:v>
      </x:c>
      <x:c r="F153" t="str">
        <x:v>HD Seaviewer Drop Camera</x:v>
      </x:c>
      <x:c r="G153" t="str">
        <x:v>AA2017_158</x:v>
      </x:c>
      <x:c r="H153" s="28" t="n">
        <x:v>42769</x:v>
      </x:c>
      <x:c r="I153" t="str">
        <x:v>14:12:32</x:v>
      </x:c>
      <x:c r="J153" t="n">
        <x:v>2017</x:v>
      </x:c>
      <x:c r="K153" t="n">
        <x:v>18.25862694</x:v>
      </x:c>
      <x:c r="L153" t="n">
        <x:v>-65.00518079</x:v>
      </x:c>
      <x:c r="M153" t="n">
        <x:v>36.267</x:v>
      </x:c>
      <x:c r="N153" t="str">
        <x:v>https://nccospublicstor.blob.core.windows.net/biomapper/usviinsularshelf2017/videos/low/AA2017_158.mp4</x:v>
      </x:c>
      <x:c r="O153" t="n">
        <x:v>0</x:v>
      </x:c>
      <x:c r="P153" t="n">
        <x:v>0</x:v>
      </x:c>
      <x:c r="Q153" t="n">
        <x:v>0</x:v>
      </x:c>
      <x:c r="R153" t="n">
        <x:v>1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1</x:v>
      </x:c>
      <x:c r="AA153" t="n">
        <x:v>0</x:v>
      </x:c>
      <x:c r="AB153" t="str">
        <x:v>Pass</x:v>
      </x:c>
      <x:c r="AC153" t="str"/>
      <x:c r="AD153" t="str">
        <x:v>patch reef visible on descent</x:v>
      </x:c>
    </x:row>
    <x:row r="154">
      <x:c r="A154" t="str">
        <x:v>REC0153</x:v>
      </x:c>
      <x:c r="B154" t="n">
        <x:v>152</x:v>
      </x:c>
      <x:c r="C154" t="str">
        <x:v>St. Thomas, USVI</x:v>
      </x:c>
      <x:c r="D154" t="str">
        <x:v>AA</x:v>
      </x:c>
      <x:c r="E154" t="str">
        <x:v>Accuracy Assessment</x:v>
      </x:c>
      <x:c r="F154" t="str">
        <x:v>HD Seaviewer Drop Camera</x:v>
      </x:c>
      <x:c r="G154" t="str">
        <x:v>AA2017_159</x:v>
      </x:c>
      <x:c r="H154" s="28" t="n">
        <x:v>42769</x:v>
      </x:c>
      <x:c r="I154" t="str">
        <x:v>14:05:39</x:v>
      </x:c>
      <x:c r="J154" t="n">
        <x:v>2017</x:v>
      </x:c>
      <x:c r="K154" t="n">
        <x:v>18.25369724</x:v>
      </x:c>
      <x:c r="L154" t="n">
        <x:v>-65.00364875</x:v>
      </x:c>
      <x:c r="M154" t="n">
        <x:v>38.586</x:v>
      </x:c>
      <x:c r="N154" t="str">
        <x:v>https://nccospublicstor.blob.core.windows.net/biomapper/usviinsularshelf2017/videos/low/AA2017_159.mp4</x:v>
      </x:c>
      <x:c r="O154" t="n">
        <x:v>0</x:v>
      </x:c>
      <x:c r="P154" t="n">
        <x:v>0</x:v>
      </x:c>
      <x:c r="Q154" t="n">
        <x:v>1</x:v>
      </x:c>
      <x:c r="R154" t="n">
        <x:v>0</x:v>
      </x:c>
      <x:c r="S154" t="n">
        <x:v>0</x:v>
      </x:c>
      <x:c r="T154" t="n">
        <x:v>0</x:v>
      </x:c>
      <x:c r="U154" t="n">
        <x:v>1</x:v>
      </x:c>
      <x:c r="V154" t="n">
        <x:v>1</x:v>
      </x:c>
      <x:c r="W154" t="n">
        <x:v>0</x:v>
      </x:c>
      <x:c r="X154" t="n">
        <x:v>0</x:v>
      </x:c>
      <x:c r="Y154" t="n">
        <x:v>0</x:v>
      </x:c>
      <x:c r="Z154" t="n">
        <x:v>1</x:v>
      </x:c>
      <x:c r="AA154" t="n">
        <x:v>2</x:v>
      </x:c>
      <x:c r="AB154" t="str">
        <x:v>Pass</x:v>
      </x:c>
      <x:c r="AC154" t="str"/>
      <x:c r="AD154" t="str"/>
    </x:row>
    <x:row r="155">
      <x:c r="A155" t="str">
        <x:v>REC0154</x:v>
      </x:c>
      <x:c r="B155" t="n">
        <x:v>153</x:v>
      </x:c>
      <x:c r="C155" t="str">
        <x:v>St. Thomas, USVI</x:v>
      </x:c>
      <x:c r="D155" t="str">
        <x:v>AA</x:v>
      </x:c>
      <x:c r="E155" t="str">
        <x:v>Accuracy Assessment</x:v>
      </x:c>
      <x:c r="F155" t="str">
        <x:v>HD Seaviewer Drop Camera</x:v>
      </x:c>
      <x:c r="G155" t="str">
        <x:v>AA2017_161</x:v>
      </x:c>
      <x:c r="H155" s="28" t="n">
        <x:v>42765</x:v>
      </x:c>
      <x:c r="I155" t="str">
        <x:v>10:30:56</x:v>
      </x:c>
      <x:c r="J155" t="n">
        <x:v>2017</x:v>
      </x:c>
      <x:c r="K155" t="n">
        <x:v>18.22463647</x:v>
      </x:c>
      <x:c r="L155" t="n">
        <x:v>-65.0002964</x:v>
      </x:c>
      <x:c r="M155" t="n">
        <x:v>40.212</x:v>
      </x:c>
      <x:c r="N155" t="str">
        <x:v>https://nccospublicstor.blob.core.windows.net/biomapper/usviinsularshelf2017/videos/low/AA2017_161.mp4</x:v>
      </x:c>
      <x:c r="O155" t="n">
        <x:v>0</x:v>
      </x:c>
      <x:c r="P155" t="n">
        <x:v>1</x:v>
      </x:c>
      <x:c r="Q155" t="n">
        <x:v>0</x:v>
      </x:c>
      <x:c r="R155" t="n">
        <x:v>0</x:v>
      </x:c>
      <x:c r="S155" t="n">
        <x:v>1</x:v>
      </x:c>
      <x:c r="T155" t="n">
        <x:v>1</x:v>
      </x:c>
      <x:c r="U155" t="n">
        <x:v>1</x:v>
      </x:c>
      <x:c r="V155" t="n">
        <x:v>1</x:v>
      </x:c>
      <x:c r="W155" t="n">
        <x:v>0</x:v>
      </x:c>
      <x:c r="X155" t="n">
        <x:v>0</x:v>
      </x:c>
      <x:c r="Y155" t="n">
        <x:v>0</x:v>
      </x:c>
      <x:c r="Z155" t="n">
        <x:v>1</x:v>
      </x:c>
      <x:c r="AA155" t="n">
        <x:v>4</x:v>
      </x:c>
      <x:c r="AB155" t="str">
        <x:v>Pass</x:v>
      </x:c>
      <x:c r="AC155" t="str"/>
      <x:c r="AD155" t="str"/>
    </x:row>
    <x:row r="156">
      <x:c r="A156" t="str">
        <x:v>REC0155</x:v>
      </x:c>
      <x:c r="B156" t="n">
        <x:v>154</x:v>
      </x:c>
      <x:c r="C156" t="str">
        <x:v>St. Thomas, USVI</x:v>
      </x:c>
      <x:c r="D156" t="str">
        <x:v>AA</x:v>
      </x:c>
      <x:c r="E156" t="str">
        <x:v>Accuracy Assessment</x:v>
      </x:c>
      <x:c r="F156" t="str">
        <x:v>HD Seaviewer Drop Camera</x:v>
      </x:c>
      <x:c r="G156" t="str">
        <x:v>AA2017_162</x:v>
      </x:c>
      <x:c r="H156" s="28" t="n">
        <x:v>42769</x:v>
      </x:c>
      <x:c r="I156" t="str">
        <x:v>13:57:38</x:v>
      </x:c>
      <x:c r="J156" t="n">
        <x:v>2017</x:v>
      </x:c>
      <x:c r="K156" t="n">
        <x:v>18.24431304</x:v>
      </x:c>
      <x:c r="L156" t="n">
        <x:v>-64.99587984</x:v>
      </x:c>
      <x:c r="M156" t="n">
        <x:v>41.3</x:v>
      </x:c>
      <x:c r="N156" t="str">
        <x:v>https://nccospublicstor.blob.core.windows.net/biomapper/usviinsularshelf2017/videos/low/AA2017_162.mp4</x:v>
      </x:c>
      <x:c r="O156" t="n">
        <x:v>0</x:v>
      </x:c>
      <x:c r="P156" t="n">
        <x:v>0</x:v>
      </x:c>
      <x:c r="Q156" t="n">
        <x:v>0</x:v>
      </x:c>
      <x:c r="R156" t="n">
        <x:v>1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1</x:v>
      </x:c>
      <x:c r="AA156" t="n">
        <x:v>0</x:v>
      </x:c>
      <x:c r="AB156" t="str">
        <x:v>Pass</x:v>
      </x:c>
      <x:c r="AC156" t="str"/>
      <x:c r="AD156" t="str"/>
    </x:row>
    <x:row r="157">
      <x:c r="A157" t="str">
        <x:v>REC0156</x:v>
      </x:c>
      <x:c r="B157" t="n">
        <x:v>155</x:v>
      </x:c>
      <x:c r="C157" t="str">
        <x:v>St. Thomas, USVI</x:v>
      </x:c>
      <x:c r="D157" t="str">
        <x:v>AA</x:v>
      </x:c>
      <x:c r="E157" t="str">
        <x:v>Accuracy Assessment</x:v>
      </x:c>
      <x:c r="F157" t="str">
        <x:v>HD Seaviewer Drop Camera</x:v>
      </x:c>
      <x:c r="G157" t="str">
        <x:v>AA2017_163</x:v>
      </x:c>
      <x:c r="H157" s="28" t="n">
        <x:v>42765</x:v>
      </x:c>
      <x:c r="I157" t="str">
        <x:v>09:58:13</x:v>
      </x:c>
      <x:c r="J157" t="n">
        <x:v>2017</x:v>
      </x:c>
      <x:c r="K157" t="n">
        <x:v>18.27023921</x:v>
      </x:c>
      <x:c r="L157" t="n">
        <x:v>-64.99604941</x:v>
      </x:c>
      <x:c r="M157" t="n">
        <x:v>33.377</x:v>
      </x:c>
      <x:c r="N157" t="str">
        <x:v>https://nccospublicstor.blob.core.windows.net/biomapper/usviinsularshelf2017/videos/low/AA2017_163.mp4</x:v>
      </x:c>
      <x:c r="O157" t="n">
        <x:v>0</x:v>
      </x:c>
      <x:c r="P157" t="n">
        <x:v>0</x:v>
      </x:c>
      <x:c r="Q157" t="n">
        <x:v>1</x:v>
      </x:c>
      <x:c r="R157" t="n">
        <x:v>1</x:v>
      </x:c>
      <x:c r="S157" t="n">
        <x:v>0</x:v>
      </x:c>
      <x:c r="T157" t="n">
        <x:v>0</x:v>
      </x:c>
      <x:c r="U157" t="n">
        <x:v>1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2</x:v>
      </x:c>
      <x:c r="AA157" t="n">
        <x:v>1</x:v>
      </x:c>
      <x:c r="AB157" t="str">
        <x:v>Pass</x:v>
      </x:c>
      <x:c r="AC157" t="str"/>
      <x:c r="AD157" t="str"/>
    </x:row>
    <x:row r="158">
      <x:c r="A158" t="str">
        <x:v>REC0157</x:v>
      </x:c>
      <x:c r="B158" t="n">
        <x:v>156</x:v>
      </x:c>
      <x:c r="C158" t="str">
        <x:v>St. Thomas, USVI</x:v>
      </x:c>
      <x:c r="D158" t="str">
        <x:v>AA</x:v>
      </x:c>
      <x:c r="E158" t="str">
        <x:v>Accuracy Assessment</x:v>
      </x:c>
      <x:c r="F158" t="str">
        <x:v>HD Seaviewer Drop Camera</x:v>
      </x:c>
      <x:c r="G158" t="str">
        <x:v>AA2017_164</x:v>
      </x:c>
      <x:c r="H158" s="28" t="n">
        <x:v>42769</x:v>
      </x:c>
      <x:c r="I158" t="str">
        <x:v>13:50:45</x:v>
      </x:c>
      <x:c r="J158" t="n">
        <x:v>2017</x:v>
      </x:c>
      <x:c r="K158" t="n">
        <x:v>18.25347785</x:v>
      </x:c>
      <x:c r="L158" t="n">
        <x:v>-64.99430272</x:v>
      </x:c>
      <x:c r="M158" t="n">
        <x:v>37.617</x:v>
      </x:c>
      <x:c r="N158" t="str">
        <x:v>https://nccospublicstor.blob.core.windows.net/biomapper/usviinsularshelf2017/videos/low/AA2017_164.mp4</x:v>
      </x:c>
      <x:c r="O158" t="n">
        <x:v>0</x:v>
      </x:c>
      <x:c r="P158" t="n">
        <x:v>0</x:v>
      </x:c>
      <x:c r="Q158" t="n">
        <x:v>1</x:v>
      </x:c>
      <x:c r="R158" t="n">
        <x:v>1</x:v>
      </x:c>
      <x:c r="S158" t="n">
        <x:v>0</x:v>
      </x:c>
      <x:c r="T158" t="n">
        <x:v>0</x:v>
      </x:c>
      <x:c r="U158" t="n">
        <x:v>1</x:v>
      </x:c>
      <x:c r="V158" t="n">
        <x:v>1</x:v>
      </x:c>
      <x:c r="W158" t="n">
        <x:v>0</x:v>
      </x:c>
      <x:c r="X158" t="n">
        <x:v>0</x:v>
      </x:c>
      <x:c r="Y158" t="n">
        <x:v>0</x:v>
      </x:c>
      <x:c r="Z158" t="n">
        <x:v>2</x:v>
      </x:c>
      <x:c r="AA158" t="n">
        <x:v>2</x:v>
      </x:c>
      <x:c r="AB158" t="str">
        <x:v>Pass</x:v>
      </x:c>
      <x:c r="AC158" t="str"/>
      <x:c r="AD158" t="str"/>
    </x:row>
    <x:row r="159">
      <x:c r="A159" t="str">
        <x:v>REC0158</x:v>
      </x:c>
      <x:c r="B159" t="n">
        <x:v>157</x:v>
      </x:c>
      <x:c r="C159" t="str">
        <x:v>St. Thomas, USVI</x:v>
      </x:c>
      <x:c r="D159" t="str">
        <x:v>AA</x:v>
      </x:c>
      <x:c r="E159" t="str">
        <x:v>Accuracy Assessment</x:v>
      </x:c>
      <x:c r="F159" t="str">
        <x:v>HD Seaviewer Drop Camera</x:v>
      </x:c>
      <x:c r="G159" t="str">
        <x:v>AA2017_165</x:v>
      </x:c>
      <x:c r="H159" s="28" t="n">
        <x:v>42769</x:v>
      </x:c>
      <x:c r="I159" t="str">
        <x:v>13:44:33</x:v>
      </x:c>
      <x:c r="J159" t="n">
        <x:v>2017</x:v>
      </x:c>
      <x:c r="K159" t="n">
        <x:v>18.26067211</x:v>
      </x:c>
      <x:c r="L159" t="n">
        <x:v>-64.99301439</x:v>
      </x:c>
      <x:c r="M159" t="n">
        <x:v>34.361</x:v>
      </x:c>
      <x:c r="N159" t="str">
        <x:v>https://nccospublicstor.blob.core.windows.net/biomapper/usviinsularshelf2017/videos/low/AA2017_165.mp4</x:v>
      </x:c>
      <x:c r="O159" t="n">
        <x:v>0</x:v>
      </x:c>
      <x:c r="P159" t="n">
        <x:v>0</x:v>
      </x:c>
      <x:c r="Q159" t="n">
        <x:v>1</x:v>
      </x:c>
      <x:c r="R159" t="n">
        <x:v>1</x:v>
      </x:c>
      <x:c r="S159" t="n">
        <x:v>0</x:v>
      </x:c>
      <x:c r="T159" t="n">
        <x:v>0</x:v>
      </x:c>
      <x:c r="U159" t="n">
        <x:v>1</x:v>
      </x:c>
      <x:c r="V159" t="n">
        <x:v>1</x:v>
      </x:c>
      <x:c r="W159" t="n">
        <x:v>0</x:v>
      </x:c>
      <x:c r="X159" t="n">
        <x:v>0</x:v>
      </x:c>
      <x:c r="Y159" t="n">
        <x:v>0</x:v>
      </x:c>
      <x:c r="Z159" t="n">
        <x:v>2</x:v>
      </x:c>
      <x:c r="AA159" t="n">
        <x:v>2</x:v>
      </x:c>
      <x:c r="AB159" t="str">
        <x:v>Pass</x:v>
      </x:c>
      <x:c r="AC159" t="str"/>
      <x:c r="AD159" t="str"/>
    </x:row>
    <x:row r="160">
      <x:c r="A160" t="str">
        <x:v>REC0159</x:v>
      </x:c>
      <x:c r="B160" t="n">
        <x:v>158</x:v>
      </x:c>
      <x:c r="C160" t="str">
        <x:v>St. Thomas, USVI</x:v>
      </x:c>
      <x:c r="D160" t="str">
        <x:v>AA</x:v>
      </x:c>
      <x:c r="E160" t="str">
        <x:v>Accuracy Assessment</x:v>
      </x:c>
      <x:c r="F160" t="str">
        <x:v>HD Seaviewer Drop Camera</x:v>
      </x:c>
      <x:c r="G160" t="str">
        <x:v>AA2017_167</x:v>
      </x:c>
      <x:c r="H160" s="28" t="n">
        <x:v>42769</x:v>
      </x:c>
      <x:c r="I160" t="str">
        <x:v>12:25:44</x:v>
      </x:c>
      <x:c r="J160" t="n">
        <x:v>2017</x:v>
      </x:c>
      <x:c r="K160" t="n">
        <x:v>18.21860991</x:v>
      </x:c>
      <x:c r="L160" t="n">
        <x:v>-64.98136498</x:v>
      </x:c>
      <x:c r="M160" t="n">
        <x:v>41.466</x:v>
      </x:c>
      <x:c r="N160" t="str">
        <x:v>https://nccospublicstor.blob.core.windows.net/biomapper/usviinsularshelf2017/videos/low/AA2017_167.mp4</x:v>
      </x:c>
      <x:c r="O160" t="n">
        <x:v>0</x:v>
      </x:c>
      <x:c r="P160" t="n">
        <x:v>0</x:v>
      </x:c>
      <x:c r="Q160" t="n">
        <x:v>0</x:v>
      </x:c>
      <x:c r="R160" t="n">
        <x:v>1</x:v>
      </x:c>
      <x:c r="S160" t="n">
        <x:v>0</x:v>
      </x:c>
      <x:c r="T160" t="n">
        <x:v>0</x:v>
      </x:c>
      <x:c r="U160" t="n">
        <x:v>1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1</x:v>
      </x:c>
      <x:c r="AA160" t="n">
        <x:v>1</x:v>
      </x:c>
      <x:c r="AB160" t="str">
        <x:v>Pass</x:v>
      </x:c>
      <x:c r="AC160" t="str"/>
      <x:c r="AD160" t="str"/>
    </x:row>
    <x:row r="161">
      <x:c r="A161" t="str">
        <x:v>REC0160</x:v>
      </x:c>
      <x:c r="B161" t="n">
        <x:v>159</x:v>
      </x:c>
      <x:c r="C161" t="str">
        <x:v>St. Thomas, USVI</x:v>
      </x:c>
      <x:c r="D161" t="str">
        <x:v>AA</x:v>
      </x:c>
      <x:c r="E161" t="str">
        <x:v>Accuracy Assessment</x:v>
      </x:c>
      <x:c r="F161" t="str">
        <x:v>HD Seaviewer Drop Camera</x:v>
      </x:c>
      <x:c r="G161" t="str">
        <x:v>AA2017_168</x:v>
      </x:c>
      <x:c r="H161" s="28" t="n">
        <x:v>42769</x:v>
      </x:c>
      <x:c r="I161" t="str">
        <x:v>13:08:34</x:v>
      </x:c>
      <x:c r="J161" t="n">
        <x:v>2017</x:v>
      </x:c>
      <x:c r="K161" t="n">
        <x:v>18.23731722</x:v>
      </x:c>
      <x:c r="L161" t="n">
        <x:v>-64.97474614</x:v>
      </x:c>
      <x:c r="M161" t="n">
        <x:v>40.108</x:v>
      </x:c>
      <x:c r="N161" t="str">
        <x:v>https://nccospublicstor.blob.core.windows.net/biomapper/usviinsularshelf2017/videos/low/AA2017_168.mp4</x:v>
      </x:c>
      <x:c r="O161" t="n">
        <x:v>0</x:v>
      </x:c>
      <x:c r="P161" t="n">
        <x:v>0</x:v>
      </x:c>
      <x:c r="Q161" t="n">
        <x:v>1</x:v>
      </x:c>
      <x:c r="R161" t="n">
        <x:v>0</x:v>
      </x:c>
      <x:c r="S161" t="n">
        <x:v>0</x:v>
      </x:c>
      <x:c r="T161" t="n">
        <x:v>0</x:v>
      </x:c>
      <x:c r="U161" t="n">
        <x:v>1</x:v>
      </x:c>
      <x:c r="V161" t="n">
        <x:v>1</x:v>
      </x:c>
      <x:c r="W161" t="n">
        <x:v>0</x:v>
      </x:c>
      <x:c r="X161" t="n">
        <x:v>0</x:v>
      </x:c>
      <x:c r="Y161" t="n">
        <x:v>0</x:v>
      </x:c>
      <x:c r="Z161" t="n">
        <x:v>1</x:v>
      </x:c>
      <x:c r="AA161" t="n">
        <x:v>2</x:v>
      </x:c>
      <x:c r="AB161" t="str">
        <x:v>Pass</x:v>
      </x:c>
      <x:c r="AC161" t="str"/>
      <x:c r="AD161" t="str"/>
    </x:row>
    <x:row r="162">
      <x:c r="A162" t="str">
        <x:v>REC0161</x:v>
      </x:c>
      <x:c r="B162" t="n">
        <x:v>160</x:v>
      </x:c>
      <x:c r="C162" t="str">
        <x:v>St. Thomas, USVI</x:v>
      </x:c>
      <x:c r="D162" t="str">
        <x:v>AA</x:v>
      </x:c>
      <x:c r="E162" t="str">
        <x:v>Accuracy Assessment</x:v>
      </x:c>
      <x:c r="F162" t="str">
        <x:v>HD Seaviewer Drop Camera</x:v>
      </x:c>
      <x:c r="G162" t="str">
        <x:v>AA2017_169</x:v>
      </x:c>
      <x:c r="H162" s="28" t="n">
        <x:v>42769</x:v>
      </x:c>
      <x:c r="I162" t="str">
        <x:v>12:35:50</x:v>
      </x:c>
      <x:c r="J162" t="n">
        <x:v>2017</x:v>
      </x:c>
      <x:c r="K162" t="n">
        <x:v>18.22050136</x:v>
      </x:c>
      <x:c r="L162" t="n">
        <x:v>-64.97254409</x:v>
      </x:c>
      <x:c r="M162" t="n">
        <x:v>42.649</x:v>
      </x:c>
      <x:c r="N162" t="str">
        <x:v>https://nccospublicstor.blob.core.windows.net/biomapper/usviinsularshelf2017/videos/low/AA2017_169.mp4</x:v>
      </x:c>
      <x:c r="O162" t="n">
        <x:v>0</x:v>
      </x:c>
      <x:c r="P162" t="n">
        <x:v>0</x:v>
      </x:c>
      <x:c r="Q162" t="n">
        <x:v>1</x:v>
      </x:c>
      <x:c r="R162" t="n">
        <x:v>1</x:v>
      </x:c>
      <x:c r="S162" t="n">
        <x:v>0</x:v>
      </x:c>
      <x:c r="T162" t="n">
        <x:v>0</x:v>
      </x:c>
      <x:c r="U162" t="n">
        <x:v>1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2</x:v>
      </x:c>
      <x:c r="AA162" t="n">
        <x:v>1</x:v>
      </x:c>
      <x:c r="AB162" t="str">
        <x:v>Pass</x:v>
      </x:c>
      <x:c r="AC162" t="str"/>
      <x:c r="AD162" t="str"/>
    </x:row>
    <x:row r="163">
      <x:c r="A163" t="str">
        <x:v>REC0162</x:v>
      </x:c>
      <x:c r="B163" t="n">
        <x:v>161</x:v>
      </x:c>
      <x:c r="C163" t="str">
        <x:v>St. Thomas, USVI</x:v>
      </x:c>
      <x:c r="D163" t="str">
        <x:v>AA</x:v>
      </x:c>
      <x:c r="E163" t="str">
        <x:v>Accuracy Assessment</x:v>
      </x:c>
      <x:c r="F163" t="str">
        <x:v>HD Seaviewer Drop Camera</x:v>
      </x:c>
      <x:c r="G163" t="str">
        <x:v>AA2017_170</x:v>
      </x:c>
      <x:c r="H163" s="28" t="n">
        <x:v>42770</x:v>
      </x:c>
      <x:c r="I163" t="str">
        <x:v>08:29:32</x:v>
      </x:c>
      <x:c r="J163" t="n">
        <x:v>2017</x:v>
      </x:c>
      <x:c r="K163" t="n">
        <x:v>18.19321173</x:v>
      </x:c>
      <x:c r="L163" t="n">
        <x:v>-64.97206275</x:v>
      </x:c>
      <x:c r="M163" t="n">
        <x:v>50.92</x:v>
      </x:c>
      <x:c r="N163" t="str">
        <x:v>https://nccospublicstor.blob.core.windows.net/biomapper/usviinsularshelf2017/videos/low/AA2017_170.mp4</x:v>
      </x:c>
      <x:c r="O163" t="n">
        <x:v>0</x:v>
      </x:c>
      <x:c r="P163" t="n">
        <x:v>1</x:v>
      </x:c>
      <x:c r="Q163" t="n">
        <x:v>0</x:v>
      </x:c>
      <x:c r="R163" t="n">
        <x:v>1</x:v>
      </x:c>
      <x:c r="S163" t="n">
        <x:v>0</x:v>
      </x:c>
      <x:c r="T163" t="n">
        <x:v>1</x:v>
      </x:c>
      <x:c r="U163" t="n">
        <x:v>1</x:v>
      </x:c>
      <x:c r="V163" t="n">
        <x:v>1</x:v>
      </x:c>
      <x:c r="W163" t="n">
        <x:v>0</x:v>
      </x:c>
      <x:c r="X163" t="n">
        <x:v>0</x:v>
      </x:c>
      <x:c r="Y163" t="n">
        <x:v>0</x:v>
      </x:c>
      <x:c r="Z163" t="n">
        <x:v>2</x:v>
      </x:c>
      <x:c r="AA163" t="n">
        <x:v>3</x:v>
      </x:c>
      <x:c r="AB163" t="str">
        <x:v>Pass</x:v>
      </x:c>
      <x:c r="AC163" t="str"/>
      <x:c r="AD163" t="str">
        <x:v>small patch reef</x:v>
      </x:c>
    </x:row>
    <x:row r="164">
      <x:c r="A164" t="str">
        <x:v>REC0163</x:v>
      </x:c>
      <x:c r="B164" t="n">
        <x:v>162</x:v>
      </x:c>
      <x:c r="C164" t="str">
        <x:v>St. Thomas, USVI</x:v>
      </x:c>
      <x:c r="D164" t="str">
        <x:v>AA</x:v>
      </x:c>
      <x:c r="E164" t="str">
        <x:v>Accuracy Assessment</x:v>
      </x:c>
      <x:c r="F164" t="str">
        <x:v>HD Seaviewer Drop Camera</x:v>
      </x:c>
      <x:c r="G164" t="str">
        <x:v>AA2017_171</x:v>
      </x:c>
      <x:c r="H164" s="28" t="n">
        <x:v>42770</x:v>
      </x:c>
      <x:c r="I164" t="str">
        <x:v>08:01:53</x:v>
      </x:c>
      <x:c r="J164" t="n">
        <x:v>2017</x:v>
      </x:c>
      <x:c r="K164" t="n">
        <x:v>18.21019281</x:v>
      </x:c>
      <x:c r="L164" t="n">
        <x:v>-64.97163161</x:v>
      </x:c>
      <x:c r="M164" t="n">
        <x:v>44.515</x:v>
      </x:c>
      <x:c r="N164" t="str">
        <x:v>https://nccospublicstor.blob.core.windows.net/biomapper/usviinsularshelf2017/videos/low/AA2017_171.mp4</x:v>
      </x:c>
      <x:c r="O164" t="n">
        <x:v>1</x:v>
      </x:c>
      <x:c r="P164" t="n">
        <x:v>0</x:v>
      </x:c>
      <x:c r="Q164" t="n">
        <x:v>0</x:v>
      </x:c>
      <x:c r="R164" t="n">
        <x:v>1</x:v>
      </x:c>
      <x:c r="S164" t="n">
        <x:v>0</x:v>
      </x:c>
      <x:c r="T164" t="n">
        <x:v>0</x:v>
      </x:c>
      <x:c r="U164" t="n">
        <x:v>1</x:v>
      </x:c>
      <x:c r="V164" t="n">
        <x:v>1</x:v>
      </x:c>
      <x:c r="W164" t="n">
        <x:v>0</x:v>
      </x:c>
      <x:c r="X164" t="n">
        <x:v>0</x:v>
      </x:c>
      <x:c r="Y164" t="n">
        <x:v>0</x:v>
      </x:c>
      <x:c r="Z164" t="n">
        <x:v>2</x:v>
      </x:c>
      <x:c r="AA164" t="n">
        <x:v>2</x:v>
      </x:c>
      <x:c r="AB164" t="str">
        <x:v>Pass</x:v>
      </x:c>
      <x:c r="AC164" t="str"/>
      <x:c r="AD164" t="str"/>
    </x:row>
    <x:row r="165">
      <x:c r="A165" t="str">
        <x:v>REC0164</x:v>
      </x:c>
      <x:c r="B165" t="n">
        <x:v>163</x:v>
      </x:c>
      <x:c r="C165" t="str">
        <x:v>St. Thomas, USVI</x:v>
      </x:c>
      <x:c r="D165" t="str">
        <x:v>AA</x:v>
      </x:c>
      <x:c r="E165" t="str">
        <x:v>Accuracy Assessment</x:v>
      </x:c>
      <x:c r="F165" t="str">
        <x:v>HD Seaviewer Drop Camera</x:v>
      </x:c>
      <x:c r="G165" t="str">
        <x:v>AA2017_172</x:v>
      </x:c>
      <x:c r="H165" s="28" t="n">
        <x:v>42769</x:v>
      </x:c>
      <x:c r="I165" t="str">
        <x:v>12:43:27</x:v>
      </x:c>
      <x:c r="J165" t="n">
        <x:v>2017</x:v>
      </x:c>
      <x:c r="K165" t="n">
        <x:v>18.22650358</x:v>
      </x:c>
      <x:c r="L165" t="n">
        <x:v>-64.97041957</x:v>
      </x:c>
      <x:c r="M165" t="n">
        <x:v>40.926</x:v>
      </x:c>
      <x:c r="N165" t="str">
        <x:v>https://nccospublicstor.blob.core.windows.net/biomapper/usviinsularshelf2017/videos/low/AA2017_172.mp4</x:v>
      </x:c>
      <x:c r="O165" t="n">
        <x:v>0</x:v>
      </x:c>
      <x:c r="P165" t="n">
        <x:v>0</x:v>
      </x:c>
      <x:c r="Q165" t="n">
        <x:v>1</x:v>
      </x:c>
      <x:c r="R165" t="n">
        <x:v>1</x:v>
      </x:c>
      <x:c r="S165" t="n">
        <x:v>0</x:v>
      </x:c>
      <x:c r="T165" t="n">
        <x:v>0</x:v>
      </x:c>
      <x:c r="U165" t="n">
        <x:v>1</x:v>
      </x:c>
      <x:c r="V165" t="n">
        <x:v>1</x:v>
      </x:c>
      <x:c r="W165" t="n">
        <x:v>0</x:v>
      </x:c>
      <x:c r="X165" t="n">
        <x:v>0</x:v>
      </x:c>
      <x:c r="Y165" t="n">
        <x:v>0</x:v>
      </x:c>
      <x:c r="Z165" t="n">
        <x:v>2</x:v>
      </x:c>
      <x:c r="AA165" t="n">
        <x:v>2</x:v>
      </x:c>
      <x:c r="AB165" t="str">
        <x:v>Pass</x:v>
      </x:c>
      <x:c r="AC165" t="str"/>
      <x:c r="AD165" t="str"/>
    </x:row>
    <x:row r="166">
      <x:c r="A166" t="str">
        <x:v>REC0165</x:v>
      </x:c>
      <x:c r="B166" t="n">
        <x:v>164</x:v>
      </x:c>
      <x:c r="C166" t="str">
        <x:v>St. Thomas, USVI</x:v>
      </x:c>
      <x:c r="D166" t="str">
        <x:v>AA</x:v>
      </x:c>
      <x:c r="E166" t="str">
        <x:v>Accuracy Assessment</x:v>
      </x:c>
      <x:c r="F166" t="str">
        <x:v>HD Seaviewer Drop Camera</x:v>
      </x:c>
      <x:c r="G166" t="str">
        <x:v>AA2017_173</x:v>
      </x:c>
      <x:c r="H166" s="28" t="n">
        <x:v>42769</x:v>
      </x:c>
      <x:c r="I166" t="str">
        <x:v>13:25:27</x:v>
      </x:c>
      <x:c r="J166" t="n">
        <x:v>2017</x:v>
      </x:c>
      <x:c r="K166" t="n">
        <x:v>18.25782796</x:v>
      </x:c>
      <x:c r="L166" t="n">
        <x:v>-64.96998516</x:v>
      </x:c>
      <x:c r="M166" t="n">
        <x:v>36.911</x:v>
      </x:c>
      <x:c r="N166" t="str">
        <x:v>https://nccospublicstor.blob.core.windows.net/biomapper/usviinsularshelf2017/videos/low/AA2017_173.mp4</x:v>
      </x:c>
      <x:c r="O166" t="n">
        <x:v>0</x:v>
      </x:c>
      <x:c r="P166" t="n">
        <x:v>0</x:v>
      </x:c>
      <x:c r="Q166" t="n">
        <x:v>1</x:v>
      </x:c>
      <x:c r="R166" t="n">
        <x:v>1</x:v>
      </x:c>
      <x:c r="S166" t="n">
        <x:v>0</x:v>
      </x:c>
      <x:c r="T166" t="n">
        <x:v>0</x:v>
      </x:c>
      <x:c r="U166" t="n">
        <x:v>1</x:v>
      </x:c>
      <x:c r="V166" t="n">
        <x:v>1</x:v>
      </x:c>
      <x:c r="W166" t="n">
        <x:v>0</x:v>
      </x:c>
      <x:c r="X166" t="n">
        <x:v>0</x:v>
      </x:c>
      <x:c r="Y166" t="n">
        <x:v>0</x:v>
      </x:c>
      <x:c r="Z166" t="n">
        <x:v>2</x:v>
      </x:c>
      <x:c r="AA166" t="n">
        <x:v>2</x:v>
      </x:c>
      <x:c r="AB166" t="str">
        <x:v>Pass</x:v>
      </x:c>
      <x:c r="AC166" t="str"/>
      <x:c r="AD166" t="str"/>
    </x:row>
    <x:row r="167">
      <x:c r="A167" t="str">
        <x:v>REC0166</x:v>
      </x:c>
      <x:c r="B167" t="n">
        <x:v>165</x:v>
      </x:c>
      <x:c r="C167" t="str">
        <x:v>St. Thomas, USVI</x:v>
      </x:c>
      <x:c r="D167" t="str">
        <x:v>AA</x:v>
      </x:c>
      <x:c r="E167" t="str">
        <x:v>Accuracy Assessment</x:v>
      </x:c>
      <x:c r="F167" t="str">
        <x:v>HD Seaviewer Drop Camera</x:v>
      </x:c>
      <x:c r="G167" t="str">
        <x:v>AA2017_175</x:v>
      </x:c>
      <x:c r="H167" s="28" t="n">
        <x:v>42769</x:v>
      </x:c>
      <x:c r="I167" t="str">
        <x:v>13:33:26</x:v>
      </x:c>
      <x:c r="J167" t="n">
        <x:v>2017</x:v>
      </x:c>
      <x:c r="K167" t="n">
        <x:v>18.26770722</x:v>
      </x:c>
      <x:c r="L167" t="n">
        <x:v>-64.96632969</x:v>
      </x:c>
      <x:c r="M167" t="n">
        <x:v>33.207</x:v>
      </x:c>
      <x:c r="N167" t="str">
        <x:v>https://nccospublicstor.blob.core.windows.net/biomapper/usviinsularshelf2017/videos/low/AA2017_175.mp4</x:v>
      </x:c>
      <x:c r="O167" t="n">
        <x:v>0</x:v>
      </x:c>
      <x:c r="P167" t="n">
        <x:v>0</x:v>
      </x:c>
      <x:c r="Q167" t="n">
        <x:v>0</x:v>
      </x:c>
      <x:c r="R167" t="n">
        <x:v>1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1</x:v>
      </x:c>
      <x:c r="AA167" t="n">
        <x:v>0</x:v>
      </x:c>
      <x:c r="AB167" t="str">
        <x:v>Pass</x:v>
      </x:c>
      <x:c r="AC167" t="str"/>
      <x:c r="AD167" t="str"/>
    </x:row>
    <x:row r="168">
      <x:c r="A168" t="str">
        <x:v>REC0167</x:v>
      </x:c>
      <x:c r="B168" t="n">
        <x:v>166</x:v>
      </x:c>
      <x:c r="C168" t="str">
        <x:v>St. Thomas, USVI</x:v>
      </x:c>
      <x:c r="D168" t="str">
        <x:v>AA</x:v>
      </x:c>
      <x:c r="E168" t="str">
        <x:v>Accuracy Assessment</x:v>
      </x:c>
      <x:c r="F168" t="str">
        <x:v>HD Seaviewer Drop Camera</x:v>
      </x:c>
      <x:c r="G168" t="str">
        <x:v>AA2017_176</x:v>
      </x:c>
      <x:c r="H168" s="28" t="n">
        <x:v>42769</x:v>
      </x:c>
      <x:c r="I168" t="str">
        <x:v>13:17:05</x:v>
      </x:c>
      <x:c r="J168" t="n">
        <x:v>2017</x:v>
      </x:c>
      <x:c r="K168" t="n">
        <x:v>18.24282063</x:v>
      </x:c>
      <x:c r="L168" t="n">
        <x:v>-64.96532527</x:v>
      </x:c>
      <x:c r="M168" t="n">
        <x:v>40.066</x:v>
      </x:c>
      <x:c r="N168" t="str">
        <x:v>https://nccospublicstor.blob.core.windows.net/biomapper/usviinsularshelf2017/videos/low/AA2017_176.mp4</x:v>
      </x:c>
      <x:c r="O168" t="n">
        <x:v>0</x:v>
      </x:c>
      <x:c r="P168" t="n">
        <x:v>0</x:v>
      </x:c>
      <x:c r="Q168" t="n">
        <x:v>1</x:v>
      </x:c>
      <x:c r="R168" t="n">
        <x:v>1</x:v>
      </x:c>
      <x:c r="S168" t="n">
        <x:v>0</x:v>
      </x:c>
      <x:c r="T168" t="n">
        <x:v>0</x:v>
      </x:c>
      <x:c r="U168" t="n">
        <x:v>1</x:v>
      </x:c>
      <x:c r="V168" t="n">
        <x:v>1</x:v>
      </x:c>
      <x:c r="W168" t="n">
        <x:v>0</x:v>
      </x:c>
      <x:c r="X168" t="n">
        <x:v>0</x:v>
      </x:c>
      <x:c r="Y168" t="n">
        <x:v>0</x:v>
      </x:c>
      <x:c r="Z168" t="n">
        <x:v>2</x:v>
      </x:c>
      <x:c r="AA168" t="n">
        <x:v>2</x:v>
      </x:c>
      <x:c r="AB168" t="str">
        <x:v>Pass</x:v>
      </x:c>
      <x:c r="AC168" t="str"/>
      <x:c r="AD168" t="str"/>
    </x:row>
    <x:row r="169">
      <x:c r="A169" t="str">
        <x:v>REC0168</x:v>
      </x:c>
      <x:c r="B169" t="n">
        <x:v>167</x:v>
      </x:c>
      <x:c r="C169" t="str">
        <x:v>St. Thomas, USVI</x:v>
      </x:c>
      <x:c r="D169" t="str">
        <x:v>AA</x:v>
      </x:c>
      <x:c r="E169" t="str">
        <x:v>Accuracy Assessment</x:v>
      </x:c>
      <x:c r="F169" t="str">
        <x:v>HD Seaviewer Drop Camera</x:v>
      </x:c>
      <x:c r="G169" t="str">
        <x:v>AA2017_178</x:v>
      </x:c>
      <x:c r="H169" s="28" t="n">
        <x:v>42770</x:v>
      </x:c>
      <x:c r="I169" t="str">
        <x:v>07:53:25</x:v>
      </x:c>
      <x:c r="J169" t="n">
        <x:v>2017</x:v>
      </x:c>
      <x:c r="K169" t="n">
        <x:v>18.21785315</x:v>
      </x:c>
      <x:c r="L169" t="n">
        <x:v>-64.96453149</x:v>
      </x:c>
      <x:c r="M169" t="n">
        <x:v>43.903</x:v>
      </x:c>
      <x:c r="N169" t="str">
        <x:v>https://nccospublicstor.blob.core.windows.net/biomapper/usviinsularshelf2017/videos/low/AA2017_178.mp4</x:v>
      </x:c>
      <x:c r="O169" t="n">
        <x:v>0</x:v>
      </x:c>
      <x:c r="P169" t="n">
        <x:v>0</x:v>
      </x:c>
      <x:c r="Q169" t="n">
        <x:v>1</x:v>
      </x:c>
      <x:c r="R169" t="n">
        <x:v>1</x:v>
      </x:c>
      <x:c r="S169" t="n">
        <x:v>0</x:v>
      </x:c>
      <x:c r="T169" t="n">
        <x:v>0</x:v>
      </x:c>
      <x:c r="U169" t="n">
        <x:v>1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2</x:v>
      </x:c>
      <x:c r="AA169" t="n">
        <x:v>1</x:v>
      </x:c>
      <x:c r="AB169" t="str">
        <x:v>Pass</x:v>
      </x:c>
      <x:c r="AC169" t="str"/>
      <x:c r="AD169" t="str"/>
    </x:row>
    <x:row r="170">
      <x:c r="A170" t="str">
        <x:v>REC0169</x:v>
      </x:c>
      <x:c r="B170" t="n">
        <x:v>168</x:v>
      </x:c>
      <x:c r="C170" t="str">
        <x:v>St. Thomas, USVI</x:v>
      </x:c>
      <x:c r="D170" t="str">
        <x:v>AA</x:v>
      </x:c>
      <x:c r="E170" t="str">
        <x:v>Accuracy Assessment</x:v>
      </x:c>
      <x:c r="F170" t="str">
        <x:v>HD Seaviewer Drop Camera</x:v>
      </x:c>
      <x:c r="G170" t="str">
        <x:v>AA2017_179</x:v>
      </x:c>
      <x:c r="H170" s="28" t="n">
        <x:v>42770</x:v>
      </x:c>
      <x:c r="I170" t="str">
        <x:v>08:19:14</x:v>
      </x:c>
      <x:c r="J170" t="n">
        <x:v>2017</x:v>
      </x:c>
      <x:c r="K170" t="n">
        <x:v>18.20163057</x:v>
      </x:c>
      <x:c r="L170" t="n">
        <x:v>-64.9609455</x:v>
      </x:c>
      <x:c r="M170" t="n">
        <x:v>50.444</x:v>
      </x:c>
      <x:c r="N170" t="str">
        <x:v>https://nccospublicstor.blob.core.windows.net/biomapper/usviinsularshelf2017/videos/low/AA2017_179.mp4</x:v>
      </x:c>
      <x:c r="O170" t="n">
        <x:v>0</x:v>
      </x:c>
      <x:c r="P170" t="n">
        <x:v>1</x:v>
      </x:c>
      <x:c r="Q170" t="n">
        <x:v>0</x:v>
      </x:c>
      <x:c r="R170" t="n">
        <x:v>1</x:v>
      </x:c>
      <x:c r="S170" t="n">
        <x:v>0</x:v>
      </x:c>
      <x:c r="T170" t="n">
        <x:v>1</x:v>
      </x:c>
      <x:c r="U170" t="n">
        <x:v>1</x:v>
      </x:c>
      <x:c r="V170" t="n">
        <x:v>1</x:v>
      </x:c>
      <x:c r="W170" t="n">
        <x:v>0</x:v>
      </x:c>
      <x:c r="X170" t="n">
        <x:v>0</x:v>
      </x:c>
      <x:c r="Y170" t="n">
        <x:v>0</x:v>
      </x:c>
      <x:c r="Z170" t="n">
        <x:v>2</x:v>
      </x:c>
      <x:c r="AA170" t="n">
        <x:v>3</x:v>
      </x:c>
      <x:c r="AB170" t="str">
        <x:v>Pass</x:v>
      </x:c>
      <x:c r="AC170" t="str"/>
      <x:c r="AD170" t="str">
        <x:v>small patch reef, algae looks filamentous but hard to tell</x:v>
      </x:c>
    </x:row>
    <x:row r="171">
      <x:c r="A171" t="str">
        <x:v>REC0170</x:v>
      </x:c>
      <x:c r="B171" t="n">
        <x:v>169</x:v>
      </x:c>
      <x:c r="C171" t="str">
        <x:v>St. Thomas, USVI</x:v>
      </x:c>
      <x:c r="D171" t="str">
        <x:v>AA</x:v>
      </x:c>
      <x:c r="E171" t="str">
        <x:v>Accuracy Assessment</x:v>
      </x:c>
      <x:c r="F171" t="str">
        <x:v>HD Seaviewer Drop Camera</x:v>
      </x:c>
      <x:c r="G171" t="str">
        <x:v>AA2017_180</x:v>
      </x:c>
      <x:c r="H171" s="28" t="n">
        <x:v>42770</x:v>
      </x:c>
      <x:c r="I171" t="str">
        <x:v>08:11:52</x:v>
      </x:c>
      <x:c r="J171" t="n">
        <x:v>2017</x:v>
      </x:c>
      <x:c r="K171" t="n">
        <x:v>18.20730759</x:v>
      </x:c>
      <x:c r="L171" t="n">
        <x:v>-64.9610165</x:v>
      </x:c>
      <x:c r="M171" t="n">
        <x:v>44.3</x:v>
      </x:c>
      <x:c r="N171" t="str">
        <x:v>https://nccospublicstor.blob.core.windows.net/biomapper/usviinsularshelf2017/videos/low/AA2017_180.mp4</x:v>
      </x:c>
      <x:c r="O171" t="n">
        <x:v>1</x:v>
      </x:c>
      <x:c r="P171" t="n">
        <x:v>0</x:v>
      </x:c>
      <x:c r="Q171" t="n">
        <x:v>0</x:v>
      </x:c>
      <x:c r="R171" t="n">
        <x:v>1</x:v>
      </x:c>
      <x:c r="S171" t="n">
        <x:v>1</x:v>
      </x:c>
      <x:c r="T171" t="n">
        <x:v>1</x:v>
      </x:c>
      <x:c r="U171" t="n">
        <x:v>1</x:v>
      </x:c>
      <x:c r="V171" t="n">
        <x:v>1</x:v>
      </x:c>
      <x:c r="W171" t="n">
        <x:v>0</x:v>
      </x:c>
      <x:c r="X171" t="n">
        <x:v>0</x:v>
      </x:c>
      <x:c r="Y171" t="n">
        <x:v>0</x:v>
      </x:c>
      <x:c r="Z171" t="n">
        <x:v>2</x:v>
      </x:c>
      <x:c r="AA171" t="n">
        <x:v>4</x:v>
      </x:c>
      <x:c r="AB171" t="str">
        <x:v>Pass</x:v>
      </x:c>
      <x:c r="AC171" t="str"/>
      <x:c r="AD171" t="str"/>
    </x:row>
    <x:row r="172">
      <x:c r="A172" t="str">
        <x:v>REC0171</x:v>
      </x:c>
      <x:c r="B172" t="n">
        <x:v>170</x:v>
      </x:c>
      <x:c r="C172" t="str">
        <x:v>St. Thomas, USVI</x:v>
      </x:c>
      <x:c r="D172" t="str">
        <x:v>AA</x:v>
      </x:c>
      <x:c r="E172" t="str">
        <x:v>Accuracy Assessment</x:v>
      </x:c>
      <x:c r="F172" t="str">
        <x:v>HD Seaviewer Drop Camera</x:v>
      </x:c>
      <x:c r="G172" t="str">
        <x:v>AA2017_181</x:v>
      </x:c>
      <x:c r="H172" s="28" t="n">
        <x:v>42769</x:v>
      </x:c>
      <x:c r="I172" t="str">
        <x:v>12:59:05</x:v>
      </x:c>
      <x:c r="J172" t="n">
        <x:v>2017</x:v>
      </x:c>
      <x:c r="K172" t="n">
        <x:v>18.23130061</x:v>
      </x:c>
      <x:c r="L172" t="n">
        <x:v>-64.95965425</x:v>
      </x:c>
      <x:c r="M172" t="n">
        <x:v>42.12</x:v>
      </x:c>
      <x:c r="N172" t="str">
        <x:v>https://nccospublicstor.blob.core.windows.net/biomapper/usviinsularshelf2017/videos/low/AA2017_181.mp4</x:v>
      </x:c>
      <x:c r="O172" t="n">
        <x:v>0</x:v>
      </x:c>
      <x:c r="P172" t="n">
        <x:v>0</x:v>
      </x:c>
      <x:c r="Q172" t="n">
        <x:v>0</x:v>
      </x:c>
      <x:c r="R172" t="n">
        <x:v>1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1</x:v>
      </x:c>
      <x:c r="AA172" t="n">
        <x:v>0</x:v>
      </x:c>
      <x:c r="AB172" t="str">
        <x:v>Pass</x:v>
      </x:c>
      <x:c r="AC172" t="str"/>
      <x:c r="AD172" t="str">
        <x:v>low abundances of macroalgae, and rhodoliths</x:v>
      </x:c>
    </x:row>
    <x:row r="173">
      <x:c r="A173" t="str">
        <x:v>REC0172</x:v>
      </x:c>
      <x:c r="B173" t="n">
        <x:v>171</x:v>
      </x:c>
      <x:c r="C173" t="str">
        <x:v>St. Thomas, USVI</x:v>
      </x:c>
      <x:c r="D173" t="str">
        <x:v>AA</x:v>
      </x:c>
      <x:c r="E173" t="str">
        <x:v>Accuracy Assessment</x:v>
      </x:c>
      <x:c r="F173" t="str">
        <x:v>HD Seaviewer Drop Camera</x:v>
      </x:c>
      <x:c r="G173" t="str">
        <x:v>AA2017_182</x:v>
      </x:c>
      <x:c r="H173" s="28" t="n">
        <x:v>42770</x:v>
      </x:c>
      <x:c r="I173" t="str">
        <x:v>09:48:05</x:v>
      </x:c>
      <x:c r="J173" t="n">
        <x:v>2017</x:v>
      </x:c>
      <x:c r="K173" t="n">
        <x:v>18.21629975</x:v>
      </x:c>
      <x:c r="L173" t="n">
        <x:v>-64.95353465</x:v>
      </x:c>
      <x:c r="M173" t="n">
        <x:v>43.374</x:v>
      </x:c>
      <x:c r="N173" t="str">
        <x:v>https://nccospublicstor.blob.core.windows.net/biomapper/usviinsularshelf2017/videos/low/AA2017_182.mp4</x:v>
      </x:c>
      <x:c r="O173" t="n">
        <x:v>0</x:v>
      </x:c>
      <x:c r="P173" t="n">
        <x:v>0</x:v>
      </x:c>
      <x:c r="Q173" t="n">
        <x:v>1</x:v>
      </x:c>
      <x:c r="R173" t="n">
        <x:v>0</x:v>
      </x:c>
      <x:c r="S173" t="n">
        <x:v>0</x:v>
      </x:c>
      <x:c r="T173" t="n">
        <x:v>0</x:v>
      </x:c>
      <x:c r="U173" t="n">
        <x:v>1</x:v>
      </x:c>
      <x:c r="V173" t="n">
        <x:v>1</x:v>
      </x:c>
      <x:c r="W173" t="n">
        <x:v>0</x:v>
      </x:c>
      <x:c r="X173" t="n">
        <x:v>0</x:v>
      </x:c>
      <x:c r="Y173" t="n">
        <x:v>0</x:v>
      </x:c>
      <x:c r="Z173" t="n">
        <x:v>1</x:v>
      </x:c>
      <x:c r="AA173" t="n">
        <x:v>2</x:v>
      </x:c>
      <x:c r="AB173" t="str">
        <x:v>Pass</x:v>
      </x:c>
      <x:c r="AC173" t="str"/>
      <x:c r="AD173" t="str"/>
    </x:row>
    <x:row r="174">
      <x:c r="A174" t="str">
        <x:v>REC0173</x:v>
      </x:c>
      <x:c r="B174" t="n">
        <x:v>172</x:v>
      </x:c>
      <x:c r="C174" t="str">
        <x:v>St. Thomas, USVI</x:v>
      </x:c>
      <x:c r="D174" t="str">
        <x:v>AA</x:v>
      </x:c>
      <x:c r="E174" t="str">
        <x:v>Accuracy Assessment</x:v>
      </x:c>
      <x:c r="F174" t="str">
        <x:v>HD Seaviewer Drop Camera</x:v>
      </x:c>
      <x:c r="G174" t="str">
        <x:v>AA2017_183</x:v>
      </x:c>
      <x:c r="H174" s="28" t="n">
        <x:v>42770</x:v>
      </x:c>
      <x:c r="I174" t="str">
        <x:v>12:27:25</x:v>
      </x:c>
      <x:c r="J174" t="n">
        <x:v>2017</x:v>
      </x:c>
      <x:c r="K174" t="n">
        <x:v>18.25339185</x:v>
      </x:c>
      <x:c r="L174" t="n">
        <x:v>-64.95343407</x:v>
      </x:c>
      <x:c r="M174" t="n">
        <x:v>40.898</x:v>
      </x:c>
      <x:c r="N174" t="str">
        <x:v>https://nccospublicstor.blob.core.windows.net/biomapper/usviinsularshelf2017/videos/low/AA2017_183.mp4</x:v>
      </x:c>
      <x:c r="O174" t="n">
        <x:v>0</x:v>
      </x:c>
      <x:c r="P174" t="n">
        <x:v>0</x:v>
      </x:c>
      <x:c r="Q174" t="n">
        <x:v>0</x:v>
      </x:c>
      <x:c r="R174" t="n">
        <x:v>1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1</x:v>
      </x:c>
      <x:c r="AA174" t="n">
        <x:v>0</x:v>
      </x:c>
      <x:c r="AB174" t="str">
        <x:v>Pass</x:v>
      </x:c>
      <x:c r="AC174" t="str"/>
      <x:c r="AD174" t="str">
        <x:v>filamentous algae</x:v>
      </x:c>
    </x:row>
    <x:row r="175">
      <x:c r="A175" t="str">
        <x:v>REC0174</x:v>
      </x:c>
      <x:c r="B175" t="n">
        <x:v>173</x:v>
      </x:c>
      <x:c r="C175" t="str">
        <x:v>St. Thomas, USVI</x:v>
      </x:c>
      <x:c r="D175" t="str">
        <x:v>AA</x:v>
      </x:c>
      <x:c r="E175" t="str">
        <x:v>Accuracy Assessment</x:v>
      </x:c>
      <x:c r="F175" t="str">
        <x:v>HD Seaviewer Drop Camera</x:v>
      </x:c>
      <x:c r="G175" t="str">
        <x:v>AA2017_184</x:v>
      </x:c>
      <x:c r="H175" s="28" t="n">
        <x:v>42770</x:v>
      </x:c>
      <x:c r="I175" t="str">
        <x:v>12:59:57</x:v>
      </x:c>
      <x:c r="J175" t="n">
        <x:v>2017</x:v>
      </x:c>
      <x:c r="K175" t="n">
        <x:v>18.24030223</x:v>
      </x:c>
      <x:c r="L175" t="n">
        <x:v>-64.95330256</x:v>
      </x:c>
      <x:c r="M175" t="n">
        <x:v>41.473</x:v>
      </x:c>
      <x:c r="N175" t="str">
        <x:v>https://nccospublicstor.blob.core.windows.net/biomapper/usviinsularshelf2017/videos/low/AA2017_184.mp4</x:v>
      </x:c>
      <x:c r="O175" t="n">
        <x:v>0</x:v>
      </x:c>
      <x:c r="P175" t="n">
        <x:v>0</x:v>
      </x:c>
      <x:c r="Q175" t="n">
        <x:v>1</x:v>
      </x:c>
      <x:c r="R175" t="n">
        <x:v>0</x:v>
      </x:c>
      <x:c r="S175" t="n">
        <x:v>0</x:v>
      </x:c>
      <x:c r="T175" t="n">
        <x:v>0</x:v>
      </x:c>
      <x:c r="U175" t="n">
        <x:v>1</x:v>
      </x:c>
      <x:c r="V175" t="n">
        <x:v>1</x:v>
      </x:c>
      <x:c r="W175" t="n">
        <x:v>0</x:v>
      </x:c>
      <x:c r="X175" t="n">
        <x:v>0</x:v>
      </x:c>
      <x:c r="Y175" t="n">
        <x:v>0</x:v>
      </x:c>
      <x:c r="Z175" t="n">
        <x:v>1</x:v>
      </x:c>
      <x:c r="AA175" t="n">
        <x:v>2</x:v>
      </x:c>
      <x:c r="AB175" t="str">
        <x:v>Pass</x:v>
      </x:c>
      <x:c r="AC175" t="str"/>
      <x:c r="AD175" t="str">
        <x:v>Sand clost to &gt;20%</x:v>
      </x:c>
    </x:row>
    <x:row r="176">
      <x:c r="A176" t="str">
        <x:v>REC0175</x:v>
      </x:c>
      <x:c r="B176" t="n">
        <x:v>174</x:v>
      </x:c>
      <x:c r="C176" t="str">
        <x:v>St. Thomas, USVI</x:v>
      </x:c>
      <x:c r="D176" t="str">
        <x:v>AA</x:v>
      </x:c>
      <x:c r="E176" t="str">
        <x:v>Accuracy Assessment</x:v>
      </x:c>
      <x:c r="F176" t="str">
        <x:v>HD Seaviewer Drop Camera</x:v>
      </x:c>
      <x:c r="G176" t="str">
        <x:v>AA2017_185</x:v>
      </x:c>
      <x:c r="H176" s="28" t="n">
        <x:v>42770</x:v>
      </x:c>
      <x:c r="I176" t="str">
        <x:v>12:16:56</x:v>
      </x:c>
      <x:c r="J176" t="n">
        <x:v>2017</x:v>
      </x:c>
      <x:c r="K176" t="n">
        <x:v>18.26125037</x:v>
      </x:c>
      <x:c r="L176" t="n">
        <x:v>-64.95256503</x:v>
      </x:c>
      <x:c r="M176" t="n">
        <x:v>35.963</x:v>
      </x:c>
      <x:c r="N176" t="str">
        <x:v>https://nccospublicstor.blob.core.windows.net/biomapper/usviinsularshelf2017/videos/low/AA2017_185.mp4</x:v>
      </x:c>
      <x:c r="O176" t="n">
        <x:v>0</x:v>
      </x:c>
      <x:c r="P176" t="n">
        <x:v>0</x:v>
      </x:c>
      <x:c r="Q176" t="n">
        <x:v>1</x:v>
      </x:c>
      <x:c r="R176" t="n">
        <x:v>1</x:v>
      </x:c>
      <x:c r="S176" t="n">
        <x:v>0</x:v>
      </x:c>
      <x:c r="T176" t="n">
        <x:v>0</x:v>
      </x:c>
      <x:c r="U176" t="n">
        <x:v>1</x:v>
      </x:c>
      <x:c r="V176" t="n">
        <x:v>1</x:v>
      </x:c>
      <x:c r="W176" t="n">
        <x:v>0</x:v>
      </x:c>
      <x:c r="X176" t="n">
        <x:v>0</x:v>
      </x:c>
      <x:c r="Y176" t="n">
        <x:v>0</x:v>
      </x:c>
      <x:c r="Z176" t="n">
        <x:v>2</x:v>
      </x:c>
      <x:c r="AA176" t="n">
        <x:v>2</x:v>
      </x:c>
      <x:c r="AB176" t="str">
        <x:v>Pass</x:v>
      </x:c>
      <x:c r="AC176" t="str"/>
      <x:c r="AD176" t="str"/>
    </x:row>
    <x:row r="177">
      <x:c r="A177" t="str">
        <x:v>REC0176</x:v>
      </x:c>
      <x:c r="B177" t="n">
        <x:v>175</x:v>
      </x:c>
      <x:c r="C177" t="str">
        <x:v>St. Thomas, USVI</x:v>
      </x:c>
      <x:c r="D177" t="str">
        <x:v>AA</x:v>
      </x:c>
      <x:c r="E177" t="str">
        <x:v>Accuracy Assessment</x:v>
      </x:c>
      <x:c r="F177" t="str">
        <x:v>HD Seaviewer Drop Camera</x:v>
      </x:c>
      <x:c r="G177" t="str">
        <x:v>AA2017_186</x:v>
      </x:c>
      <x:c r="H177" s="28" t="n">
        <x:v>42770</x:v>
      </x:c>
      <x:c r="I177" t="str">
        <x:v>09:56:42</x:v>
      </x:c>
      <x:c r="J177" t="n">
        <x:v>2017</x:v>
      </x:c>
      <x:c r="K177" t="n">
        <x:v>18.22262451</x:v>
      </x:c>
      <x:c r="L177" t="n">
        <x:v>-64.95114181</x:v>
      </x:c>
      <x:c r="M177" t="n">
        <x:v>44.076</x:v>
      </x:c>
      <x:c r="N177" t="str">
        <x:v>https://nccospublicstor.blob.core.windows.net/biomapper/usviinsularshelf2017/videos/low/AA2017_186.mp4</x:v>
      </x:c>
      <x:c r="O177" t="n">
        <x:v>0</x:v>
      </x:c>
      <x:c r="P177" t="n">
        <x:v>0</x:v>
      </x:c>
      <x:c r="Q177" t="n">
        <x:v>1</x:v>
      </x:c>
      <x:c r="R177" t="n">
        <x:v>1</x:v>
      </x:c>
      <x:c r="S177" t="n">
        <x:v>0</x:v>
      </x:c>
      <x:c r="T177" t="n">
        <x:v>0</x:v>
      </x:c>
      <x:c r="U177" t="n">
        <x:v>1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2</x:v>
      </x:c>
      <x:c r="AA177" t="n">
        <x:v>1</x:v>
      </x:c>
      <x:c r="AB177" t="str">
        <x:v>Pass</x:v>
      </x:c>
      <x:c r="AC177" t="str"/>
      <x:c r="AD177" t="str"/>
    </x:row>
    <x:row r="178">
      <x:c r="A178" t="str">
        <x:v>REC0177</x:v>
      </x:c>
      <x:c r="B178" t="n">
        <x:v>176</x:v>
      </x:c>
      <x:c r="C178" t="str">
        <x:v>St. Thomas, USVI</x:v>
      </x:c>
      <x:c r="D178" t="str">
        <x:v>AA</x:v>
      </x:c>
      <x:c r="E178" t="str">
        <x:v>Accuracy Assessment</x:v>
      </x:c>
      <x:c r="F178" t="str">
        <x:v>HD Seaviewer Drop Camera</x:v>
      </x:c>
      <x:c r="G178" t="str">
        <x:v>AA2017_187</x:v>
      </x:c>
      <x:c r="H178" s="28" t="n">
        <x:v>42770</x:v>
      </x:c>
      <x:c r="I178" t="str">
        <x:v>08:59:33</x:v>
      </x:c>
      <x:c r="J178" t="n">
        <x:v>2017</x:v>
      </x:c>
      <x:c r="K178" t="n">
        <x:v>18.19438194</x:v>
      </x:c>
      <x:c r="L178" t="n">
        <x:v>-64.94918285</x:v>
      </x:c>
      <x:c r="M178" t="n">
        <x:v>43.547</x:v>
      </x:c>
      <x:c r="N178" t="str">
        <x:v>https://nccospublicstor.blob.core.windows.net/biomapper/usviinsularshelf2017/videos/low/AA2017_187.mp4</x:v>
      </x:c>
      <x:c r="O178" t="n">
        <x:v>1</x:v>
      </x:c>
      <x:c r="P178" t="n">
        <x:v>0</x:v>
      </x:c>
      <x:c r="Q178" t="n">
        <x:v>0</x:v>
      </x:c>
      <x:c r="R178" t="n">
        <x:v>0</x:v>
      </x:c>
      <x:c r="S178" t="n">
        <x:v>1</x:v>
      </x:c>
      <x:c r="T178" t="n">
        <x:v>0</x:v>
      </x:c>
      <x:c r="U178" t="n">
        <x:v>1</x:v>
      </x:c>
      <x:c r="V178" t="n">
        <x:v>1</x:v>
      </x:c>
      <x:c r="W178" t="n">
        <x:v>0</x:v>
      </x:c>
      <x:c r="X178" t="n">
        <x:v>0</x:v>
      </x:c>
      <x:c r="Y178" t="n">
        <x:v>0</x:v>
      </x:c>
      <x:c r="Z178" t="n">
        <x:v>1</x:v>
      </x:c>
      <x:c r="AA178" t="n">
        <x:v>3</x:v>
      </x:c>
      <x:c r="AB178" t="str">
        <x:v>Pass</x:v>
      </x:c>
      <x:c r="AC178" t="str"/>
      <x:c r="AD178" t="str"/>
    </x:row>
    <x:row r="179">
      <x:c r="A179" t="str">
        <x:v>REC0178</x:v>
      </x:c>
      <x:c r="B179" t="n">
        <x:v>177</x:v>
      </x:c>
      <x:c r="C179" t="str">
        <x:v>St. Thomas, USVI</x:v>
      </x:c>
      <x:c r="D179" t="str">
        <x:v>AA</x:v>
      </x:c>
      <x:c r="E179" t="str">
        <x:v>Accuracy Assessment</x:v>
      </x:c>
      <x:c r="F179" t="str">
        <x:v>HD Seaviewer Drop Camera</x:v>
      </x:c>
      <x:c r="G179" t="str">
        <x:v>AA2017_189</x:v>
      </x:c>
      <x:c r="H179" s="28" t="n">
        <x:v>42770</x:v>
      </x:c>
      <x:c r="I179" t="str">
        <x:v>12:43:30</x:v>
      </x:c>
      <x:c r="J179" t="n">
        <x:v>2017</x:v>
      </x:c>
      <x:c r="K179" t="n">
        <x:v>18.25100356</x:v>
      </x:c>
      <x:c r="L179" t="n">
        <x:v>-64.9486539</x:v>
      </x:c>
      <x:c r="M179" t="n">
        <x:v>39.812</x:v>
      </x:c>
      <x:c r="N179" t="str">
        <x:v>https://nccospublicstor.blob.core.windows.net/biomapper/usviinsularshelf2017/videos/low/AA2017_189.mp4</x:v>
      </x:c>
      <x:c r="O179" t="n">
        <x:v>0</x:v>
      </x:c>
      <x:c r="P179" t="n">
        <x:v>0</x:v>
      </x:c>
      <x:c r="Q179" t="n">
        <x:v>0</x:v>
      </x:c>
      <x:c r="R179" t="n">
        <x:v>1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1</x:v>
      </x:c>
      <x:c r="AA179" t="n">
        <x:v>0</x:v>
      </x:c>
      <x:c r="AB179" t="str">
        <x:v>Pass</x:v>
      </x:c>
      <x:c r="AC179" t="str"/>
      <x:c r="AD179" t="str">
        <x:v>placard time was 13:45.  Check GPS. Collected 188 at point 189. Removed 188.</x:v>
      </x:c>
    </x:row>
    <x:row r="180">
      <x:c r="A180" t="str">
        <x:v>REC0179</x:v>
      </x:c>
      <x:c r="B180" t="n">
        <x:v>178</x:v>
      </x:c>
      <x:c r="C180" t="str">
        <x:v>St. Thomas, USVI</x:v>
      </x:c>
      <x:c r="D180" t="str">
        <x:v>AA</x:v>
      </x:c>
      <x:c r="E180" t="str">
        <x:v>Accuracy Assessment</x:v>
      </x:c>
      <x:c r="F180" t="str">
        <x:v>HD Seaviewer Drop Camera</x:v>
      </x:c>
      <x:c r="G180" t="str">
        <x:v>AA2017_190</x:v>
      </x:c>
      <x:c r="H180" s="28" t="n">
        <x:v>42770</x:v>
      </x:c>
      <x:c r="I180" t="str">
        <x:v>09:08:13</x:v>
      </x:c>
      <x:c r="J180" t="n">
        <x:v>2017</x:v>
      </x:c>
      <x:c r="K180" t="n">
        <x:v>18.19453066</x:v>
      </x:c>
      <x:c r="L180" t="n">
        <x:v>-64.94532533</x:v>
      </x:c>
      <x:c r="M180" t="n">
        <x:v>48.443</x:v>
      </x:c>
      <x:c r="N180" t="str">
        <x:v>https://nccospublicstor.blob.core.windows.net/biomapper/usviinsularshelf2017/videos/low/AA2017_190.mp4</x:v>
      </x:c>
      <x:c r="O180" t="n">
        <x:v>0</x:v>
      </x:c>
      <x:c r="P180" t="n">
        <x:v>1</x:v>
      </x:c>
      <x:c r="Q180" t="n">
        <x:v>0</x:v>
      </x:c>
      <x:c r="R180" t="n">
        <x:v>1</x:v>
      </x:c>
      <x:c r="S180" t="n">
        <x:v>0</x:v>
      </x:c>
      <x:c r="T180" t="n">
        <x:v>1</x:v>
      </x:c>
      <x:c r="U180" t="n">
        <x:v>0</x:v>
      </x:c>
      <x:c r="V180" t="n">
        <x:v>1</x:v>
      </x:c>
      <x:c r="W180" t="n">
        <x:v>0</x:v>
      </x:c>
      <x:c r="X180" t="n">
        <x:v>0</x:v>
      </x:c>
      <x:c r="Y180" t="n">
        <x:v>0</x:v>
      </x:c>
      <x:c r="Z180" t="n">
        <x:v>2</x:v>
      </x:c>
      <x:c r="AA180" t="n">
        <x:v>2</x:v>
      </x:c>
      <x:c r="AB180" t="str">
        <x:v>Pass</x:v>
      </x:c>
      <x:c r="AC180" t="str"/>
      <x:c r="AD180" t="str">
        <x:v>filamentous algae &gt;90%, on reef edge</x:v>
      </x:c>
    </x:row>
    <x:row r="181">
      <x:c r="A181" t="str">
        <x:v>REC0180</x:v>
      </x:c>
      <x:c r="B181" t="n">
        <x:v>179</x:v>
      </x:c>
      <x:c r="C181" t="str">
        <x:v>St. Thomas, USVI</x:v>
      </x:c>
      <x:c r="D181" t="str">
        <x:v>AA</x:v>
      </x:c>
      <x:c r="E181" t="str">
        <x:v>Accuracy Assessment</x:v>
      </x:c>
      <x:c r="F181" t="str">
        <x:v>HD Seaviewer Drop Camera</x:v>
      </x:c>
      <x:c r="G181" t="str">
        <x:v>AA2017_191</x:v>
      </x:c>
      <x:c r="H181" s="28" t="n">
        <x:v>42770</x:v>
      </x:c>
      <x:c r="I181" t="str">
        <x:v>12:10:11</x:v>
      </x:c>
      <x:c r="J181" t="n">
        <x:v>2017</x:v>
      </x:c>
      <x:c r="K181" t="n">
        <x:v>18.26346632</x:v>
      </x:c>
      <x:c r="L181" t="n">
        <x:v>-64.94394609</x:v>
      </x:c>
      <x:c r="M181" t="n">
        <x:v>32.704</x:v>
      </x:c>
      <x:c r="N181" t="str">
        <x:v>https://nccospublicstor.blob.core.windows.net/biomapper/usviinsularshelf2017/videos/low/AA2017_191.mp4</x:v>
      </x:c>
      <x:c r="O181" t="n">
        <x:v>0</x:v>
      </x:c>
      <x:c r="P181" t="n">
        <x:v>0</x:v>
      </x:c>
      <x:c r="Q181" t="n">
        <x:v>1</x:v>
      </x:c>
      <x:c r="R181" t="n">
        <x:v>1</x:v>
      </x:c>
      <x:c r="S181" t="n">
        <x:v>0</x:v>
      </x:c>
      <x:c r="T181" t="n">
        <x:v>0</x:v>
      </x:c>
      <x:c r="U181" t="n">
        <x:v>1</x:v>
      </x:c>
      <x:c r="V181" t="n">
        <x:v>1</x:v>
      </x:c>
      <x:c r="W181" t="n">
        <x:v>0</x:v>
      </x:c>
      <x:c r="X181" t="n">
        <x:v>0</x:v>
      </x:c>
      <x:c r="Y181" t="n">
        <x:v>0</x:v>
      </x:c>
      <x:c r="Z181" t="n">
        <x:v>2</x:v>
      </x:c>
      <x:c r="AA181" t="n">
        <x:v>2</x:v>
      </x:c>
      <x:c r="AB181" t="str">
        <x:v>Pass</x:v>
      </x:c>
      <x:c r="AC181" t="str"/>
      <x:c r="AD181" t="str"/>
    </x:row>
    <x:row r="182">
      <x:c r="A182" t="str">
        <x:v>REC0181</x:v>
      </x:c>
      <x:c r="B182" t="n">
        <x:v>180</x:v>
      </x:c>
      <x:c r="C182" t="str">
        <x:v>St. Thomas, USVI</x:v>
      </x:c>
      <x:c r="D182" t="str">
        <x:v>AA</x:v>
      </x:c>
      <x:c r="E182" t="str">
        <x:v>Accuracy Assessment</x:v>
      </x:c>
      <x:c r="F182" t="str">
        <x:v>HD Seaviewer Drop Camera</x:v>
      </x:c>
      <x:c r="G182" t="str">
        <x:v>AA2017_192</x:v>
      </x:c>
      <x:c r="H182" s="28" t="n">
        <x:v>42770</x:v>
      </x:c>
      <x:c r="I182" t="str">
        <x:v>12:51:53</x:v>
      </x:c>
      <x:c r="J182" t="n">
        <x:v>2017</x:v>
      </x:c>
      <x:c r="K182" t="n">
        <x:v>18.24605766</x:v>
      </x:c>
      <x:c r="L182" t="n">
        <x:v>-64.94327006</x:v>
      </x:c>
      <x:c r="M182" t="n">
        <x:v>39.782</x:v>
      </x:c>
      <x:c r="N182" t="str">
        <x:v>https://nccospublicstor.blob.core.windows.net/biomapper/usviinsularshelf2017/videos/low/AA2017_192.mp4</x:v>
      </x:c>
      <x:c r="O182" t="n">
        <x:v>0</x:v>
      </x:c>
      <x:c r="P182" t="n">
        <x:v>1</x:v>
      </x:c>
      <x:c r="Q182" t="n">
        <x:v>0</x:v>
      </x:c>
      <x:c r="R182" t="n">
        <x:v>1</x:v>
      </x:c>
      <x:c r="S182" t="n">
        <x:v>0</x:v>
      </x:c>
      <x:c r="T182" t="n">
        <x:v>1</x:v>
      </x:c>
      <x:c r="U182" t="n">
        <x:v>0</x:v>
      </x:c>
      <x:c r="V182" t="n">
        <x:v>1</x:v>
      </x:c>
      <x:c r="W182" t="n">
        <x:v>0</x:v>
      </x:c>
      <x:c r="X182" t="n">
        <x:v>0</x:v>
      </x:c>
      <x:c r="Y182" t="n">
        <x:v>0</x:v>
      </x:c>
      <x:c r="Z182" t="n">
        <x:v>2</x:v>
      </x:c>
      <x:c r="AA182" t="n">
        <x:v>2</x:v>
      </x:c>
      <x:c r="AB182" t="str">
        <x:v>Pass</x:v>
      </x:c>
      <x:c r="AC182" t="str"/>
      <x:c r="AD182" t="str">
        <x:v>Pavement visible in distance.</x:v>
      </x:c>
    </x:row>
    <x:row r="183">
      <x:c r="A183" t="str">
        <x:v>REC0182</x:v>
      </x:c>
      <x:c r="B183" t="n">
        <x:v>181</x:v>
      </x:c>
      <x:c r="C183" t="str">
        <x:v>St. Thomas, USVI</x:v>
      </x:c>
      <x:c r="D183" t="str">
        <x:v>AA</x:v>
      </x:c>
      <x:c r="E183" t="str">
        <x:v>Accuracy Assessment</x:v>
      </x:c>
      <x:c r="F183" t="str">
        <x:v>HD Seaviewer Drop Camera</x:v>
      </x:c>
      <x:c r="G183" t="str">
        <x:v>AA2017_194</x:v>
      </x:c>
      <x:c r="H183" s="28" t="n">
        <x:v>42770</x:v>
      </x:c>
      <x:c r="I183" t="str">
        <x:v>10:06:08</x:v>
      </x:c>
      <x:c r="J183" t="n">
        <x:v>2017</x:v>
      </x:c>
      <x:c r="K183" t="n">
        <x:v>18.21927939</x:v>
      </x:c>
      <x:c r="L183" t="n">
        <x:v>-64.94099745</x:v>
      </x:c>
      <x:c r="M183" t="n">
        <x:v>43.994</x:v>
      </x:c>
      <x:c r="N183" t="str">
        <x:v>https://nccospublicstor.blob.core.windows.net/biomapper/usviinsularshelf2017/videos/low/AA2017_194.mp4</x:v>
      </x:c>
      <x:c r="O183" t="n">
        <x:v>0</x:v>
      </x:c>
      <x:c r="P183" t="n">
        <x:v>0</x:v>
      </x:c>
      <x:c r="Q183" t="n">
        <x:v>1</x:v>
      </x:c>
      <x:c r="R183" t="n">
        <x:v>0</x:v>
      </x:c>
      <x:c r="S183" t="n">
        <x:v>1</x:v>
      </x:c>
      <x:c r="T183" t="n">
        <x:v>0</x:v>
      </x:c>
      <x:c r="U183" t="n">
        <x:v>1</x:v>
      </x:c>
      <x:c r="V183" t="n">
        <x:v>1</x:v>
      </x:c>
      <x:c r="W183" t="n">
        <x:v>0</x:v>
      </x:c>
      <x:c r="X183" t="n">
        <x:v>0</x:v>
      </x:c>
      <x:c r="Y183" t="n">
        <x:v>0</x:v>
      </x:c>
      <x:c r="Z183" t="n">
        <x:v>1</x:v>
      </x:c>
      <x:c r="AA183" t="n">
        <x:v>3</x:v>
      </x:c>
      <x:c r="AB183" t="str">
        <x:v>Pass</x:v>
      </x:c>
      <x:c r="AC183" t="str"/>
      <x:c r="AD183" t="str">
        <x:v>meandrina meandrites</x:v>
      </x:c>
    </x:row>
    <x:row r="184">
      <x:c r="A184" t="str">
        <x:v>REC0183</x:v>
      </x:c>
      <x:c r="B184" t="n">
        <x:v>182</x:v>
      </x:c>
      <x:c r="C184" t="str">
        <x:v>St. Thomas, USVI</x:v>
      </x:c>
      <x:c r="D184" t="str">
        <x:v>AA</x:v>
      </x:c>
      <x:c r="E184" t="str">
        <x:v>Accuracy Assessment</x:v>
      </x:c>
      <x:c r="F184" t="str">
        <x:v>HD Seaviewer Drop Camera</x:v>
      </x:c>
      <x:c r="G184" t="str">
        <x:v>AA2017_195</x:v>
      </x:c>
      <x:c r="H184" s="28" t="n">
        <x:v>42770</x:v>
      </x:c>
      <x:c r="I184" t="str">
        <x:v>12:03:05</x:v>
      </x:c>
      <x:c r="J184" t="n">
        <x:v>2017</x:v>
      </x:c>
      <x:c r="K184" t="n">
        <x:v>18.27047568</x:v>
      </x:c>
      <x:c r="L184" t="n">
        <x:v>-64.94096851</x:v>
      </x:c>
      <x:c r="M184" t="n">
        <x:v>32.87</x:v>
      </x:c>
      <x:c r="N184" t="str">
        <x:v>https://nccospublicstor.blob.core.windows.net/biomapper/usviinsularshelf2017/videos/low/AA2017_195.mp4</x:v>
      </x:c>
      <x:c r="O184" t="n">
        <x:v>0</x:v>
      </x:c>
      <x:c r="P184" t="n">
        <x:v>0</x:v>
      </x:c>
      <x:c r="Q184" t="n">
        <x:v>1</x:v>
      </x:c>
      <x:c r="R184" t="n">
        <x:v>0</x:v>
      </x:c>
      <x:c r="S184" t="n">
        <x:v>0</x:v>
      </x:c>
      <x:c r="T184" t="n">
        <x:v>0</x:v>
      </x:c>
      <x:c r="U184" t="n">
        <x:v>1</x:v>
      </x:c>
      <x:c r="V184" t="n">
        <x:v>1</x:v>
      </x:c>
      <x:c r="W184" t="n">
        <x:v>0</x:v>
      </x:c>
      <x:c r="X184" t="n">
        <x:v>0</x:v>
      </x:c>
      <x:c r="Y184" t="n">
        <x:v>0</x:v>
      </x:c>
      <x:c r="Z184" t="n">
        <x:v>1</x:v>
      </x:c>
      <x:c r="AA184" t="n">
        <x:v>2</x:v>
      </x:c>
      <x:c r="AB184" t="str">
        <x:v>Pass</x:v>
      </x:c>
      <x:c r="AC184" t="str"/>
      <x:c r="AD184" t="str"/>
    </x:row>
    <x:row r="185">
      <x:c r="A185" t="str">
        <x:v>REC0184</x:v>
      </x:c>
      <x:c r="B185" t="n">
        <x:v>183</x:v>
      </x:c>
      <x:c r="C185" t="str">
        <x:v>St. Thomas, USVI</x:v>
      </x:c>
      <x:c r="D185" t="str">
        <x:v>AA</x:v>
      </x:c>
      <x:c r="E185" t="str">
        <x:v>Accuracy Assessment</x:v>
      </x:c>
      <x:c r="F185" t="str">
        <x:v>HD Seaviewer Drop Camera</x:v>
      </x:c>
      <x:c r="G185" t="str">
        <x:v>AA2017_196</x:v>
      </x:c>
      <x:c r="H185" s="28" t="n">
        <x:v>42770</x:v>
      </x:c>
      <x:c r="I185" t="str">
        <x:v>09:39:40</x:v>
      </x:c>
      <x:c r="J185" t="n">
        <x:v>2017</x:v>
      </x:c>
      <x:c r="K185" t="n">
        <x:v>18.21164096</x:v>
      </x:c>
      <x:c r="L185" t="n">
        <x:v>-64.93929863</x:v>
      </x:c>
      <x:c r="M185" t="n">
        <x:v>44.396</x:v>
      </x:c>
      <x:c r="N185" t="str">
        <x:v>https://nccospublicstor.blob.core.windows.net/biomapper/usviinsularshelf2017/videos/low/AA2017_196.mp4</x:v>
      </x:c>
      <x:c r="O185" t="n">
        <x:v>1</x:v>
      </x:c>
      <x:c r="P185" t="n">
        <x:v>0</x:v>
      </x:c>
      <x:c r="Q185" t="n">
        <x:v>0</x:v>
      </x:c>
      <x:c r="R185" t="n">
        <x:v>1</x:v>
      </x:c>
      <x:c r="S185" t="n">
        <x:v>1</x:v>
      </x:c>
      <x:c r="T185" t="n">
        <x:v>0</x:v>
      </x:c>
      <x:c r="U185" t="n">
        <x:v>1</x:v>
      </x:c>
      <x:c r="V185" t="n">
        <x:v>1</x:v>
      </x:c>
      <x:c r="W185" t="n">
        <x:v>0</x:v>
      </x:c>
      <x:c r="X185" t="n">
        <x:v>0</x:v>
      </x:c>
      <x:c r="Y185" t="n">
        <x:v>0</x:v>
      </x:c>
      <x:c r="Z185" t="n">
        <x:v>2</x:v>
      </x:c>
      <x:c r="AA185" t="n">
        <x:v>3</x:v>
      </x:c>
      <x:c r="AB185" t="str">
        <x:v>Pass</x:v>
      </x:c>
      <x:c r="AC185" t="str"/>
      <x:c r="AD185" t="str">
        <x:v>millepora</x:v>
      </x:c>
    </x:row>
    <x:row r="186">
      <x:c r="A186" t="str">
        <x:v>REC0185</x:v>
      </x:c>
      <x:c r="B186" t="n">
        <x:v>184</x:v>
      </x:c>
      <x:c r="C186" t="str">
        <x:v>St. Thomas, USVI</x:v>
      </x:c>
      <x:c r="D186" t="str">
        <x:v>AA</x:v>
      </x:c>
      <x:c r="E186" t="str">
        <x:v>Accuracy Assessment</x:v>
      </x:c>
      <x:c r="F186" t="str">
        <x:v>HD Seaviewer Drop Camera</x:v>
      </x:c>
      <x:c r="G186" t="str">
        <x:v>AA2017_197</x:v>
      </x:c>
      <x:c r="H186" s="28" t="n">
        <x:v>42770</x:v>
      </x:c>
      <x:c r="I186" t="str">
        <x:v>10:14:02</x:v>
      </x:c>
      <x:c r="J186" t="n">
        <x:v>2017</x:v>
      </x:c>
      <x:c r="K186" t="n">
        <x:v>18.22822756</x:v>
      </x:c>
      <x:c r="L186" t="n">
        <x:v>-64.93832877</x:v>
      </x:c>
      <x:c r="M186" t="n">
        <x:v>43.627</x:v>
      </x:c>
      <x:c r="N186" t="str">
        <x:v>https://nccospublicstor.blob.core.windows.net/biomapper/usviinsularshelf2017/videos/low/AA2017_197.mp4</x:v>
      </x:c>
      <x:c r="O186" t="n">
        <x:v>0</x:v>
      </x:c>
      <x:c r="P186" t="n">
        <x:v>0</x:v>
      </x:c>
      <x:c r="Q186" t="n">
        <x:v>1</x:v>
      </x:c>
      <x:c r="R186" t="n">
        <x:v>1</x:v>
      </x:c>
      <x:c r="S186" t="n">
        <x:v>0</x:v>
      </x:c>
      <x:c r="T186" t="n">
        <x:v>0</x:v>
      </x:c>
      <x:c r="U186" t="n">
        <x:v>1</x:v>
      </x:c>
      <x:c r="V186" t="n">
        <x:v>1</x:v>
      </x:c>
      <x:c r="W186" t="n">
        <x:v>0</x:v>
      </x:c>
      <x:c r="X186" t="n">
        <x:v>0</x:v>
      </x:c>
      <x:c r="Y186" t="n">
        <x:v>0</x:v>
      </x:c>
      <x:c r="Z186" t="n">
        <x:v>2</x:v>
      </x:c>
      <x:c r="AA186" t="n">
        <x:v>2</x:v>
      </x:c>
      <x:c r="AB186" t="str">
        <x:v>Pass</x:v>
      </x:c>
      <x:c r="AC186" t="str"/>
      <x:c r="AD186" t="str"/>
    </x:row>
    <x:row r="187">
      <x:c r="A187" t="str">
        <x:v>REC0186</x:v>
      </x:c>
      <x:c r="B187" t="n">
        <x:v>185</x:v>
      </x:c>
      <x:c r="C187" t="str">
        <x:v>St. Thomas, USVI</x:v>
      </x:c>
      <x:c r="D187" t="str">
        <x:v>AA</x:v>
      </x:c>
      <x:c r="E187" t="str">
        <x:v>Accuracy Assessment</x:v>
      </x:c>
      <x:c r="F187" t="str">
        <x:v>HD Seaviewer Drop Camera</x:v>
      </x:c>
      <x:c r="G187" t="str">
        <x:v>AA2017_198</x:v>
      </x:c>
      <x:c r="H187" s="28" t="n">
        <x:v>42770</x:v>
      </x:c>
      <x:c r="I187" t="str">
        <x:v>09:31:23</x:v>
      </x:c>
      <x:c r="J187" t="n">
        <x:v>2017</x:v>
      </x:c>
      <x:c r="K187" t="n">
        <x:v>18.20855032</x:v>
      </x:c>
      <x:c r="L187" t="n">
        <x:v>-64.93525219</x:v>
      </x:c>
      <x:c r="M187" t="n">
        <x:v>45.297</x:v>
      </x:c>
      <x:c r="N187" t="str">
        <x:v>https://nccospublicstor.blob.core.windows.net/biomapper/usviinsularshelf2017/videos/low/AA2017_198.mp4</x:v>
      </x:c>
      <x:c r="O187" t="n">
        <x:v>0</x:v>
      </x:c>
      <x:c r="P187" t="n">
        <x:v>0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1</x:v>
      </x:c>
      <x:c r="W187" t="n">
        <x:v>0</x:v>
      </x:c>
      <x:c r="X187" t="n">
        <x:v>0</x:v>
      </x:c>
      <x:c r="Y187" t="n">
        <x:v>0</x:v>
      </x:c>
      <x:c r="Z187" t="n">
        <x:v>1</x:v>
      </x:c>
      <x:c r="AA187" t="n">
        <x:v>1</x:v>
      </x:c>
      <x:c r="AB187" t="str">
        <x:v>Pass</x:v>
      </x:c>
      <x:c r="AC187" t="str"/>
      <x:c r="AD187" t="str"/>
    </x:row>
    <x:row r="188">
      <x:c r="A188" t="str">
        <x:v>REC0187</x:v>
      </x:c>
      <x:c r="B188" t="n">
        <x:v>186</x:v>
      </x:c>
      <x:c r="C188" t="str">
        <x:v>St. Thomas, USVI</x:v>
      </x:c>
      <x:c r="D188" t="str">
        <x:v>AA</x:v>
      </x:c>
      <x:c r="E188" t="str">
        <x:v>Accuracy Assessment</x:v>
      </x:c>
      <x:c r="F188" t="str">
        <x:v>HD Seaviewer Drop Camera</x:v>
      </x:c>
      <x:c r="G188" t="str">
        <x:v>AA2017_199</x:v>
      </x:c>
      <x:c r="H188" s="28" t="n">
        <x:v>42770</x:v>
      </x:c>
      <x:c r="I188" t="str">
        <x:v>11:56:06</x:v>
      </x:c>
      <x:c r="J188" t="n">
        <x:v>2017</x:v>
      </x:c>
      <x:c r="K188" t="n">
        <x:v>18.27476257</x:v>
      </x:c>
      <x:c r="L188" t="n">
        <x:v>-64.93485394</x:v>
      </x:c>
      <x:c r="M188" t="n">
        <x:v>33.01</x:v>
      </x:c>
      <x:c r="N188" t="str">
        <x:v>https://nccospublicstor.blob.core.windows.net/biomapper/usviinsularshelf2017/videos/low/AA2017_199.mp4</x:v>
      </x:c>
      <x:c r="O188" t="n">
        <x:v>0</x:v>
      </x:c>
      <x:c r="P188" t="n">
        <x:v>0</x:v>
      </x:c>
      <x:c r="Q188" t="n">
        <x:v>1</x:v>
      </x:c>
      <x:c r="R188" t="n">
        <x:v>0</x:v>
      </x:c>
      <x:c r="S188" t="n">
        <x:v>0</x:v>
      </x:c>
      <x:c r="T188" t="n">
        <x:v>0</x:v>
      </x:c>
      <x:c r="U188" t="n">
        <x:v>1</x:v>
      </x:c>
      <x:c r="V188" t="n">
        <x:v>1</x:v>
      </x:c>
      <x:c r="W188" t="n">
        <x:v>0</x:v>
      </x:c>
      <x:c r="X188" t="n">
        <x:v>0</x:v>
      </x:c>
      <x:c r="Y188" t="n">
        <x:v>0</x:v>
      </x:c>
      <x:c r="Z188" t="n">
        <x:v>1</x:v>
      </x:c>
      <x:c r="AA188" t="n">
        <x:v>2</x:v>
      </x:c>
      <x:c r="AB188" t="str">
        <x:v>Pass</x:v>
      </x:c>
      <x:c r="AC188" t="str"/>
      <x:c r="AD188" t="str"/>
    </x:row>
    <x:row r="189">
      <x:c r="A189" t="str">
        <x:v>REC0188</x:v>
      </x:c>
      <x:c r="B189" t="n">
        <x:v>187</x:v>
      </x:c>
      <x:c r="C189" t="str">
        <x:v>St. Thomas, USVI</x:v>
      </x:c>
      <x:c r="D189" t="str">
        <x:v>AA</x:v>
      </x:c>
      <x:c r="E189" t="str">
        <x:v>Accuracy Assessment</x:v>
      </x:c>
      <x:c r="F189" t="str">
        <x:v>HD Seaviewer Drop Camera</x:v>
      </x:c>
      <x:c r="G189" t="str">
        <x:v>AA2017_200</x:v>
      </x:c>
      <x:c r="H189" s="28" t="n">
        <x:v>42770</x:v>
      </x:c>
      <x:c r="I189" t="str">
        <x:v>09:16:30</x:v>
      </x:c>
      <x:c r="J189" t="n">
        <x:v>2017</x:v>
      </x:c>
      <x:c r="K189" t="n">
        <x:v>18.19740393</x:v>
      </x:c>
      <x:c r="L189" t="n">
        <x:v>-64.9319768</x:v>
      </x:c>
      <x:c r="M189" t="n">
        <x:v>53.353</x:v>
      </x:c>
      <x:c r="N189" t="str">
        <x:v>https://nccospublicstor.blob.core.windows.net/biomapper/usviinsularshelf2017/videos/low/AA2017_200.mp4</x:v>
      </x:c>
      <x:c r="O189" t="n">
        <x:v>0</x:v>
      </x:c>
      <x:c r="P189" t="n">
        <x:v>0</x:v>
      </x:c>
      <x:c r="Q189" t="n">
        <x:v>1</x:v>
      </x:c>
      <x:c r="R189" t="n">
        <x:v>0</x:v>
      </x:c>
      <x:c r="S189" t="n">
        <x:v>0</x:v>
      </x:c>
      <x:c r="T189" t="n">
        <x:v>0</x:v>
      </x:c>
      <x:c r="U189" t="n">
        <x:v>1</x:v>
      </x:c>
      <x:c r="V189" t="n">
        <x:v>1</x:v>
      </x:c>
      <x:c r="W189" t="n">
        <x:v>0</x:v>
      </x:c>
      <x:c r="X189" t="n">
        <x:v>0</x:v>
      </x:c>
      <x:c r="Y189" t="n">
        <x:v>0</x:v>
      </x:c>
      <x:c r="Z189" t="n">
        <x:v>1</x:v>
      </x:c>
      <x:c r="AA189" t="n">
        <x:v>2</x:v>
      </x:c>
      <x:c r="AB189" t="str">
        <x:v>Pass</x:v>
      </x:c>
      <x:c r="AC189" t="str"/>
      <x:c r="AD189" t="str"/>
    </x:row>
    <x:row r="190">
      <x:c r="A190" t="str">
        <x:v>REC0189</x:v>
      </x:c>
      <x:c r="B190" t="n">
        <x:v>188</x:v>
      </x:c>
      <x:c r="C190" t="str">
        <x:v>St. Thomas, USVI</x:v>
      </x:c>
      <x:c r="D190" t="str">
        <x:v>AA</x:v>
      </x:c>
      <x:c r="E190" t="str">
        <x:v>Accuracy Assessment</x:v>
      </x:c>
      <x:c r="F190" t="str">
        <x:v>HD Seaviewer Drop Camera</x:v>
      </x:c>
      <x:c r="G190" t="str">
        <x:v>AA2017_201</x:v>
      </x:c>
      <x:c r="H190" s="28" t="n">
        <x:v>42770</x:v>
      </x:c>
      <x:c r="I190" t="str">
        <x:v>11:49:33</x:v>
      </x:c>
      <x:c r="J190" t="n">
        <x:v>2017</x:v>
      </x:c>
      <x:c r="K190" t="n">
        <x:v>18.2708786</x:v>
      </x:c>
      <x:c r="L190" t="n">
        <x:v>-64.93155901</x:v>
      </x:c>
      <x:c r="M190" t="n">
        <x:v>33.997</x:v>
      </x:c>
      <x:c r="N190" t="str">
        <x:v>https://nccospublicstor.blob.core.windows.net/biomapper/usviinsularshelf2017/videos/low/AA2017_201.mp4</x:v>
      </x:c>
      <x:c r="O190" t="n">
        <x:v>0</x:v>
      </x:c>
      <x:c r="P190" t="n">
        <x:v>0</x:v>
      </x:c>
      <x:c r="Q190" t="n">
        <x:v>0</x:v>
      </x:c>
      <x:c r="R190" t="n">
        <x:v>1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1</x:v>
      </x:c>
      <x:c r="AA190" t="n">
        <x:v>0</x:v>
      </x:c>
      <x:c r="AB190" t="str">
        <x:v>Pass</x:v>
      </x:c>
      <x:c r="AC190" t="str"/>
      <x:c r="AD190" t="str"/>
    </x:row>
    <x:row r="191">
      <x:c r="A191" t="str">
        <x:v>REC0190</x:v>
      </x:c>
      <x:c r="B191" t="n">
        <x:v>189</x:v>
      </x:c>
      <x:c r="C191" t="str">
        <x:v>St. Thomas, USVI</x:v>
      </x:c>
      <x:c r="D191" t="str">
        <x:v>AA</x:v>
      </x:c>
      <x:c r="E191" t="str">
        <x:v>Accuracy Assessment</x:v>
      </x:c>
      <x:c r="F191" t="str">
        <x:v>HD Seaviewer Drop Camera</x:v>
      </x:c>
      <x:c r="G191" t="str">
        <x:v>AA2017_202</x:v>
      </x:c>
      <x:c r="H191" s="28" t="n">
        <x:v>42770</x:v>
      </x:c>
      <x:c r="I191" t="str">
        <x:v>11:41:49</x:v>
      </x:c>
      <x:c r="J191" t="n">
        <x:v>2017</x:v>
      </x:c>
      <x:c r="K191" t="n">
        <x:v>18.25899742</x:v>
      </x:c>
      <x:c r="L191" t="n">
        <x:v>-64.92725542</x:v>
      </x:c>
      <x:c r="M191" t="n">
        <x:v>36.409</x:v>
      </x:c>
      <x:c r="N191" t="str">
        <x:v>https://nccospublicstor.blob.core.windows.net/biomapper/usviinsularshelf2017/videos/low/AA2017_202.mp4</x:v>
      </x:c>
      <x:c r="O191" t="n">
        <x:v>0</x:v>
      </x:c>
      <x:c r="P191" t="n">
        <x:v>0</x:v>
      </x:c>
      <x:c r="Q191" t="n">
        <x:v>1</x:v>
      </x:c>
      <x:c r="R191" t="n">
        <x:v>0</x:v>
      </x:c>
      <x:c r="S191" t="n">
        <x:v>0</x:v>
      </x:c>
      <x:c r="T191" t="n">
        <x:v>0</x:v>
      </x:c>
      <x:c r="U191" t="n">
        <x:v>1</x:v>
      </x:c>
      <x:c r="V191" t="n">
        <x:v>1</x:v>
      </x:c>
      <x:c r="W191" t="n">
        <x:v>0</x:v>
      </x:c>
      <x:c r="X191" t="n">
        <x:v>0</x:v>
      </x:c>
      <x:c r="Y191" t="n">
        <x:v>0</x:v>
      </x:c>
      <x:c r="Z191" t="n">
        <x:v>1</x:v>
      </x:c>
      <x:c r="AA191" t="n">
        <x:v>2</x:v>
      </x:c>
      <x:c r="AB191" t="str">
        <x:v>Pass</x:v>
      </x:c>
      <x:c r="AC191" t="str"/>
      <x:c r="AD191" t="str"/>
    </x:row>
    <x:row r="192">
      <x:c r="A192" t="str">
        <x:v>REC0191</x:v>
      </x:c>
      <x:c r="B192" t="n">
        <x:v>190</x:v>
      </x:c>
      <x:c r="C192" t="str">
        <x:v>St. Thomas, USVI</x:v>
      </x:c>
      <x:c r="D192" t="str">
        <x:v>AA</x:v>
      </x:c>
      <x:c r="E192" t="str">
        <x:v>Accuracy Assessment</x:v>
      </x:c>
      <x:c r="F192" t="str">
        <x:v>HD Seaviewer Drop Camera</x:v>
      </x:c>
      <x:c r="G192" t="str">
        <x:v>AA2017_203</x:v>
      </x:c>
      <x:c r="H192" s="28" t="n">
        <x:v>42770</x:v>
      </x:c>
      <x:c r="I192" t="str">
        <x:v>10:25:06</x:v>
      </x:c>
      <x:c r="J192" t="n">
        <x:v>2017</x:v>
      </x:c>
      <x:c r="K192" t="n">
        <x:v>18.21894724</x:v>
      </x:c>
      <x:c r="L192" t="n">
        <x:v>-64.92585375</x:v>
      </x:c>
      <x:c r="M192" t="n">
        <x:v>44.178</x:v>
      </x:c>
      <x:c r="N192" t="str">
        <x:v>https://nccospublicstor.blob.core.windows.net/biomapper/usviinsularshelf2017/videos/low/AA2017_203.mp4</x:v>
      </x:c>
      <x:c r="O192" t="n">
        <x:v>0</x:v>
      </x:c>
      <x:c r="P192" t="n">
        <x:v>0</x:v>
      </x:c>
      <x:c r="Q192" t="n">
        <x:v>1</x:v>
      </x:c>
      <x:c r="R192" t="n">
        <x:v>0</x:v>
      </x:c>
      <x:c r="S192" t="n">
        <x:v>0</x:v>
      </x:c>
      <x:c r="T192" t="n">
        <x:v>0</x:v>
      </x:c>
      <x:c r="U192" t="n">
        <x:v>1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1</x:v>
      </x:c>
      <x:c r="AA192" t="n">
        <x:v>1</x:v>
      </x:c>
      <x:c r="AB192" t="str">
        <x:v>Pass</x:v>
      </x:c>
      <x:c r="AC192" t="str"/>
      <x:c r="AD192" t="str"/>
    </x:row>
    <x:row r="193">
      <x:c r="A193" t="str">
        <x:v>REC0192</x:v>
      </x:c>
      <x:c r="B193" t="n">
        <x:v>191</x:v>
      </x:c>
      <x:c r="C193" t="str">
        <x:v>St. Thomas, USVI</x:v>
      </x:c>
      <x:c r="D193" t="str">
        <x:v>AA</x:v>
      </x:c>
      <x:c r="E193" t="str">
        <x:v>Accuracy Assessment</x:v>
      </x:c>
      <x:c r="F193" t="str">
        <x:v>HD Seaviewer Drop Camera</x:v>
      </x:c>
      <x:c r="G193" t="str">
        <x:v>AA2017_204</x:v>
      </x:c>
      <x:c r="H193" s="28" t="n">
        <x:v>42770</x:v>
      </x:c>
      <x:c r="I193" t="str">
        <x:v>10:45:32</x:v>
      </x:c>
      <x:c r="J193" t="n">
        <x:v>2017</x:v>
      </x:c>
      <x:c r="K193" t="n">
        <x:v>18.22761528</x:v>
      </x:c>
      <x:c r="L193" t="n">
        <x:v>-64.92557439</x:v>
      </x:c>
      <x:c r="M193" t="n">
        <x:v>43.261</x:v>
      </x:c>
      <x:c r="N193" t="str">
        <x:v>https://nccospublicstor.blob.core.windows.net/biomapper/usviinsularshelf2017/videos/low/AA2017_204.mp4</x:v>
      </x:c>
      <x:c r="O193" t="n">
        <x:v>0</x:v>
      </x:c>
      <x:c r="P193" t="n">
        <x:v>0</x:v>
      </x:c>
      <x:c r="Q193" t="n">
        <x:v>1</x:v>
      </x:c>
      <x:c r="R193" t="n">
        <x:v>1</x:v>
      </x:c>
      <x:c r="S193" t="n">
        <x:v>0</x:v>
      </x:c>
      <x:c r="T193" t="n">
        <x:v>0</x:v>
      </x:c>
      <x:c r="U193" t="n">
        <x:v>1</x:v>
      </x:c>
      <x:c r="V193" t="n">
        <x:v>1</x:v>
      </x:c>
      <x:c r="W193" t="n">
        <x:v>0</x:v>
      </x:c>
      <x:c r="X193" t="n">
        <x:v>0</x:v>
      </x:c>
      <x:c r="Y193" t="n">
        <x:v>0</x:v>
      </x:c>
      <x:c r="Z193" t="n">
        <x:v>2</x:v>
      </x:c>
      <x:c r="AA193" t="n">
        <x:v>2</x:v>
      </x:c>
      <x:c r="AB193" t="str">
        <x:v>Pass</x:v>
      </x:c>
      <x:c r="AC193" t="str"/>
      <x:c r="AD193" t="str"/>
    </x:row>
    <x:row r="194">
      <x:c r="A194" t="str">
        <x:v>REC0193</x:v>
      </x:c>
      <x:c r="B194" t="n">
        <x:v>192</x:v>
      </x:c>
      <x:c r="C194" t="str">
        <x:v>St. Thomas, USVI</x:v>
      </x:c>
      <x:c r="D194" t="str">
        <x:v>AA</x:v>
      </x:c>
      <x:c r="E194" t="str">
        <x:v>Accuracy Assessment</x:v>
      </x:c>
      <x:c r="F194" t="str">
        <x:v>HD Seaviewer Drop Camera</x:v>
      </x:c>
      <x:c r="G194" t="str">
        <x:v>AA2017_205</x:v>
      </x:c>
      <x:c r="H194" s="28" t="n">
        <x:v>42770</x:v>
      </x:c>
      <x:c r="I194" t="str">
        <x:v>11:21:25</x:v>
      </x:c>
      <x:c r="J194" t="n">
        <x:v>2017</x:v>
      </x:c>
      <x:c r="K194" t="n">
        <x:v>18.25265251</x:v>
      </x:c>
      <x:c r="L194" t="n">
        <x:v>-64.92044415</x:v>
      </x:c>
      <x:c r="M194" t="n">
        <x:v>39.173</x:v>
      </x:c>
      <x:c r="N194" t="str">
        <x:v>https://nccospublicstor.blob.core.windows.net/biomapper/usviinsularshelf2017/videos/low/AA2017_205.mp4</x:v>
      </x:c>
      <x:c r="O194" t="n">
        <x:v>0</x:v>
      </x:c>
      <x:c r="P194" t="n">
        <x:v>0</x:v>
      </x:c>
      <x:c r="Q194" t="n">
        <x:v>1</x:v>
      </x:c>
      <x:c r="R194" t="n">
        <x:v>0</x:v>
      </x:c>
      <x:c r="S194" t="n">
        <x:v>0</x:v>
      </x:c>
      <x:c r="T194" t="n">
        <x:v>0</x:v>
      </x:c>
      <x:c r="U194" t="n">
        <x:v>1</x:v>
      </x:c>
      <x:c r="V194" t="n">
        <x:v>1</x:v>
      </x:c>
      <x:c r="W194" t="n">
        <x:v>0</x:v>
      </x:c>
      <x:c r="X194" t="n">
        <x:v>0</x:v>
      </x:c>
      <x:c r="Y194" t="n">
        <x:v>0</x:v>
      </x:c>
      <x:c r="Z194" t="n">
        <x:v>1</x:v>
      </x:c>
      <x:c r="AA194" t="n">
        <x:v>2</x:v>
      </x:c>
      <x:c r="AB194" t="str">
        <x:v>Pass</x:v>
      </x:c>
      <x:c r="AC194" t="str"/>
      <x:c r="AD194" t="str"/>
    </x:row>
    <x:row r="195">
      <x:c r="A195" t="str">
        <x:v>REC0194</x:v>
      </x:c>
      <x:c r="B195" t="n">
        <x:v>193</x:v>
      </x:c>
      <x:c r="C195" t="str">
        <x:v>St. Thomas, USVI</x:v>
      </x:c>
      <x:c r="D195" t="str">
        <x:v>AA</x:v>
      </x:c>
      <x:c r="E195" t="str">
        <x:v>Accuracy Assessment</x:v>
      </x:c>
      <x:c r="F195" t="str">
        <x:v>HD Seaviewer Drop Camera</x:v>
      </x:c>
      <x:c r="G195" t="str">
        <x:v>AA2017_206</x:v>
      </x:c>
      <x:c r="H195" s="28" t="n">
        <x:v>42770</x:v>
      </x:c>
      <x:c r="I195" t="str">
        <x:v>11:04:59</x:v>
      </x:c>
      <x:c r="J195" t="n">
        <x:v>2017</x:v>
      </x:c>
      <x:c r="K195" t="n">
        <x:v>18.23744746</x:v>
      </x:c>
      <x:c r="L195" t="n">
        <x:v>-64.91929551</x:v>
      </x:c>
      <x:c r="M195" t="n">
        <x:v>42.037</x:v>
      </x:c>
      <x:c r="N195" t="str">
        <x:v>https://nccospublicstor.blob.core.windows.net/biomapper/usviinsularshelf2017/videos/low/AA2017_206.mp4</x:v>
      </x:c>
      <x:c r="O195" t="n">
        <x:v>0</x:v>
      </x:c>
      <x:c r="P195" t="n">
        <x:v>0</x:v>
      </x:c>
      <x:c r="Q195" t="n">
        <x:v>0</x:v>
      </x:c>
      <x:c r="R195" t="n">
        <x:v>1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1</x:v>
      </x:c>
      <x:c r="AA195" t="n">
        <x:v>0</x:v>
      </x:c>
      <x:c r="AB195" t="str">
        <x:v>Pass</x:v>
      </x:c>
      <x:c r="AC195" t="str"/>
      <x:c r="AD195" t="str"/>
    </x:row>
    <x:row r="196">
      <x:c r="A196" t="str">
        <x:v>REC0195</x:v>
      </x:c>
      <x:c r="B196" t="n">
        <x:v>194</x:v>
      </x:c>
      <x:c r="C196" t="str">
        <x:v>St. Thomas, USVI</x:v>
      </x:c>
      <x:c r="D196" t="str">
        <x:v>AA</x:v>
      </x:c>
      <x:c r="E196" t="str">
        <x:v>Accuracy Assessment</x:v>
      </x:c>
      <x:c r="F196" t="str">
        <x:v>HD Seaviewer Drop Camera</x:v>
      </x:c>
      <x:c r="G196" t="str">
        <x:v>AA2017_207</x:v>
      </x:c>
      <x:c r="H196" s="28" t="n">
        <x:v>42776</x:v>
      </x:c>
      <x:c r="I196" t="str">
        <x:v>10:59:19</x:v>
      </x:c>
      <x:c r="J196" t="n">
        <x:v>2017</x:v>
      </x:c>
      <x:c r="K196" t="n">
        <x:v>18.20883979</x:v>
      </x:c>
      <x:c r="L196" t="n">
        <x:v>-64.91867931</x:v>
      </x:c>
      <x:c r="M196" t="n">
        <x:v>45.359</x:v>
      </x:c>
      <x:c r="N196" t="str">
        <x:v>https://nccospublicstor.blob.core.windows.net/biomapper/usviinsularshelf2017/videos/low/AA2017_207.mp4</x:v>
      </x:c>
      <x:c r="O196" t="n">
        <x:v>0</x:v>
      </x:c>
      <x:c r="P196" t="n">
        <x:v>1</x:v>
      </x:c>
      <x:c r="Q196" t="n">
        <x:v>1</x:v>
      </x:c>
      <x:c r="R196" t="n">
        <x:v>1</x:v>
      </x:c>
      <x:c r="S196" t="n">
        <x:v>1</x:v>
      </x:c>
      <x:c r="T196" t="n">
        <x:v>0</x:v>
      </x:c>
      <x:c r="U196" t="n">
        <x:v>1</x:v>
      </x:c>
      <x:c r="V196" t="n">
        <x:v>1</x:v>
      </x:c>
      <x:c r="W196" t="n">
        <x:v>0</x:v>
      </x:c>
      <x:c r="X196" t="n">
        <x:v>0</x:v>
      </x:c>
      <x:c r="Y196" t="n">
        <x:v>0</x:v>
      </x:c>
      <x:c r="Z196" t="n">
        <x:v>3</x:v>
      </x:c>
      <x:c r="AA196" t="n">
        <x:v>3</x:v>
      </x:c>
      <x:c r="AB196" t="str">
        <x:v>Pass</x:v>
      </x:c>
      <x:c r="AC196" t="str"/>
      <x:c r="AD196" t="str">
        <x:v>filamentous algae</x:v>
      </x:c>
    </x:row>
    <x:row r="197">
      <x:c r="A197" t="str">
        <x:v>REC0196</x:v>
      </x:c>
      <x:c r="B197" t="n">
        <x:v>195</x:v>
      </x:c>
      <x:c r="C197" t="str">
        <x:v>St. Thomas, USVI</x:v>
      </x:c>
      <x:c r="D197" t="str">
        <x:v>AA</x:v>
      </x:c>
      <x:c r="E197" t="str">
        <x:v>Accuracy Assessment</x:v>
      </x:c>
      <x:c r="F197" t="str">
        <x:v>HD Seaviewer Drop Camera</x:v>
      </x:c>
      <x:c r="G197" t="str">
        <x:v>AA2017_208</x:v>
      </x:c>
      <x:c r="H197" s="28" t="n">
        <x:v>42770</x:v>
      </x:c>
      <x:c r="I197" t="str">
        <x:v>10:35:59</x:v>
      </x:c>
      <x:c r="J197" t="n">
        <x:v>2017</x:v>
      </x:c>
      <x:c r="K197" t="n">
        <x:v>18.22038485</x:v>
      </x:c>
      <x:c r="L197" t="n">
        <x:v>-64.91860815</x:v>
      </x:c>
      <x:c r="M197" t="n">
        <x:v>43.639</x:v>
      </x:c>
      <x:c r="N197" t="str">
        <x:v>https://nccospublicstor.blob.core.windows.net/biomapper/usviinsularshelf2017/videos/low/AA2017_208.mp4</x:v>
      </x:c>
      <x:c r="O197" t="n">
        <x:v>0</x:v>
      </x:c>
      <x:c r="P197" t="n">
        <x:v>1</x:v>
      </x:c>
      <x:c r="Q197" t="n">
        <x:v>1</x:v>
      </x:c>
      <x:c r="R197" t="n">
        <x:v>1</x:v>
      </x:c>
      <x:c r="S197" t="n">
        <x:v>0</x:v>
      </x:c>
      <x:c r="T197" t="n">
        <x:v>0</x:v>
      </x:c>
      <x:c r="U197" t="n">
        <x:v>1</x:v>
      </x:c>
      <x:c r="V197" t="n">
        <x:v>1</x:v>
      </x:c>
      <x:c r="W197" t="n">
        <x:v>0</x:v>
      </x:c>
      <x:c r="X197" t="n">
        <x:v>0</x:v>
      </x:c>
      <x:c r="Y197" t="n">
        <x:v>0</x:v>
      </x:c>
      <x:c r="Z197" t="n">
        <x:v>3</x:v>
      </x:c>
      <x:c r="AA197" t="n">
        <x:v>2</x:v>
      </x:c>
      <x:c r="AB197" t="str">
        <x:v>Pass</x:v>
      </x:c>
      <x:c r="AC197" t="str"/>
      <x:c r="AD197" t="str">
        <x:v>ignored filamentous algae. Southern stingray ~1:08 into video</x:v>
      </x:c>
    </x:row>
    <x:row r="198">
      <x:c r="A198" t="str">
        <x:v>REC0197</x:v>
      </x:c>
      <x:c r="B198" t="n">
        <x:v>196</x:v>
      </x:c>
      <x:c r="C198" t="str">
        <x:v>St. Thomas, USVI</x:v>
      </x:c>
      <x:c r="D198" t="str">
        <x:v>AA</x:v>
      </x:c>
      <x:c r="E198" t="str">
        <x:v>Accuracy Assessment</x:v>
      </x:c>
      <x:c r="F198" t="str">
        <x:v>HD Seaviewer Drop Camera</x:v>
      </x:c>
      <x:c r="G198" t="str">
        <x:v>AA2017_209</x:v>
      </x:c>
      <x:c r="H198" s="28" t="n">
        <x:v>42770</x:v>
      </x:c>
      <x:c r="I198" t="str">
        <x:v>11:14:13</x:v>
      </x:c>
      <x:c r="J198" t="n">
        <x:v>2017</x:v>
      </x:c>
      <x:c r="K198" t="n">
        <x:v>18.25064749</x:v>
      </x:c>
      <x:c r="L198" t="n">
        <x:v>-64.9177289</x:v>
      </x:c>
      <x:c r="M198" t="n">
        <x:v>39.466</x:v>
      </x:c>
      <x:c r="N198" t="str">
        <x:v>https://nccospublicstor.blob.core.windows.net/biomapper/usviinsularshelf2017/videos/low/AA2017_209.mp4</x:v>
      </x:c>
      <x:c r="O198" t="n">
        <x:v>0</x:v>
      </x:c>
      <x:c r="P198" t="n">
        <x:v>0</x:v>
      </x:c>
      <x:c r="Q198" t="n">
        <x:v>1</x:v>
      </x:c>
      <x:c r="R198" t="n">
        <x:v>0</x:v>
      </x:c>
      <x:c r="S198" t="n">
        <x:v>0</x:v>
      </x:c>
      <x:c r="T198" t="n">
        <x:v>0</x:v>
      </x:c>
      <x:c r="U198" t="n">
        <x:v>1</x:v>
      </x:c>
      <x:c r="V198" t="n">
        <x:v>1</x:v>
      </x:c>
      <x:c r="W198" t="n">
        <x:v>0</x:v>
      </x:c>
      <x:c r="X198" t="n">
        <x:v>0</x:v>
      </x:c>
      <x:c r="Y198" t="n">
        <x:v>0</x:v>
      </x:c>
      <x:c r="Z198" t="n">
        <x:v>1</x:v>
      </x:c>
      <x:c r="AA198" t="n">
        <x:v>2</x:v>
      </x:c>
      <x:c r="AB198" t="str">
        <x:v>Pass</x:v>
      </x:c>
      <x:c r="AC198" t="str"/>
      <x:c r="AD198" t="str"/>
    </x:row>
    <x:row r="199">
      <x:c r="A199" t="str">
        <x:v>REC0198</x:v>
      </x:c>
      <x:c r="B199" t="n">
        <x:v>197</x:v>
      </x:c>
      <x:c r="C199" t="str">
        <x:v>St. Thomas, USVI</x:v>
      </x:c>
      <x:c r="D199" t="str">
        <x:v>AA</x:v>
      </x:c>
      <x:c r="E199" t="str">
        <x:v>Accuracy Assessment</x:v>
      </x:c>
      <x:c r="F199" t="str">
        <x:v>HD Seaviewer Drop Camera</x:v>
      </x:c>
      <x:c r="G199" t="str">
        <x:v>AA2017_210</x:v>
      </x:c>
      <x:c r="H199" s="28" t="n">
        <x:v>42776</x:v>
      </x:c>
      <x:c r="I199" t="str">
        <x:v>09:25:52</x:v>
      </x:c>
      <x:c r="J199" t="n">
        <x:v>2017</x:v>
      </x:c>
      <x:c r="K199" t="n">
        <x:v>18.19256795</x:v>
      </x:c>
      <x:c r="L199" t="n">
        <x:v>-64.91604722</x:v>
      </x:c>
      <x:c r="M199" t="n">
        <x:v>52.426</x:v>
      </x:c>
      <x:c r="N199" t="str">
        <x:v>https://nccospublicstor.blob.core.windows.net/biomapper/usviinsularshelf2017/videos/low/AA2017_210.mp4</x:v>
      </x:c>
      <x:c r="O199" t="n">
        <x:v>0</x:v>
      </x:c>
      <x:c r="P199" t="n">
        <x:v>0</x:v>
      </x:c>
      <x:c r="Q199" t="n">
        <x:v>1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1</x:v>
      </x:c>
      <x:c r="AA199" t="n">
        <x:v>0</x:v>
      </x:c>
      <x:c r="AB199" t="str">
        <x:v>Pass</x:v>
      </x:c>
      <x:c r="AC199" t="str"/>
      <x:c r="AD199" t="str"/>
    </x:row>
    <x:row r="200">
      <x:c r="A200" t="str">
        <x:v>REC0199</x:v>
      </x:c>
      <x:c r="B200" t="n">
        <x:v>198</x:v>
      </x:c>
      <x:c r="C200" t="str">
        <x:v>St. Thomas, USVI</x:v>
      </x:c>
      <x:c r="D200" t="str">
        <x:v>AA</x:v>
      </x:c>
      <x:c r="E200" t="str">
        <x:v>Accuracy Assessment</x:v>
      </x:c>
      <x:c r="F200" t="str">
        <x:v>HD Seaviewer Drop Camera</x:v>
      </x:c>
      <x:c r="G200" t="str">
        <x:v>AA2017_211</x:v>
      </x:c>
      <x:c r="H200" s="28" t="n">
        <x:v>42770</x:v>
      </x:c>
      <x:c r="I200" t="str">
        <x:v>10:54:57</x:v>
      </x:c>
      <x:c r="J200" t="n">
        <x:v>2017</x:v>
      </x:c>
      <x:c r="K200" t="n">
        <x:v>18.22901981</x:v>
      </x:c>
      <x:c r="L200" t="n">
        <x:v>-64.91623885</x:v>
      </x:c>
      <x:c r="M200" t="n">
        <x:v>43.372</x:v>
      </x:c>
      <x:c r="N200" t="str">
        <x:v>https://nccospublicstor.blob.core.windows.net/biomapper/usviinsularshelf2017/videos/low/AA2017_211.mp4</x:v>
      </x:c>
      <x:c r="O200" t="n">
        <x:v>0</x:v>
      </x:c>
      <x:c r="P200" t="n">
        <x:v>0</x:v>
      </x:c>
      <x:c r="Q200" t="n">
        <x:v>1</x:v>
      </x:c>
      <x:c r="R200" t="n">
        <x:v>1</x:v>
      </x:c>
      <x:c r="S200" t="n">
        <x:v>0</x:v>
      </x:c>
      <x:c r="T200" t="n">
        <x:v>0</x:v>
      </x:c>
      <x:c r="U200" t="n">
        <x:v>1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2</x:v>
      </x:c>
      <x:c r="AA200" t="n">
        <x:v>1</x:v>
      </x:c>
      <x:c r="AB200" t="str">
        <x:v>Pass</x:v>
      </x:c>
      <x:c r="AC200" t="str"/>
      <x:c r="AD200" t="str"/>
    </x:row>
    <x:row r="201">
      <x:c r="A201" t="str">
        <x:v>REC0200</x:v>
      </x:c>
      <x:c r="B201" t="n">
        <x:v>199</x:v>
      </x:c>
      <x:c r="C201" t="str">
        <x:v>St. Thomas, USVI</x:v>
      </x:c>
      <x:c r="D201" t="str">
        <x:v>AA</x:v>
      </x:c>
      <x:c r="E201" t="str">
        <x:v>Accuracy Assessment</x:v>
      </x:c>
      <x:c r="F201" t="str">
        <x:v>HD Seaviewer Drop Camera</x:v>
      </x:c>
      <x:c r="G201" t="str">
        <x:v>AA2017_212</x:v>
      </x:c>
      <x:c r="H201" s="28" t="n">
        <x:v>42776</x:v>
      </x:c>
      <x:c r="I201" t="str">
        <x:v>09:39:12</x:v>
      </x:c>
      <x:c r="J201" t="n">
        <x:v>2017</x:v>
      </x:c>
      <x:c r="K201" t="n">
        <x:v>18.20264624</x:v>
      </x:c>
      <x:c r="L201" t="n">
        <x:v>-64.91511242</x:v>
      </x:c>
      <x:c r="M201" t="n">
        <x:v>49.303</x:v>
      </x:c>
      <x:c r="N201" t="str">
        <x:v>https://nccospublicstor.blob.core.windows.net/biomapper/usviinsularshelf2017/videos/low/AA2017_212.mp4</x:v>
      </x:c>
      <x:c r="O201" t="n">
        <x:v>0</x:v>
      </x:c>
      <x:c r="P201" t="n">
        <x:v>1</x:v>
      </x:c>
      <x:c r="Q201" t="n">
        <x:v>1</x:v>
      </x:c>
      <x:c r="R201" t="n">
        <x:v>0</x:v>
      </x:c>
      <x:c r="S201" t="n">
        <x:v>1</x:v>
      </x:c>
      <x:c r="T201" t="n">
        <x:v>0</x:v>
      </x:c>
      <x:c r="U201" t="n">
        <x:v>1</x:v>
      </x:c>
      <x:c r="V201" t="n">
        <x:v>1</x:v>
      </x:c>
      <x:c r="W201" t="n">
        <x:v>0</x:v>
      </x:c>
      <x:c r="X201" t="n">
        <x:v>0</x:v>
      </x:c>
      <x:c r="Y201" t="n">
        <x:v>0</x:v>
      </x:c>
      <x:c r="Z201" t="n">
        <x:v>2</x:v>
      </x:c>
      <x:c r="AA201" t="n">
        <x:v>3</x:v>
      </x:c>
      <x:c r="AB201" t="str">
        <x:v>Pass</x:v>
      </x:c>
      <x:c r="AC201" t="str"/>
      <x:c r="AD201" t="str"/>
    </x:row>
    <x:row r="202">
      <x:c r="A202" t="str">
        <x:v>REC0201</x:v>
      </x:c>
      <x:c r="B202" t="n">
        <x:v>200</x:v>
      </x:c>
      <x:c r="C202" t="str">
        <x:v>St. Thomas, USVI</x:v>
      </x:c>
      <x:c r="D202" t="str">
        <x:v>AA</x:v>
      </x:c>
      <x:c r="E202" t="str">
        <x:v>Accuracy Assessment</x:v>
      </x:c>
      <x:c r="F202" t="str">
        <x:v>HD Seaviewer Drop Camera</x:v>
      </x:c>
      <x:c r="G202" t="str">
        <x:v>AA2017_213</x:v>
      </x:c>
      <x:c r="H202" s="28" t="n">
        <x:v>42776</x:v>
      </x:c>
      <x:c r="I202" t="str">
        <x:v>09:33:41</x:v>
      </x:c>
      <x:c r="J202" t="n">
        <x:v>2017</x:v>
      </x:c>
      <x:c r="K202" t="n">
        <x:v>18.19805038</x:v>
      </x:c>
      <x:c r="L202" t="n">
        <x:v>-64.9140759</x:v>
      </x:c>
      <x:c r="M202" t="n">
        <x:v>52.321</x:v>
      </x:c>
      <x:c r="N202" t="str">
        <x:v>https://nccospublicstor.blob.core.windows.net/biomapper/usviinsularshelf2017/videos/low/AA2017_213.mp4</x:v>
      </x:c>
      <x:c r="O202" t="n">
        <x:v>0</x:v>
      </x:c>
      <x:c r="P202" t="n">
        <x:v>1</x:v>
      </x:c>
      <x:c r="Q202" t="n">
        <x:v>1</x:v>
      </x:c>
      <x:c r="R202" t="n">
        <x:v>0</x:v>
      </x:c>
      <x:c r="S202" t="n">
        <x:v>1</x:v>
      </x:c>
      <x:c r="T202" t="n">
        <x:v>0</x:v>
      </x:c>
      <x:c r="U202" t="n">
        <x:v>1</x:v>
      </x:c>
      <x:c r="V202" t="n">
        <x:v>1</x:v>
      </x:c>
      <x:c r="W202" t="n">
        <x:v>0</x:v>
      </x:c>
      <x:c r="X202" t="n">
        <x:v>0</x:v>
      </x:c>
      <x:c r="Y202" t="n">
        <x:v>0</x:v>
      </x:c>
      <x:c r="Z202" t="n">
        <x:v>2</x:v>
      </x:c>
      <x:c r="AA202" t="n">
        <x:v>3</x:v>
      </x:c>
      <x:c r="AB202" t="str">
        <x:v>Pass</x:v>
      </x:c>
      <x:c r="AC202" t="str"/>
      <x:c r="AD202" t="str"/>
    </x:row>
    <x:row r="203">
      <x:c r="A203" t="str">
        <x:v>REC0202</x:v>
      </x:c>
      <x:c r="B203" t="n">
        <x:v>201</x:v>
      </x:c>
      <x:c r="C203" t="str">
        <x:v>St. Thomas, USVI</x:v>
      </x:c>
      <x:c r="D203" t="str">
        <x:v>AA</x:v>
      </x:c>
      <x:c r="E203" t="str">
        <x:v>Accuracy Assessment</x:v>
      </x:c>
      <x:c r="F203" t="str">
        <x:v>HD Seaviewer Drop Camera</x:v>
      </x:c>
      <x:c r="G203" t="str">
        <x:v>AA2017_214</x:v>
      </x:c>
      <x:c r="H203" s="28" t="n">
        <x:v>42776</x:v>
      </x:c>
      <x:c r="I203" t="str">
        <x:v>09:17:51</x:v>
      </x:c>
      <x:c r="J203" t="n">
        <x:v>2017</x:v>
      </x:c>
      <x:c r="K203" t="n">
        <x:v>18.18438276</x:v>
      </x:c>
      <x:c r="L203" t="n">
        <x:v>-64.91302314</x:v>
      </x:c>
      <x:c r="M203" t="n">
        <x:v>56.667</x:v>
      </x:c>
      <x:c r="N203" t="str">
        <x:v>https://nccospublicstor.blob.core.windows.net/biomapper/usviinsularshelf2017/videos/low/AA2017_214.mp4</x:v>
      </x:c>
      <x:c r="O203" t="n">
        <x:v>0</x:v>
      </x:c>
      <x:c r="P203" t="n">
        <x:v>0</x:v>
      </x:c>
      <x:c r="Q203" t="n">
        <x:v>1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1</x:v>
      </x:c>
      <x:c r="W203" t="n">
        <x:v>0</x:v>
      </x:c>
      <x:c r="X203" t="n">
        <x:v>0</x:v>
      </x:c>
      <x:c r="Y203" t="n">
        <x:v>0</x:v>
      </x:c>
      <x:c r="Z203" t="n">
        <x:v>1</x:v>
      </x:c>
      <x:c r="AA203" t="n">
        <x:v>1</x:v>
      </x:c>
      <x:c r="AB203" t="str">
        <x:v>Pass</x:v>
      </x:c>
      <x:c r="AC203" t="str"/>
      <x:c r="AD203" t="str">
        <x:v>macroalgae almost &gt;20%</x:v>
      </x:c>
    </x:row>
    <x:row r="204">
      <x:c r="A204" t="str">
        <x:v>REC0203</x:v>
      </x:c>
      <x:c r="B204" t="n">
        <x:v>202</x:v>
      </x:c>
      <x:c r="C204" t="str">
        <x:v>St. Thomas, USVI</x:v>
      </x:c>
      <x:c r="D204" t="str">
        <x:v>AA</x:v>
      </x:c>
      <x:c r="E204" t="str">
        <x:v>Accuracy Assessment</x:v>
      </x:c>
      <x:c r="F204" t="str">
        <x:v>HD Seaviewer Drop Camera</x:v>
      </x:c>
      <x:c r="G204" t="str">
        <x:v>AA2017_215</x:v>
      </x:c>
      <x:c r="H204" s="28" t="n">
        <x:v>42770</x:v>
      </x:c>
      <x:c r="I204" t="str">
        <x:v>11:31:47</x:v>
      </x:c>
      <x:c r="J204" t="n">
        <x:v>2017</x:v>
      </x:c>
      <x:c r="K204" t="n">
        <x:v>18.2572991</x:v>
      </x:c>
      <x:c r="L204" t="n">
        <x:v>-64.91366105</x:v>
      </x:c>
      <x:c r="M204" t="n">
        <x:v>38.29</x:v>
      </x:c>
      <x:c r="N204" t="str">
        <x:v>https://nccospublicstor.blob.core.windows.net/biomapper/usviinsularshelf2017/videos/low/AA2017_215.mp4</x:v>
      </x:c>
      <x:c r="O204" t="n">
        <x:v>0</x:v>
      </x:c>
      <x:c r="P204" t="n">
        <x:v>0</x:v>
      </x:c>
      <x:c r="Q204" t="n">
        <x:v>1</x:v>
      </x:c>
      <x:c r="R204" t="n">
        <x:v>0</x:v>
      </x:c>
      <x:c r="S204" t="n">
        <x:v>0</x:v>
      </x:c>
      <x:c r="T204" t="n">
        <x:v>0</x:v>
      </x:c>
      <x:c r="U204" t="n">
        <x:v>1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1</x:v>
      </x:c>
      <x:c r="AA204" t="n">
        <x:v>1</x:v>
      </x:c>
      <x:c r="AB204" t="str">
        <x:v>Pass</x:v>
      </x:c>
      <x:c r="AC204" t="str"/>
      <x:c r="AD204" t="str">
        <x:v>macroalgae just &gt;20%, mostly uncolonized rhodo</x:v>
      </x:c>
    </x:row>
    <x:row r="205">
      <x:c r="A205" t="str">
        <x:v>REC0204</x:v>
      </x:c>
      <x:c r="B205" t="n">
        <x:v>203</x:v>
      </x:c>
      <x:c r="C205" t="str">
        <x:v>St. Thomas, USVI</x:v>
      </x:c>
      <x:c r="D205" t="str">
        <x:v>AA</x:v>
      </x:c>
      <x:c r="E205" t="str">
        <x:v>Accuracy Assessment</x:v>
      </x:c>
      <x:c r="F205" t="str">
        <x:v>HD Seaviewer Drop Camera</x:v>
      </x:c>
      <x:c r="G205" t="str">
        <x:v>AA2017_218</x:v>
      </x:c>
      <x:c r="H205" s="28" t="n">
        <x:v>42776</x:v>
      </x:c>
      <x:c r="I205" t="str">
        <x:v>09:48:27</x:v>
      </x:c>
      <x:c r="J205" t="n">
        <x:v>2017</x:v>
      </x:c>
      <x:c r="K205" t="n">
        <x:v>18.19229505</x:v>
      </x:c>
      <x:c r="L205" t="n">
        <x:v>-64.90685519</x:v>
      </x:c>
      <x:c r="M205" t="n">
        <x:v>52.362</x:v>
      </x:c>
      <x:c r="N205" t="str">
        <x:v>https://nccospublicstor.blob.core.windows.net/biomapper/usviinsularshelf2017/videos/low/AA2017_218.mp4</x:v>
      </x:c>
      <x:c r="O205" t="n">
        <x:v>0</x:v>
      </x:c>
      <x:c r="P205" t="n">
        <x:v>1</x:v>
      </x:c>
      <x:c r="Q205" t="n">
        <x:v>1</x:v>
      </x:c>
      <x:c r="R205" t="n">
        <x:v>0</x:v>
      </x:c>
      <x:c r="S205" t="n">
        <x:v>1</x:v>
      </x:c>
      <x:c r="T205" t="n">
        <x:v>0</x:v>
      </x:c>
      <x:c r="U205" t="n">
        <x:v>1</x:v>
      </x:c>
      <x:c r="V205" t="n">
        <x:v>1</x:v>
      </x:c>
      <x:c r="W205" t="n">
        <x:v>0</x:v>
      </x:c>
      <x:c r="X205" t="n">
        <x:v>0</x:v>
      </x:c>
      <x:c r="Y205" t="n">
        <x:v>0</x:v>
      </x:c>
      <x:c r="Z205" t="n">
        <x:v>2</x:v>
      </x:c>
      <x:c r="AA205" t="n">
        <x:v>3</x:v>
      </x:c>
      <x:c r="AB205" t="str">
        <x:v>Pass</x:v>
      </x:c>
      <x:c r="AC205" t="str"/>
      <x:c r="AD205" t="str"/>
    </x:row>
    <x:row r="206">
      <x:c r="A206" t="str">
        <x:v>REC0205</x:v>
      </x:c>
      <x:c r="B206" t="n">
        <x:v>204</x:v>
      </x:c>
      <x:c r="C206" t="str">
        <x:v>St. Thomas, USVI</x:v>
      </x:c>
      <x:c r="D206" t="str">
        <x:v>AA</x:v>
      </x:c>
      <x:c r="E206" t="str">
        <x:v>Accuracy Assessment</x:v>
      </x:c>
      <x:c r="F206" t="str">
        <x:v>HD Seaviewer Drop Camera</x:v>
      </x:c>
      <x:c r="G206" t="str">
        <x:v>AA2017_219</x:v>
      </x:c>
      <x:c r="H206" s="28" t="n">
        <x:v>42776</x:v>
      </x:c>
      <x:c r="I206" t="str">
        <x:v>10:52:33</x:v>
      </x:c>
      <x:c r="J206" t="n">
        <x:v>2017</x:v>
      </x:c>
      <x:c r="K206" t="n">
        <x:v>18.20686726</x:v>
      </x:c>
      <x:c r="L206" t="n">
        <x:v>-64.9066442</x:v>
      </x:c>
      <x:c r="M206" t="n">
        <x:v>46.139</x:v>
      </x:c>
      <x:c r="N206" t="str">
        <x:v>https://nccospublicstor.blob.core.windows.net/biomapper/usviinsularshelf2017/videos/low/AA2017_219.mp4</x:v>
      </x:c>
      <x:c r="O206" t="n">
        <x:v>1</x:v>
      </x:c>
      <x:c r="P206" t="n">
        <x:v>1</x:v>
      </x:c>
      <x:c r="Q206" t="n">
        <x:v>0</x:v>
      </x:c>
      <x:c r="R206" t="n">
        <x:v>0</x:v>
      </x:c>
      <x:c r="S206" t="n">
        <x:v>1</x:v>
      </x:c>
      <x:c r="T206" t="n">
        <x:v>0</x:v>
      </x:c>
      <x:c r="U206" t="n">
        <x:v>1</x:v>
      </x:c>
      <x:c r="V206" t="n">
        <x:v>1</x:v>
      </x:c>
      <x:c r="W206" t="n">
        <x:v>0</x:v>
      </x:c>
      <x:c r="X206" t="n">
        <x:v>0</x:v>
      </x:c>
      <x:c r="Y206" t="n">
        <x:v>0</x:v>
      </x:c>
      <x:c r="Z206" t="n">
        <x:v>2</x:v>
      </x:c>
      <x:c r="AA206" t="n">
        <x:v>3</x:v>
      </x:c>
      <x:c r="AB206" t="str">
        <x:v>Pass</x:v>
      </x:c>
      <x:c r="AC206" t="str"/>
      <x:c r="AD206" t="str"/>
    </x:row>
    <x:row r="207">
      <x:c r="A207" t="str">
        <x:v>REC0206</x:v>
      </x:c>
      <x:c r="B207" t="n">
        <x:v>205</x:v>
      </x:c>
      <x:c r="C207" t="str">
        <x:v>St. Thomas, USVI</x:v>
      </x:c>
      <x:c r="D207" t="str">
        <x:v>AA</x:v>
      </x:c>
      <x:c r="E207" t="str">
        <x:v>Accuracy Assessment</x:v>
      </x:c>
      <x:c r="F207" t="str">
        <x:v>HD Seaviewer Drop Camera</x:v>
      </x:c>
      <x:c r="G207" t="str">
        <x:v>AA2017_220</x:v>
      </x:c>
      <x:c r="H207" s="28" t="n">
        <x:v>42775</x:v>
      </x:c>
      <x:c r="I207" t="str">
        <x:v>13:57:40</x:v>
      </x:c>
      <x:c r="J207" t="n">
        <x:v>2017</x:v>
      </x:c>
      <x:c r="K207" t="n">
        <x:v>18.26548038</x:v>
      </x:c>
      <x:c r="L207" t="n">
        <x:v>-64.90718729</x:v>
      </x:c>
      <x:c r="M207" t="n">
        <x:v>31.042</x:v>
      </x:c>
      <x:c r="N207" t="str">
        <x:v>https://nccospublicstor.blob.core.windows.net/biomapper/usviinsularshelf2017/videos/low/AA2017_220.mp4</x:v>
      </x:c>
      <x:c r="O207" t="n">
        <x:v>0</x:v>
      </x:c>
      <x:c r="P207" t="n">
        <x:v>0</x:v>
      </x:c>
      <x:c r="Q207" t="n">
        <x:v>0</x:v>
      </x:c>
      <x:c r="R207" t="n">
        <x:v>1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1</x:v>
      </x:c>
      <x:c r="AA207" t="n">
        <x:v>0</x:v>
      </x:c>
      <x:c r="AB207" t="str">
        <x:v>Pass</x:v>
      </x:c>
      <x:c r="AC207" t="str"/>
      <x:c r="AD207" t="str"/>
    </x:row>
    <x:row r="208">
      <x:c r="A208" t="str">
        <x:v>REC0207</x:v>
      </x:c>
      <x:c r="B208" t="n">
        <x:v>206</x:v>
      </x:c>
      <x:c r="C208" t="str">
        <x:v>St. Thomas, USVI</x:v>
      </x:c>
      <x:c r="D208" t="str">
        <x:v>AA</x:v>
      </x:c>
      <x:c r="E208" t="str">
        <x:v>Accuracy Assessment</x:v>
      </x:c>
      <x:c r="F208" t="str">
        <x:v>HD Seaviewer Drop Camera</x:v>
      </x:c>
      <x:c r="G208" t="str">
        <x:v>AA2017_221</x:v>
      </x:c>
      <x:c r="H208" s="28" t="n">
        <x:v>42775</x:v>
      </x:c>
      <x:c r="I208" t="str">
        <x:v>12:07:38</x:v>
      </x:c>
      <x:c r="J208" t="n">
        <x:v>2017</x:v>
      </x:c>
      <x:c r="K208" t="n">
        <x:v>18.23211023</x:v>
      </x:c>
      <x:c r="L208" t="n">
        <x:v>-64.90589042</x:v>
      </x:c>
      <x:c r="M208" t="n">
        <x:v>42.553</x:v>
      </x:c>
      <x:c r="N208" t="str">
        <x:v>https://nccospublicstor.blob.core.windows.net/biomapper/usviinsularshelf2017/videos/low/AA2017_221.mp4</x:v>
      </x:c>
      <x:c r="O208" t="n">
        <x:v>0</x:v>
      </x:c>
      <x:c r="P208" t="n">
        <x:v>0</x:v>
      </x:c>
      <x:c r="Q208" t="n">
        <x:v>1</x:v>
      </x:c>
      <x:c r="R208" t="n">
        <x:v>1</x:v>
      </x:c>
      <x:c r="S208" t="n">
        <x:v>0</x:v>
      </x:c>
      <x:c r="T208" t="n">
        <x:v>0</x:v>
      </x:c>
      <x:c r="U208" t="n">
        <x:v>1</x:v>
      </x:c>
      <x:c r="V208" t="n">
        <x:v>1</x:v>
      </x:c>
      <x:c r="W208" t="n">
        <x:v>0</x:v>
      </x:c>
      <x:c r="X208" t="n">
        <x:v>0</x:v>
      </x:c>
      <x:c r="Y208" t="n">
        <x:v>0</x:v>
      </x:c>
      <x:c r="Z208" t="n">
        <x:v>2</x:v>
      </x:c>
      <x:c r="AA208" t="n">
        <x:v>2</x:v>
      </x:c>
      <x:c r="AB208" t="str">
        <x:v>Pass</x:v>
      </x:c>
      <x:c r="AC208" t="str"/>
      <x:c r="AD208" t="str"/>
    </x:row>
    <x:row r="209">
      <x:c r="A209" t="str">
        <x:v>REC0208</x:v>
      </x:c>
      <x:c r="B209" t="n">
        <x:v>207</x:v>
      </x:c>
      <x:c r="C209" t="str">
        <x:v>St. Thomas, USVI</x:v>
      </x:c>
      <x:c r="D209" t="str">
        <x:v>AA</x:v>
      </x:c>
      <x:c r="E209" t="str">
        <x:v>Accuracy Assessment</x:v>
      </x:c>
      <x:c r="F209" t="str">
        <x:v>HD Seaviewer Drop Camera</x:v>
      </x:c>
      <x:c r="G209" t="str">
        <x:v>AA2017_222</x:v>
      </x:c>
      <x:c r="H209" s="28" t="n">
        <x:v>42776</x:v>
      </x:c>
      <x:c r="I209" t="str">
        <x:v>09:55:59</x:v>
      </x:c>
      <x:c r="J209" t="n">
        <x:v>2017</x:v>
      </x:c>
      <x:c r="K209" t="n">
        <x:v>18.19712213</x:v>
      </x:c>
      <x:c r="L209" t="n">
        <x:v>-64.90506475</x:v>
      </x:c>
      <x:c r="M209" t="n">
        <x:v>50.513</x:v>
      </x:c>
      <x:c r="N209" t="str">
        <x:v>https://nccospublicstor.blob.core.windows.net/biomapper/usviinsularshelf2017/videos/low/AA2017_222.mp4</x:v>
      </x:c>
      <x:c r="O209" t="n">
        <x:v>0</x:v>
      </x:c>
      <x:c r="P209" t="n">
        <x:v>1</x:v>
      </x:c>
      <x:c r="Q209" t="n">
        <x:v>1</x:v>
      </x:c>
      <x:c r="R209" t="n">
        <x:v>0</x:v>
      </x:c>
      <x:c r="S209" t="n">
        <x:v>1</x:v>
      </x:c>
      <x:c r="T209" t="n">
        <x:v>0</x:v>
      </x:c>
      <x:c r="U209" t="n">
        <x:v>1</x:v>
      </x:c>
      <x:c r="V209" t="n">
        <x:v>1</x:v>
      </x:c>
      <x:c r="W209" t="n">
        <x:v>0</x:v>
      </x:c>
      <x:c r="X209" t="n">
        <x:v>0</x:v>
      </x:c>
      <x:c r="Y209" t="n">
        <x:v>0</x:v>
      </x:c>
      <x:c r="Z209" t="n">
        <x:v>2</x:v>
      </x:c>
      <x:c r="AA209" t="n">
        <x:v>3</x:v>
      </x:c>
      <x:c r="AB209" t="str">
        <x:v>Pass</x:v>
      </x:c>
      <x:c r="AC209" t="str"/>
      <x:c r="AD209" t="str"/>
    </x:row>
    <x:row r="210">
      <x:c r="A210" t="str">
        <x:v>REC0209</x:v>
      </x:c>
      <x:c r="B210" t="n">
        <x:v>208</x:v>
      </x:c>
      <x:c r="C210" t="str">
        <x:v>St. Thomas, USVI</x:v>
      </x:c>
      <x:c r="D210" t="str">
        <x:v>AA</x:v>
      </x:c>
      <x:c r="E210" t="str">
        <x:v>Accuracy Assessment</x:v>
      </x:c>
      <x:c r="F210" t="str">
        <x:v>HD Seaviewer Drop Camera</x:v>
      </x:c>
      <x:c r="G210" t="str">
        <x:v>AA2017_223</x:v>
      </x:c>
      <x:c r="H210" s="28" t="n">
        <x:v>42775</x:v>
      </x:c>
      <x:c r="I210" t="str">
        <x:v>13:49:49</x:v>
      </x:c>
      <x:c r="J210" t="n">
        <x:v>2017</x:v>
      </x:c>
      <x:c r="K210" t="n">
        <x:v>18.257371</x:v>
      </x:c>
      <x:c r="L210" t="n">
        <x:v>-64.90445596</x:v>
      </x:c>
      <x:c r="M210" t="n">
        <x:v>37.394</x:v>
      </x:c>
      <x:c r="N210" t="str">
        <x:v>https://nccospublicstor.blob.core.windows.net/biomapper/usviinsularshelf2017/videos/low/AA2017_223.mp4</x:v>
      </x:c>
      <x:c r="O210" t="n">
        <x:v>0</x:v>
      </x:c>
      <x:c r="P210" t="n">
        <x:v>0</x:v>
      </x:c>
      <x:c r="Q210" t="n">
        <x:v>1</x:v>
      </x:c>
      <x:c r="R210" t="n">
        <x:v>0</x:v>
      </x:c>
      <x:c r="S210" t="n">
        <x:v>0</x:v>
      </x:c>
      <x:c r="T210" t="n">
        <x:v>0</x:v>
      </x:c>
      <x:c r="U210" t="n">
        <x:v>1</x:v>
      </x:c>
      <x:c r="V210" t="n">
        <x:v>1</x:v>
      </x:c>
      <x:c r="W210" t="n">
        <x:v>0</x:v>
      </x:c>
      <x:c r="X210" t="n">
        <x:v>0</x:v>
      </x:c>
      <x:c r="Y210" t="n">
        <x:v>0</x:v>
      </x:c>
      <x:c r="Z210" t="n">
        <x:v>1</x:v>
      </x:c>
      <x:c r="AA210" t="n">
        <x:v>2</x:v>
      </x:c>
      <x:c r="AB210" t="str">
        <x:v>Pass</x:v>
      </x:c>
      <x:c r="AC210" t="str"/>
      <x:c r="AD210" t="str"/>
    </x:row>
    <x:row r="211">
      <x:c r="A211" t="str">
        <x:v>REC0210</x:v>
      </x:c>
      <x:c r="B211" t="n">
        <x:v>209</x:v>
      </x:c>
      <x:c r="C211" t="str">
        <x:v>St. Thomas, USVI</x:v>
      </x:c>
      <x:c r="D211" t="str">
        <x:v>AA</x:v>
      </x:c>
      <x:c r="E211" t="str">
        <x:v>Accuracy Assessment</x:v>
      </x:c>
      <x:c r="F211" t="str">
        <x:v>HD Seaviewer Drop Camera</x:v>
      </x:c>
      <x:c r="G211" t="str">
        <x:v>AA2017_224</x:v>
      </x:c>
      <x:c r="H211" s="28" t="n">
        <x:v>42775</x:v>
      </x:c>
      <x:c r="I211" t="str">
        <x:v>13:43:30</x:v>
      </x:c>
      <x:c r="J211" t="n">
        <x:v>2017</x:v>
      </x:c>
      <x:c r="K211" t="n">
        <x:v>18.25514803</x:v>
      </x:c>
      <x:c r="L211" t="n">
        <x:v>-64.90222099</x:v>
      </x:c>
      <x:c r="M211" t="n">
        <x:v>38.497</x:v>
      </x:c>
      <x:c r="N211" t="str">
        <x:v>https://nccospublicstor.blob.core.windows.net/biomapper/usviinsularshelf2017/videos/low/AA2017_224.mp4</x:v>
      </x:c>
      <x:c r="O211" t="n">
        <x:v>0</x:v>
      </x:c>
      <x:c r="P211" t="n">
        <x:v>0</x:v>
      </x:c>
      <x:c r="Q211" t="n">
        <x:v>1</x:v>
      </x:c>
      <x:c r="R211" t="n">
        <x:v>1</x:v>
      </x:c>
      <x:c r="S211" t="n">
        <x:v>0</x:v>
      </x:c>
      <x:c r="T211" t="n">
        <x:v>0</x:v>
      </x:c>
      <x:c r="U211" t="n">
        <x:v>1</x:v>
      </x:c>
      <x:c r="V211" t="n">
        <x:v>1</x:v>
      </x:c>
      <x:c r="W211" t="n">
        <x:v>0</x:v>
      </x:c>
      <x:c r="X211" t="n">
        <x:v>0</x:v>
      </x:c>
      <x:c r="Y211" t="n">
        <x:v>0</x:v>
      </x:c>
      <x:c r="Z211" t="n">
        <x:v>2</x:v>
      </x:c>
      <x:c r="AA211" t="n">
        <x:v>2</x:v>
      </x:c>
      <x:c r="AB211" t="str">
        <x:v>Pass</x:v>
      </x:c>
      <x:c r="AC211" t="str"/>
      <x:c r="AD211" t="str"/>
    </x:row>
    <x:row r="212">
      <x:c r="A212" t="str">
        <x:v>REC0211</x:v>
      </x:c>
      <x:c r="B212" t="n">
        <x:v>210</x:v>
      </x:c>
      <x:c r="C212" t="str">
        <x:v>St. Thomas, USVI</x:v>
      </x:c>
      <x:c r="D212" t="str">
        <x:v>AA</x:v>
      </x:c>
      <x:c r="E212" t="str">
        <x:v>Accuracy Assessment</x:v>
      </x:c>
      <x:c r="F212" t="str">
        <x:v>HD Seaviewer Drop Camera</x:v>
      </x:c>
      <x:c r="G212" t="str">
        <x:v>AA2017_225</x:v>
      </x:c>
      <x:c r="H212" s="28" t="n">
        <x:v>42776</x:v>
      </x:c>
      <x:c r="I212" t="str">
        <x:v>09:08:44</x:v>
      </x:c>
      <x:c r="J212" t="n">
        <x:v>2017</x:v>
      </x:c>
      <x:c r="K212" t="n">
        <x:v>18.18350835</x:v>
      </x:c>
      <x:c r="L212" t="n">
        <x:v>-64.90091877</x:v>
      </x:c>
      <x:c r="M212" t="n">
        <x:v>55.195</x:v>
      </x:c>
      <x:c r="N212" t="str">
        <x:v>https://nccospublicstor.blob.core.windows.net/biomapper/usviinsularshelf2017/videos/low/AA2017_225.mp4</x:v>
      </x:c>
      <x:c r="O212" t="n">
        <x:v>0</x:v>
      </x:c>
      <x:c r="P212" t="n">
        <x:v>1</x:v>
      </x:c>
      <x:c r="Q212" t="n">
        <x:v>1</x:v>
      </x:c>
      <x:c r="R212" t="n">
        <x:v>0</x:v>
      </x:c>
      <x:c r="S212" t="n">
        <x:v>1</x:v>
      </x:c>
      <x:c r="T212" t="n">
        <x:v>0</x:v>
      </x:c>
      <x:c r="U212" t="n">
        <x:v>1</x:v>
      </x:c>
      <x:c r="V212" t="n">
        <x:v>1</x:v>
      </x:c>
      <x:c r="W212" t="n">
        <x:v>0</x:v>
      </x:c>
      <x:c r="X212" t="n">
        <x:v>0</x:v>
      </x:c>
      <x:c r="Y212" t="n">
        <x:v>0</x:v>
      </x:c>
      <x:c r="Z212" t="n">
        <x:v>2</x:v>
      </x:c>
      <x:c r="AA212" t="n">
        <x:v>3</x:v>
      </x:c>
      <x:c r="AB212" t="str">
        <x:v>Pass</x:v>
      </x:c>
      <x:c r="AC212" t="str"/>
      <x:c r="AD212" t="str"/>
    </x:row>
    <x:row r="213">
      <x:c r="A213" t="str">
        <x:v>REC0212</x:v>
      </x:c>
      <x:c r="B213" t="n">
        <x:v>211</x:v>
      </x:c>
      <x:c r="C213" t="str">
        <x:v>St. Thomas, USVI</x:v>
      </x:c>
      <x:c r="D213" t="str">
        <x:v>AA</x:v>
      </x:c>
      <x:c r="E213" t="str">
        <x:v>Accuracy Assessment</x:v>
      </x:c>
      <x:c r="F213" t="str">
        <x:v>HD Seaviewer Drop Camera</x:v>
      </x:c>
      <x:c r="G213" t="str">
        <x:v>AA2017_227</x:v>
      </x:c>
      <x:c r="H213" s="28" t="n">
        <x:v>42775</x:v>
      </x:c>
      <x:c r="I213" t="str">
        <x:v>12:15:30</x:v>
      </x:c>
      <x:c r="J213" t="n">
        <x:v>2017</x:v>
      </x:c>
      <x:c r="K213" t="n">
        <x:v>18.24371253</x:v>
      </x:c>
      <x:c r="L213" t="n">
        <x:v>-64.89875033</x:v>
      </x:c>
      <x:c r="M213" t="n">
        <x:v>40.275</x:v>
      </x:c>
      <x:c r="N213" t="str">
        <x:v>https://nccospublicstor.blob.core.windows.net/biomapper/usviinsularshelf2017/videos/low/AA2017_227.mp4</x:v>
      </x:c>
      <x:c r="O213" t="n">
        <x:v>0</x:v>
      </x:c>
      <x:c r="P213" t="n">
        <x:v>0</x:v>
      </x:c>
      <x:c r="Q213" t="n">
        <x:v>1</x:v>
      </x:c>
      <x:c r="R213" t="n">
        <x:v>1</x:v>
      </x:c>
      <x:c r="S213" t="n">
        <x:v>0</x:v>
      </x:c>
      <x:c r="T213" t="n">
        <x:v>0</x:v>
      </x:c>
      <x:c r="U213" t="n">
        <x:v>1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2</x:v>
      </x:c>
      <x:c r="AA213" t="n">
        <x:v>1</x:v>
      </x:c>
      <x:c r="AB213" t="str">
        <x:v>Pass</x:v>
      </x:c>
      <x:c r="AC213" t="str"/>
      <x:c r="AD213" t="str"/>
    </x:row>
    <x:row r="214">
      <x:c r="A214" t="str">
        <x:v>REC0213</x:v>
      </x:c>
      <x:c r="B214" t="n">
        <x:v>212</x:v>
      </x:c>
      <x:c r="C214" t="str">
        <x:v>St. Thomas, USVI</x:v>
      </x:c>
      <x:c r="D214" t="str">
        <x:v>AA</x:v>
      </x:c>
      <x:c r="E214" t="str">
        <x:v>Accuracy Assessment</x:v>
      </x:c>
      <x:c r="F214" t="str">
        <x:v>HD Seaviewer Drop Camera</x:v>
      </x:c>
      <x:c r="G214" t="str">
        <x:v>AA2017_228</x:v>
      </x:c>
      <x:c r="H214" s="28" t="n">
        <x:v>42775</x:v>
      </x:c>
      <x:c r="I214" t="str">
        <x:v>11:58:40</x:v>
      </x:c>
      <x:c r="J214" t="n">
        <x:v>2017</x:v>
      </x:c>
      <x:c r="K214" t="n">
        <x:v>18.23337784</x:v>
      </x:c>
      <x:c r="L214" t="n">
        <x:v>-64.89803177</x:v>
      </x:c>
      <x:c r="M214" t="n">
        <x:v>42.477</x:v>
      </x:c>
      <x:c r="N214" t="str">
        <x:v>https://nccospublicstor.blob.core.windows.net/biomapper/usviinsularshelf2017/videos/low/AA2017_228.mp4</x:v>
      </x:c>
      <x:c r="O214" t="n">
        <x:v>0</x:v>
      </x:c>
      <x:c r="P214" t="n">
        <x:v>0</x:v>
      </x:c>
      <x:c r="Q214" t="n">
        <x:v>1</x:v>
      </x:c>
      <x:c r="R214" t="n">
        <x:v>1</x:v>
      </x:c>
      <x:c r="S214" t="n">
        <x:v>0</x:v>
      </x:c>
      <x:c r="T214" t="n">
        <x:v>0</x:v>
      </x:c>
      <x:c r="U214" t="n">
        <x:v>1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2</x:v>
      </x:c>
      <x:c r="AA214" t="n">
        <x:v>1</x:v>
      </x:c>
      <x:c r="AB214" t="str">
        <x:v>Pass</x:v>
      </x:c>
      <x:c r="AC214" t="str"/>
      <x:c r="AD214" t="str"/>
    </x:row>
    <x:row r="215">
      <x:c r="A215" t="str">
        <x:v>REC0214</x:v>
      </x:c>
      <x:c r="B215" t="n">
        <x:v>213</x:v>
      </x:c>
      <x:c r="C215" t="str">
        <x:v>St. Thomas, USVI</x:v>
      </x:c>
      <x:c r="D215" t="str">
        <x:v>AA</x:v>
      </x:c>
      <x:c r="E215" t="str">
        <x:v>Accuracy Assessment</x:v>
      </x:c>
      <x:c r="F215" t="str">
        <x:v>HD Seaviewer Drop Camera</x:v>
      </x:c>
      <x:c r="G215" t="str">
        <x:v>AA2017_229</x:v>
      </x:c>
      <x:c r="H215" s="28" t="n">
        <x:v>42776</x:v>
      </x:c>
      <x:c r="I215" t="str">
        <x:v>09:01:06</x:v>
      </x:c>
      <x:c r="J215" t="n">
        <x:v>2017</x:v>
      </x:c>
      <x:c r="K215" t="n">
        <x:v>18.18054925</x:v>
      </x:c>
      <x:c r="L215" t="n">
        <x:v>-64.8954064</x:v>
      </x:c>
      <x:c r="M215" t="n">
        <x:v>52.312</x:v>
      </x:c>
      <x:c r="N215" t="str">
        <x:v>https://nccospublicstor.blob.core.windows.net/biomapper/usviinsularshelf2017/videos/low/AA2017_229.mp4</x:v>
      </x:c>
      <x:c r="O215" t="n">
        <x:v>0</x:v>
      </x:c>
      <x:c r="P215" t="n">
        <x:v>1</x:v>
      </x:c>
      <x:c r="Q215" t="n">
        <x:v>1</x:v>
      </x:c>
      <x:c r="R215" t="n">
        <x:v>0</x:v>
      </x:c>
      <x:c r="S215" t="n">
        <x:v>1</x:v>
      </x:c>
      <x:c r="T215" t="n">
        <x:v>0</x:v>
      </x:c>
      <x:c r="U215" t="n">
        <x:v>1</x:v>
      </x:c>
      <x:c r="V215" t="n">
        <x:v>1</x:v>
      </x:c>
      <x:c r="W215" t="n">
        <x:v>0</x:v>
      </x:c>
      <x:c r="X215" t="n">
        <x:v>0</x:v>
      </x:c>
      <x:c r="Y215" t="n">
        <x:v>0</x:v>
      </x:c>
      <x:c r="Z215" t="n">
        <x:v>2</x:v>
      </x:c>
      <x:c r="AA215" t="n">
        <x:v>3</x:v>
      </x:c>
      <x:c r="AB215" t="str">
        <x:v>Pass</x:v>
      </x:c>
      <x:c r="AC215" t="str"/>
      <x:c r="AD215" t="str"/>
    </x:row>
    <x:row r="216">
      <x:c r="A216" t="str">
        <x:v>REC0215</x:v>
      </x:c>
      <x:c r="B216" t="n">
        <x:v>214</x:v>
      </x:c>
      <x:c r="C216" t="str">
        <x:v>St. Thomas, USVI</x:v>
      </x:c>
      <x:c r="D216" t="str">
        <x:v>AA</x:v>
      </x:c>
      <x:c r="E216" t="str">
        <x:v>Accuracy Assessment</x:v>
      </x:c>
      <x:c r="F216" t="str">
        <x:v>HD Seaviewer Drop Camera</x:v>
      </x:c>
      <x:c r="G216" t="str">
        <x:v>AA2017_230</x:v>
      </x:c>
      <x:c r="H216" s="28" t="n">
        <x:v>42776</x:v>
      </x:c>
      <x:c r="I216" t="str">
        <x:v>10:06:18</x:v>
      </x:c>
      <x:c r="J216" t="n">
        <x:v>2017</x:v>
      </x:c>
      <x:c r="K216" t="n">
        <x:v>18.19204871</x:v>
      </x:c>
      <x:c r="L216" t="n">
        <x:v>-64.89451877</x:v>
      </x:c>
      <x:c r="M216" t="n">
        <x:v>51.046</x:v>
      </x:c>
      <x:c r="N216" t="str">
        <x:v>https://nccospublicstor.blob.core.windows.net/biomapper/usviinsularshelf2017/videos/low/AA2017_230.mp4</x:v>
      </x:c>
      <x:c r="O216" t="n">
        <x:v>0</x:v>
      </x:c>
      <x:c r="P216" t="n">
        <x:v>1</x:v>
      </x:c>
      <x:c r="Q216" t="n">
        <x:v>1</x:v>
      </x:c>
      <x:c r="R216" t="n">
        <x:v>0</x:v>
      </x:c>
      <x:c r="S216" t="n">
        <x:v>1</x:v>
      </x:c>
      <x:c r="T216" t="n">
        <x:v>0</x:v>
      </x:c>
      <x:c r="U216" t="n">
        <x:v>1</x:v>
      </x:c>
      <x:c r="V216" t="n">
        <x:v>1</x:v>
      </x:c>
      <x:c r="W216" t="n">
        <x:v>0</x:v>
      </x:c>
      <x:c r="X216" t="n">
        <x:v>0</x:v>
      </x:c>
      <x:c r="Y216" t="n">
        <x:v>0</x:v>
      </x:c>
      <x:c r="Z216" t="n">
        <x:v>2</x:v>
      </x:c>
      <x:c r="AA216" t="n">
        <x:v>3</x:v>
      </x:c>
      <x:c r="AB216" t="str">
        <x:v>Pass</x:v>
      </x:c>
      <x:c r="AC216" t="str"/>
      <x:c r="AD216" t="str"/>
    </x:row>
    <x:row r="217">
      <x:c r="A217" t="str">
        <x:v>REC0216</x:v>
      </x:c>
      <x:c r="B217" t="n">
        <x:v>215</x:v>
      </x:c>
      <x:c r="C217" t="str">
        <x:v>St. Thomas, USVI</x:v>
      </x:c>
      <x:c r="D217" t="str">
        <x:v>AA</x:v>
      </x:c>
      <x:c r="E217" t="str">
        <x:v>Accuracy Assessment</x:v>
      </x:c>
      <x:c r="F217" t="str">
        <x:v>HD Seaviewer Drop Camera</x:v>
      </x:c>
      <x:c r="G217" t="str">
        <x:v>AA2017_231</x:v>
      </x:c>
      <x:c r="H217" s="28" t="n">
        <x:v>42776</x:v>
      </x:c>
      <x:c r="I217" t="str">
        <x:v>10:13:02</x:v>
      </x:c>
      <x:c r="J217" t="n">
        <x:v>2017</x:v>
      </x:c>
      <x:c r="K217" t="n">
        <x:v>18.19978909</x:v>
      </x:c>
      <x:c r="L217" t="n">
        <x:v>-64.89335432</x:v>
      </x:c>
      <x:c r="M217" t="n">
        <x:v>49.108</x:v>
      </x:c>
      <x:c r="N217" t="str">
        <x:v>https://nccospublicstor.blob.core.windows.net/biomapper/usviinsularshelf2017/videos/low/AA2017_231.mp4</x:v>
      </x:c>
      <x:c r="O217" t="n">
        <x:v>0</x:v>
      </x:c>
      <x:c r="P217" t="n">
        <x:v>0</x:v>
      </x:c>
      <x:c r="Q217" t="n">
        <x:v>1</x:v>
      </x:c>
      <x:c r="R217" t="n">
        <x:v>0</x:v>
      </x:c>
      <x:c r="S217" t="n">
        <x:v>0</x:v>
      </x:c>
      <x:c r="T217" t="n">
        <x:v>0</x:v>
      </x:c>
      <x:c r="U217" t="n">
        <x:v>1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1</x:v>
      </x:c>
      <x:c r="AA217" t="n">
        <x:v>1</x:v>
      </x:c>
      <x:c r="AB217" t="str">
        <x:v>Pass</x:v>
      </x:c>
      <x:c r="AC217" t="str"/>
      <x:c r="AD217" t="str"/>
    </x:row>
    <x:row r="218">
      <x:c r="A218" t="str">
        <x:v>REC0217</x:v>
      </x:c>
      <x:c r="B218" t="n">
        <x:v>216</x:v>
      </x:c>
      <x:c r="C218" t="str">
        <x:v>St. Thomas, USVI</x:v>
      </x:c>
      <x:c r="D218" t="str">
        <x:v>AA</x:v>
      </x:c>
      <x:c r="E218" t="str">
        <x:v>Accuracy Assessment</x:v>
      </x:c>
      <x:c r="F218" t="str">
        <x:v>HD Seaviewer Drop Camera</x:v>
      </x:c>
      <x:c r="G218" t="str">
        <x:v>AA2017_232</x:v>
      </x:c>
      <x:c r="H218" s="28" t="n">
        <x:v>42775</x:v>
      </x:c>
      <x:c r="I218" t="str">
        <x:v>12:23:47</x:v>
      </x:c>
      <x:c r="J218" t="n">
        <x:v>2017</x:v>
      </x:c>
      <x:c r="K218" t="n">
        <x:v>18.25265785</x:v>
      </x:c>
      <x:c r="L218" t="n">
        <x:v>-64.89310571</x:v>
      </x:c>
      <x:c r="M218" t="n">
        <x:v>40.742</x:v>
      </x:c>
      <x:c r="N218" t="str">
        <x:v>https://nccospublicstor.blob.core.windows.net/biomapper/usviinsularshelf2017/videos/low/AA2017_232.mp4</x:v>
      </x:c>
      <x:c r="O218" t="n">
        <x:v>0</x:v>
      </x:c>
      <x:c r="P218" t="n">
        <x:v>0</x:v>
      </x:c>
      <x:c r="Q218" t="n">
        <x:v>1</x:v>
      </x:c>
      <x:c r="R218" t="n">
        <x:v>0</x:v>
      </x:c>
      <x:c r="S218" t="n">
        <x:v>0</x:v>
      </x:c>
      <x:c r="T218" t="n">
        <x:v>0</x:v>
      </x:c>
      <x:c r="U218" t="n">
        <x:v>1</x:v>
      </x:c>
      <x:c r="V218" t="n">
        <x:v>1</x:v>
      </x:c>
      <x:c r="W218" t="n">
        <x:v>0</x:v>
      </x:c>
      <x:c r="X218" t="n">
        <x:v>0</x:v>
      </x:c>
      <x:c r="Y218" t="n">
        <x:v>0</x:v>
      </x:c>
      <x:c r="Z218" t="n">
        <x:v>1</x:v>
      </x:c>
      <x:c r="AA218" t="n">
        <x:v>2</x:v>
      </x:c>
      <x:c r="AB218" t="str">
        <x:v>Pass</x:v>
      </x:c>
      <x:c r="AC218" t="str"/>
      <x:c r="AD218" t="str"/>
    </x:row>
    <x:row r="219">
      <x:c r="A219" t="str">
        <x:v>REC0218</x:v>
      </x:c>
      <x:c r="B219" t="n">
        <x:v>217</x:v>
      </x:c>
      <x:c r="C219" t="str">
        <x:v>St. Thomas, USVI</x:v>
      </x:c>
      <x:c r="D219" t="str">
        <x:v>AA</x:v>
      </x:c>
      <x:c r="E219" t="str">
        <x:v>Accuracy Assessment</x:v>
      </x:c>
      <x:c r="F219" t="str">
        <x:v>HD Seaviewer Drop Camera</x:v>
      </x:c>
      <x:c r="G219" t="str">
        <x:v>AA2017_233</x:v>
      </x:c>
      <x:c r="H219" s="28" t="n">
        <x:v>42776</x:v>
      </x:c>
      <x:c r="I219" t="str">
        <x:v>08:55:19</x:v>
      </x:c>
      <x:c r="J219" t="n">
        <x:v>2017</x:v>
      </x:c>
      <x:c r="K219" t="n">
        <x:v>18.18545215</x:v>
      </x:c>
      <x:c r="L219" t="n">
        <x:v>-64.89075471</x:v>
      </x:c>
      <x:c r="M219" t="n">
        <x:v>50.034</x:v>
      </x:c>
      <x:c r="N219" t="str">
        <x:v>https://nccospublicstor.blob.core.windows.net/biomapper/usviinsularshelf2017/videos/low/AA2017_233.mp4</x:v>
      </x:c>
      <x:c r="O219" t="n">
        <x:v>0</x:v>
      </x:c>
      <x:c r="P219" t="n">
        <x:v>1</x:v>
      </x:c>
      <x:c r="Q219" t="n">
        <x:v>1</x:v>
      </x:c>
      <x:c r="R219" t="n">
        <x:v>0</x:v>
      </x:c>
      <x:c r="S219" t="n">
        <x:v>1</x:v>
      </x:c>
      <x:c r="T219" t="n">
        <x:v>0</x:v>
      </x:c>
      <x:c r="U219" t="n">
        <x:v>1</x:v>
      </x:c>
      <x:c r="V219" t="n">
        <x:v>1</x:v>
      </x:c>
      <x:c r="W219" t="n">
        <x:v>0</x:v>
      </x:c>
      <x:c r="X219" t="n">
        <x:v>0</x:v>
      </x:c>
      <x:c r="Y219" t="n">
        <x:v>0</x:v>
      </x:c>
      <x:c r="Z219" t="n">
        <x:v>2</x:v>
      </x:c>
      <x:c r="AA219" t="n">
        <x:v>3</x:v>
      </x:c>
      <x:c r="AB219" t="str">
        <x:v>Pass</x:v>
      </x:c>
      <x:c r="AC219" t="str"/>
      <x:c r="AD219" t="str"/>
    </x:row>
    <x:row r="220">
      <x:c r="A220" t="str">
        <x:v>REC0219</x:v>
      </x:c>
      <x:c r="B220" t="n">
        <x:v>218</x:v>
      </x:c>
      <x:c r="C220" t="str">
        <x:v>St. Thomas, USVI</x:v>
      </x:c>
      <x:c r="D220" t="str">
        <x:v>AA</x:v>
      </x:c>
      <x:c r="E220" t="str">
        <x:v>Accuracy Assessment</x:v>
      </x:c>
      <x:c r="F220" t="str">
        <x:v>HD Seaviewer Drop Camera</x:v>
      </x:c>
      <x:c r="G220" t="str">
        <x:v>AA2017_234</x:v>
      </x:c>
      <x:c r="H220" s="28" t="n">
        <x:v>42776</x:v>
      </x:c>
      <x:c r="I220" t="str">
        <x:v>10:44:00</x:v>
      </x:c>
      <x:c r="J220" t="n">
        <x:v>2017</x:v>
      </x:c>
      <x:c r="K220" t="n">
        <x:v>18.20633936</x:v>
      </x:c>
      <x:c r="L220" t="n">
        <x:v>-64.89242935</x:v>
      </x:c>
      <x:c r="M220" t="n">
        <x:v>47.477</x:v>
      </x:c>
      <x:c r="N220" t="str">
        <x:v>https://nccospublicstor.blob.core.windows.net/biomapper/usviinsularshelf2017/videos/low/AA2017_234.mp4</x:v>
      </x:c>
      <x:c r="O220" t="n">
        <x:v>0</x:v>
      </x:c>
      <x:c r="P220" t="n">
        <x:v>0</x:v>
      </x:c>
      <x:c r="Q220" t="n">
        <x:v>1</x:v>
      </x:c>
      <x:c r="R220" t="n">
        <x:v>0</x:v>
      </x:c>
      <x:c r="S220" t="n">
        <x:v>0</x:v>
      </x:c>
      <x:c r="T220" t="n">
        <x:v>0</x:v>
      </x:c>
      <x:c r="U220" t="n">
        <x:v>1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1</x:v>
      </x:c>
      <x:c r="AA220" t="n">
        <x:v>1</x:v>
      </x:c>
      <x:c r="AB220" t="str">
        <x:v>Pass</x:v>
      </x:c>
      <x:c r="AC220" t="str"/>
      <x:c r="AD220" t="str"/>
    </x:row>
    <x:row r="221">
      <x:c r="A221" t="str">
        <x:v>REC0220</x:v>
      </x:c>
      <x:c r="B221" t="n">
        <x:v>219</x:v>
      </x:c>
      <x:c r="C221" t="str">
        <x:v>St. Thomas, USVI</x:v>
      </x:c>
      <x:c r="D221" t="str">
        <x:v>AA</x:v>
      </x:c>
      <x:c r="E221" t="str">
        <x:v>Accuracy Assessment</x:v>
      </x:c>
      <x:c r="F221" t="str">
        <x:v>HD Seaviewer Drop Camera</x:v>
      </x:c>
      <x:c r="G221" t="str">
        <x:v>AA2017_235</x:v>
      </x:c>
      <x:c r="H221" s="28" t="n">
        <x:v>42776</x:v>
      </x:c>
      <x:c r="I221" t="str">
        <x:v>10:37:16</x:v>
      </x:c>
      <x:c r="J221" t="n">
        <x:v>2017</x:v>
      </x:c>
      <x:c r="K221" t="n">
        <x:v>18.21341239</x:v>
      </x:c>
      <x:c r="L221" t="n">
        <x:v>-64.88633668</x:v>
      </x:c>
      <x:c r="M221" t="n">
        <x:v>42.535</x:v>
      </x:c>
      <x:c r="N221" t="str">
        <x:v>https://nccospublicstor.blob.core.windows.net/biomapper/usviinsularshelf2017/videos/low/AA2017_235.mp4</x:v>
      </x:c>
      <x:c r="O221" t="n">
        <x:v>1</x:v>
      </x:c>
      <x:c r="P221" t="n">
        <x:v>0</x:v>
      </x:c>
      <x:c r="Q221" t="n">
        <x:v>0</x:v>
      </x:c>
      <x:c r="R221" t="n">
        <x:v>0</x:v>
      </x:c>
      <x:c r="S221" t="n">
        <x:v>1</x:v>
      </x:c>
      <x:c r="T221" t="n">
        <x:v>0</x:v>
      </x:c>
      <x:c r="U221" t="n">
        <x:v>1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1</x:v>
      </x:c>
      <x:c r="AA221" t="n">
        <x:v>2</x:v>
      </x:c>
      <x:c r="AB221" t="str">
        <x:v>Pass</x:v>
      </x:c>
      <x:c r="AC221" t="str"/>
      <x:c r="AD221" t="str"/>
    </x:row>
    <x:row r="222">
      <x:c r="A222" t="str">
        <x:v>REC0221</x:v>
      </x:c>
      <x:c r="B222" t="n">
        <x:v>220</x:v>
      </x:c>
      <x:c r="C222" t="str">
        <x:v>St. Thomas, USVI</x:v>
      </x:c>
      <x:c r="D222" t="str">
        <x:v>AA</x:v>
      </x:c>
      <x:c r="E222" t="str">
        <x:v>Accuracy Assessment</x:v>
      </x:c>
      <x:c r="F222" t="str">
        <x:v>HD Seaviewer Drop Camera</x:v>
      </x:c>
      <x:c r="G222" t="str">
        <x:v>AA2017_236</x:v>
      </x:c>
      <x:c r="H222" s="28" t="n">
        <x:v>42775</x:v>
      </x:c>
      <x:c r="I222" t="str">
        <x:v>13:29:07</x:v>
      </x:c>
      <x:c r="J222" t="n">
        <x:v>2017</x:v>
      </x:c>
      <x:c r="K222" t="n">
        <x:v>18.26132711</x:v>
      </x:c>
      <x:c r="L222" t="n">
        <x:v>-64.8852129</x:v>
      </x:c>
      <x:c r="M222" t="n">
        <x:v>37.273</x:v>
      </x:c>
      <x:c r="N222" t="str">
        <x:v>https://nccospublicstor.blob.core.windows.net/biomapper/usviinsularshelf2017/videos/low/AA2017_236.mp4</x:v>
      </x:c>
      <x:c r="O222" t="n">
        <x:v>0</x:v>
      </x:c>
      <x:c r="P222" t="n">
        <x:v>0</x:v>
      </x:c>
      <x:c r="Q222" t="n">
        <x:v>1</x:v>
      </x:c>
      <x:c r="R222" t="n">
        <x:v>0</x:v>
      </x:c>
      <x:c r="S222" t="n">
        <x:v>0</x:v>
      </x:c>
      <x:c r="T222" t="n">
        <x:v>0</x:v>
      </x:c>
      <x:c r="U222" t="n">
        <x:v>1</x:v>
      </x:c>
      <x:c r="V222" t="n">
        <x:v>1</x:v>
      </x:c>
      <x:c r="W222" t="n">
        <x:v>0</x:v>
      </x:c>
      <x:c r="X222" t="n">
        <x:v>0</x:v>
      </x:c>
      <x:c r="Y222" t="n">
        <x:v>0</x:v>
      </x:c>
      <x:c r="Z222" t="n">
        <x:v>1</x:v>
      </x:c>
      <x:c r="AA222" t="n">
        <x:v>2</x:v>
      </x:c>
      <x:c r="AB222" t="str">
        <x:v>Pass</x:v>
      </x:c>
      <x:c r="AC222" t="str"/>
      <x:c r="AD222" t="str"/>
    </x:row>
    <x:row r="223">
      <x:c r="A223" t="str">
        <x:v>REC0222</x:v>
      </x:c>
      <x:c r="B223" t="n">
        <x:v>221</x:v>
      </x:c>
      <x:c r="C223" t="str">
        <x:v>St. Thomas, USVI</x:v>
      </x:c>
      <x:c r="D223" t="str">
        <x:v>AA</x:v>
      </x:c>
      <x:c r="E223" t="str">
        <x:v>Accuracy Assessment</x:v>
      </x:c>
      <x:c r="F223" t="str">
        <x:v>HD Seaviewer Drop Camera</x:v>
      </x:c>
      <x:c r="G223" t="str">
        <x:v>AA2017_237</x:v>
      </x:c>
      <x:c r="H223" s="28" t="n">
        <x:v>42775</x:v>
      </x:c>
      <x:c r="I223" t="str">
        <x:v>13:36:30</x:v>
      </x:c>
      <x:c r="J223" t="n">
        <x:v>2017</x:v>
      </x:c>
      <x:c r="K223" t="n">
        <x:v>18.26358053</x:v>
      </x:c>
      <x:c r="L223" t="n">
        <x:v>-64.89035941</x:v>
      </x:c>
      <x:c r="M223" t="n">
        <x:v>27.339</x:v>
      </x:c>
      <x:c r="N223" t="str">
        <x:v>https://nccospublicstor.blob.core.windows.net/biomapper/usviinsularshelf2017/videos/low/AA2017_237.mp4</x:v>
      </x:c>
      <x:c r="O223" t="n">
        <x:v>1</x:v>
      </x:c>
      <x:c r="P223" t="n">
        <x:v>0</x:v>
      </x:c>
      <x:c r="Q223" t="n">
        <x:v>0</x:v>
      </x:c>
      <x:c r="R223" t="n">
        <x:v>1</x:v>
      </x:c>
      <x:c r="S223" t="n">
        <x:v>1</x:v>
      </x:c>
      <x:c r="T223" t="n">
        <x:v>0</x:v>
      </x:c>
      <x:c r="U223" t="n">
        <x:v>1</x:v>
      </x:c>
      <x:c r="V223" t="n">
        <x:v>1</x:v>
      </x:c>
      <x:c r="W223" t="n">
        <x:v>0</x:v>
      </x:c>
      <x:c r="X223" t="n">
        <x:v>0</x:v>
      </x:c>
      <x:c r="Y223" t="n">
        <x:v>0</x:v>
      </x:c>
      <x:c r="Z223" t="n">
        <x:v>2</x:v>
      </x:c>
      <x:c r="AA223" t="n">
        <x:v>3</x:v>
      </x:c>
      <x:c r="AB223" t="str">
        <x:v>Pass</x:v>
      </x:c>
      <x:c r="AC223" t="str"/>
      <x:c r="AD223" t="str"/>
    </x:row>
    <x:row r="224">
      <x:c r="A224" t="str">
        <x:v>REC0223</x:v>
      </x:c>
      <x:c r="B224" t="n">
        <x:v>222</x:v>
      </x:c>
      <x:c r="C224" t="str">
        <x:v>St. Thomas, USVI</x:v>
      </x:c>
      <x:c r="D224" t="str">
        <x:v>AA</x:v>
      </x:c>
      <x:c r="E224" t="str">
        <x:v>Accuracy Assessment</x:v>
      </x:c>
      <x:c r="F224" t="str">
        <x:v>HD Seaviewer Drop Camera</x:v>
      </x:c>
      <x:c r="G224" t="str">
        <x:v>AA2017_238</x:v>
      </x:c>
      <x:c r="H224" s="28" t="n">
        <x:v>42775</x:v>
      </x:c>
      <x:c r="I224" t="str">
        <x:v>13:24:25</x:v>
      </x:c>
      <x:c r="J224" t="n">
        <x:v>2017</x:v>
      </x:c>
      <x:c r="K224" t="n">
        <x:v>18.26410538</x:v>
      </x:c>
      <x:c r="L224" t="n">
        <x:v>-64.88161556</x:v>
      </x:c>
      <x:c r="M224" t="n">
        <x:v>32.433</x:v>
      </x:c>
      <x:c r="N224" t="str">
        <x:v>https://nccospublicstor.blob.core.windows.net/biomapper/usviinsularshelf2017/videos/low/AA2017_238.mp4</x:v>
      </x:c>
      <x:c r="O224" t="n">
        <x:v>0</x:v>
      </x:c>
      <x:c r="P224" t="n">
        <x:v>0</x:v>
      </x:c>
      <x:c r="Q224" t="n">
        <x:v>0</x:v>
      </x:c>
      <x:c r="R224" t="n">
        <x:v>1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1</x:v>
      </x:c>
      <x:c r="AA224" t="n">
        <x:v>0</x:v>
      </x:c>
      <x:c r="AB224" t="str">
        <x:v>Pass</x:v>
      </x:c>
      <x:c r="AC224" t="str"/>
      <x:c r="AD224" t="str"/>
    </x:row>
    <x:row r="225">
      <x:c r="A225" t="str">
        <x:v>REC0224</x:v>
      </x:c>
      <x:c r="B225" t="n">
        <x:v>223</x:v>
      </x:c>
      <x:c r="C225" t="str">
        <x:v>St. Thomas, USVI</x:v>
      </x:c>
      <x:c r="D225" t="str">
        <x:v>AA</x:v>
      </x:c>
      <x:c r="E225" t="str">
        <x:v>Accuracy Assessment</x:v>
      </x:c>
      <x:c r="F225" t="str">
        <x:v>HD Seaviewer Drop Camera</x:v>
      </x:c>
      <x:c r="G225" t="str">
        <x:v>AA2017_239</x:v>
      </x:c>
      <x:c r="H225" s="28" t="n">
        <x:v>42776</x:v>
      </x:c>
      <x:c r="I225" t="str">
        <x:v>10:23:14</x:v>
      </x:c>
      <x:c r="J225" t="n">
        <x:v>2017</x:v>
      </x:c>
      <x:c r="K225" t="n">
        <x:v>18.20165921</x:v>
      </x:c>
      <x:c r="L225" t="n">
        <x:v>-64.87679815</x:v>
      </x:c>
      <x:c r="M225" t="n">
        <x:v>51.374</x:v>
      </x:c>
      <x:c r="N225" t="str">
        <x:v>https://nccospublicstor.blob.core.windows.net/biomapper/usviinsularshelf2017/videos/low/AA2017_239.mp4</x:v>
      </x:c>
      <x:c r="O225" t="n">
        <x:v>0</x:v>
      </x:c>
      <x:c r="P225" t="n">
        <x:v>1</x:v>
      </x:c>
      <x:c r="Q225" t="n">
        <x:v>1</x:v>
      </x:c>
      <x:c r="R225" t="n">
        <x:v>0</x:v>
      </x:c>
      <x:c r="S225" t="n">
        <x:v>0</x:v>
      </x:c>
      <x:c r="T225" t="n">
        <x:v>0</x:v>
      </x:c>
      <x:c r="U225" t="n">
        <x:v>1</x:v>
      </x:c>
      <x:c r="V225" t="n">
        <x:v>1</x:v>
      </x:c>
      <x:c r="W225" t="n">
        <x:v>0</x:v>
      </x:c>
      <x:c r="X225" t="n">
        <x:v>0</x:v>
      </x:c>
      <x:c r="Y225" t="n">
        <x:v>0</x:v>
      </x:c>
      <x:c r="Z225" t="n">
        <x:v>2</x:v>
      </x:c>
      <x:c r="AA225" t="n">
        <x:v>2</x:v>
      </x:c>
      <x:c r="AB225" t="str">
        <x:v>Pass</x:v>
      </x:c>
      <x:c r="AC225" t="str"/>
      <x:c r="AD225" t="str"/>
    </x:row>
    <x:row r="226">
      <x:c r="A226" t="str">
        <x:v>REC0225</x:v>
      </x:c>
      <x:c r="B226" t="n">
        <x:v>224</x:v>
      </x:c>
      <x:c r="C226" t="str">
        <x:v>St. Thomas, USVI</x:v>
      </x:c>
      <x:c r="D226" t="str">
        <x:v>AA</x:v>
      </x:c>
      <x:c r="E226" t="str">
        <x:v>Accuracy Assessment</x:v>
      </x:c>
      <x:c r="F226" t="str">
        <x:v>HD Seaviewer Drop Camera</x:v>
      </x:c>
      <x:c r="G226" t="str">
        <x:v>AA2017_240</x:v>
      </x:c>
      <x:c r="H226" s="28" t="n">
        <x:v>42775</x:v>
      </x:c>
      <x:c r="I226" t="str">
        <x:v>13:17:44</x:v>
      </x:c>
      <x:c r="J226" t="n">
        <x:v>2017</x:v>
      </x:c>
      <x:c r="K226" t="n">
        <x:v>18.26955124</x:v>
      </x:c>
      <x:c r="L226" t="n">
        <x:v>-64.87651219</x:v>
      </x:c>
      <x:c r="M226" t="n">
        <x:v>30.192</x:v>
      </x:c>
      <x:c r="N226" t="str">
        <x:v>https://nccospublicstor.blob.core.windows.net/biomapper/usviinsularshelf2017/videos/low/AA2017_240.mp4</x:v>
      </x:c>
      <x:c r="O226" t="n">
        <x:v>0</x:v>
      </x:c>
      <x:c r="P226" t="n">
        <x:v>0</x:v>
      </x:c>
      <x:c r="Q226" t="n">
        <x:v>1</x:v>
      </x:c>
      <x:c r="R226" t="n">
        <x:v>1</x:v>
      </x:c>
      <x:c r="S226" t="n">
        <x:v>0</x:v>
      </x:c>
      <x:c r="T226" t="n">
        <x:v>0</x:v>
      </x:c>
      <x:c r="U226" t="n">
        <x:v>1</x:v>
      </x:c>
      <x:c r="V226" t="n">
        <x:v>1</x:v>
      </x:c>
      <x:c r="W226" t="n">
        <x:v>0</x:v>
      </x:c>
      <x:c r="X226" t="n">
        <x:v>0</x:v>
      </x:c>
      <x:c r="Y226" t="n">
        <x:v>0</x:v>
      </x:c>
      <x:c r="Z226" t="n">
        <x:v>2</x:v>
      </x:c>
      <x:c r="AA226" t="n">
        <x:v>2</x:v>
      </x:c>
      <x:c r="AB226" t="str">
        <x:v>Pass</x:v>
      </x:c>
      <x:c r="AC226" t="str"/>
      <x:c r="AD226" t="str"/>
    </x:row>
    <x:row r="227">
      <x:c r="A227" t="str">
        <x:v>REC0226</x:v>
      </x:c>
      <x:c r="B227" t="n">
        <x:v>225</x:v>
      </x:c>
      <x:c r="C227" t="str">
        <x:v>St. Thomas, USVI</x:v>
      </x:c>
      <x:c r="D227" t="str">
        <x:v>AA</x:v>
      </x:c>
      <x:c r="E227" t="str">
        <x:v>Accuracy Assessment</x:v>
      </x:c>
      <x:c r="F227" t="str">
        <x:v>HD Seaviewer Drop Camera</x:v>
      </x:c>
      <x:c r="G227" t="str">
        <x:v>AA2017_241</x:v>
      </x:c>
      <x:c r="H227" s="28" t="n">
        <x:v>42775</x:v>
      </x:c>
      <x:c r="I227" t="str">
        <x:v>12:33:46</x:v>
      </x:c>
      <x:c r="J227" t="n">
        <x:v>2017</x:v>
      </x:c>
      <x:c r="K227" t="n">
        <x:v>18.25290508</x:v>
      </x:c>
      <x:c r="L227" t="n">
        <x:v>-64.8766043</x:v>
      </x:c>
      <x:c r="M227" t="n">
        <x:v>39.002</x:v>
      </x:c>
      <x:c r="N227" t="str">
        <x:v>https://nccospublicstor.blob.core.windows.net/biomapper/usviinsularshelf2017/videos/low/AA2017_241.mp4</x:v>
      </x:c>
      <x:c r="O227" t="n">
        <x:v>0</x:v>
      </x:c>
      <x:c r="P227" t="n">
        <x:v>0</x:v>
      </x:c>
      <x:c r="Q227" t="n">
        <x:v>1</x:v>
      </x:c>
      <x:c r="R227" t="n">
        <x:v>0</x:v>
      </x:c>
      <x:c r="S227" t="n">
        <x:v>0</x:v>
      </x:c>
      <x:c r="T227" t="n">
        <x:v>0</x:v>
      </x:c>
      <x:c r="U227" t="n">
        <x:v>1</x:v>
      </x:c>
      <x:c r="V227" t="n">
        <x:v>1</x:v>
      </x:c>
      <x:c r="W227" t="n">
        <x:v>0</x:v>
      </x:c>
      <x:c r="X227" t="n">
        <x:v>0</x:v>
      </x:c>
      <x:c r="Y227" t="n">
        <x:v>0</x:v>
      </x:c>
      <x:c r="Z227" t="n">
        <x:v>1</x:v>
      </x:c>
      <x:c r="AA227" t="n">
        <x:v>2</x:v>
      </x:c>
      <x:c r="AB227" t="str">
        <x:v>Pass</x:v>
      </x:c>
      <x:c r="AC227" t="str"/>
      <x:c r="AD227" t="str"/>
    </x:row>
    <x:row r="228">
      <x:c r="A228" t="str">
        <x:v>REC0227</x:v>
      </x:c>
      <x:c r="B228" t="n">
        <x:v>226</x:v>
      </x:c>
      <x:c r="C228" t="str">
        <x:v>St. Thomas, USVI</x:v>
      </x:c>
      <x:c r="D228" t="str">
        <x:v>AA</x:v>
      </x:c>
      <x:c r="E228" t="str">
        <x:v>Accuracy Assessment</x:v>
      </x:c>
      <x:c r="F228" t="str">
        <x:v>HD Seaviewer Drop Camera</x:v>
      </x:c>
      <x:c r="G228" t="str">
        <x:v>AA2017_242</x:v>
      </x:c>
      <x:c r="H228" s="28" t="n">
        <x:v>42775</x:v>
      </x:c>
      <x:c r="I228" t="str">
        <x:v>13:12:58</x:v>
      </x:c>
      <x:c r="J228" t="n">
        <x:v>2017</x:v>
      </x:c>
      <x:c r="K228" t="n">
        <x:v>18.26326735</x:v>
      </x:c>
      <x:c r="L228" t="n">
        <x:v>-64.87660294</x:v>
      </x:c>
      <x:c r="M228" t="n">
        <x:v>21.678</x:v>
      </x:c>
      <x:c r="N228" t="str">
        <x:v>https://nccospublicstor.blob.core.windows.net/biomapper/usviinsularshelf2017/videos/low/AA2017_242.mp4</x:v>
      </x:c>
      <x:c r="O228" t="n">
        <x:v>1</x:v>
      </x:c>
      <x:c r="P228" t="n">
        <x:v>0</x:v>
      </x:c>
      <x:c r="Q228" t="n">
        <x:v>0</x:v>
      </x:c>
      <x:c r="R228" t="n">
        <x:v>1</x:v>
      </x:c>
      <x:c r="S228" t="n">
        <x:v>1</x:v>
      </x:c>
      <x:c r="T228" t="n">
        <x:v>1</x:v>
      </x:c>
      <x:c r="U228" t="n">
        <x:v>1</x:v>
      </x:c>
      <x:c r="V228" t="n">
        <x:v>1</x:v>
      </x:c>
      <x:c r="W228" t="n">
        <x:v>0</x:v>
      </x:c>
      <x:c r="X228" t="n">
        <x:v>0</x:v>
      </x:c>
      <x:c r="Y228" t="n">
        <x:v>0</x:v>
      </x:c>
      <x:c r="Z228" t="n">
        <x:v>2</x:v>
      </x:c>
      <x:c r="AA228" t="n">
        <x:v>4</x:v>
      </x:c>
      <x:c r="AB228" t="str">
        <x:v>Pass</x:v>
      </x:c>
      <x:c r="AC228" t="str"/>
      <x:c r="AD228" t="str"/>
    </x:row>
    <x:row r="229">
      <x:c r="A229" t="str">
        <x:v>REC0228</x:v>
      </x:c>
      <x:c r="B229" t="n">
        <x:v>227</x:v>
      </x:c>
      <x:c r="C229" t="str">
        <x:v>St. Thomas, USVI</x:v>
      </x:c>
      <x:c r="D229" t="str">
        <x:v>AA</x:v>
      </x:c>
      <x:c r="E229" t="str">
        <x:v>Accuracy Assessment</x:v>
      </x:c>
      <x:c r="F229" t="str">
        <x:v>HD Seaviewer Drop Camera</x:v>
      </x:c>
      <x:c r="G229" t="str">
        <x:v>AA2017_243</x:v>
      </x:c>
      <x:c r="H229" s="28" t="n">
        <x:v>42776</x:v>
      </x:c>
      <x:c r="I229" t="str">
        <x:v>08:44:22</x:v>
      </x:c>
      <x:c r="J229" t="n">
        <x:v>2017</x:v>
      </x:c>
      <x:c r="K229" t="n">
        <x:v>18.18519323</x:v>
      </x:c>
      <x:c r="L229" t="n">
        <x:v>-64.8754683</x:v>
      </x:c>
      <x:c r="M229" t="n">
        <x:v>28.396</x:v>
      </x:c>
      <x:c r="N229" t="str">
        <x:v>https://nccospublicstor.blob.core.windows.net/biomapper/usviinsularshelf2017/videos/low/AA2017_243.mp4</x:v>
      </x:c>
      <x:c r="O229" t="n">
        <x:v>0</x:v>
      </x:c>
      <x:c r="P229" t="n">
        <x:v>1</x:v>
      </x:c>
      <x:c r="Q229" t="n">
        <x:v>0</x:v>
      </x:c>
      <x:c r="R229" t="n">
        <x:v>0</x:v>
      </x:c>
      <x:c r="S229" t="n">
        <x:v>1</x:v>
      </x:c>
      <x:c r="T229" t="n">
        <x:v>1</x:v>
      </x:c>
      <x:c r="U229" t="n">
        <x:v>1</x:v>
      </x:c>
      <x:c r="V229" t="n">
        <x:v>1</x:v>
      </x:c>
      <x:c r="W229" t="n">
        <x:v>0</x:v>
      </x:c>
      <x:c r="X229" t="n">
        <x:v>0</x:v>
      </x:c>
      <x:c r="Y229" t="n">
        <x:v>0</x:v>
      </x:c>
      <x:c r="Z229" t="n">
        <x:v>1</x:v>
      </x:c>
      <x:c r="AA229" t="n">
        <x:v>4</x:v>
      </x:c>
      <x:c r="AB229" t="str">
        <x:v>Pass</x:v>
      </x:c>
      <x:c r="AC229" t="str"/>
      <x:c r="AD229" t="str">
        <x:v>textbook pavement</x:v>
      </x:c>
    </x:row>
    <x:row r="230">
      <x:c r="A230" t="str">
        <x:v>REC0229</x:v>
      </x:c>
      <x:c r="B230" t="n">
        <x:v>228</x:v>
      </x:c>
      <x:c r="C230" t="str">
        <x:v>St. Thomas, USVI</x:v>
      </x:c>
      <x:c r="D230" t="str">
        <x:v>AA</x:v>
      </x:c>
      <x:c r="E230" t="str">
        <x:v>Accuracy Assessment</x:v>
      </x:c>
      <x:c r="F230" t="str">
        <x:v>HD Seaviewer Drop Camera</x:v>
      </x:c>
      <x:c r="G230" t="str">
        <x:v>AA2017_244</x:v>
      </x:c>
      <x:c r="H230" s="28" t="n">
        <x:v>42775</x:v>
      </x:c>
      <x:c r="I230" t="str">
        <x:v>11:43:48</x:v>
      </x:c>
      <x:c r="J230" t="n">
        <x:v>2017</x:v>
      </x:c>
      <x:c r="K230" t="n">
        <x:v>18.21733408</x:v>
      </x:c>
      <x:c r="L230" t="n">
        <x:v>-64.87242516</x:v>
      </x:c>
      <x:c r="M230" t="n">
        <x:v>41.147</x:v>
      </x:c>
      <x:c r="N230" t="str">
        <x:v>https://nccospublicstor.blob.core.windows.net/biomapper/usviinsularshelf2017/videos/low/AA2017_244.mp4</x:v>
      </x:c>
      <x:c r="O230" t="n">
        <x:v>1</x:v>
      </x:c>
      <x:c r="P230" t="n">
        <x:v>0</x:v>
      </x:c>
      <x:c r="Q230" t="n">
        <x:v>0</x:v>
      </x:c>
      <x:c r="R230" t="n">
        <x:v>0</x:v>
      </x:c>
      <x:c r="S230" t="n">
        <x:v>1</x:v>
      </x:c>
      <x:c r="T230" t="n">
        <x:v>0</x:v>
      </x:c>
      <x:c r="U230" t="n">
        <x:v>1</x:v>
      </x:c>
      <x:c r="V230" t="n">
        <x:v>1</x:v>
      </x:c>
      <x:c r="W230" t="n">
        <x:v>0</x:v>
      </x:c>
      <x:c r="X230" t="n">
        <x:v>0</x:v>
      </x:c>
      <x:c r="Y230" t="n">
        <x:v>0</x:v>
      </x:c>
      <x:c r="Z230" t="n">
        <x:v>1</x:v>
      </x:c>
      <x:c r="AA230" t="n">
        <x:v>3</x:v>
      </x:c>
      <x:c r="AB230" t="str">
        <x:v>Pass</x:v>
      </x:c>
      <x:c r="AC230" t="str"/>
      <x:c r="AD230" t="str"/>
    </x:row>
    <x:row r="231">
      <x:c r="A231" t="str">
        <x:v>REC0230</x:v>
      </x:c>
      <x:c r="B231" t="n">
        <x:v>229</x:v>
      </x:c>
      <x:c r="C231" t="str">
        <x:v>St. Thomas, USVI</x:v>
      </x:c>
      <x:c r="D231" t="str">
        <x:v>AA</x:v>
      </x:c>
      <x:c r="E231" t="str">
        <x:v>Accuracy Assessment</x:v>
      </x:c>
      <x:c r="F231" t="str">
        <x:v>HD Seaviewer Drop Camera</x:v>
      </x:c>
      <x:c r="G231" t="str">
        <x:v>AA2017_245</x:v>
      </x:c>
      <x:c r="H231" s="28" t="n">
        <x:v>42775</x:v>
      </x:c>
      <x:c r="I231" t="str">
        <x:v>13:06:15</x:v>
      </x:c>
      <x:c r="J231" t="n">
        <x:v>2017</x:v>
      </x:c>
      <x:c r="K231" t="n">
        <x:v>18.2619188</x:v>
      </x:c>
      <x:c r="L231" t="n">
        <x:v>-64.87220531</x:v>
      </x:c>
      <x:c r="M231" t="n">
        <x:v>27.435</x:v>
      </x:c>
      <x:c r="N231" t="str">
        <x:v>https://nccospublicstor.blob.core.windows.net/biomapper/usviinsularshelf2017/videos/low/AA2017_245.mp4</x:v>
      </x:c>
      <x:c r="O231" t="n">
        <x:v>1</x:v>
      </x:c>
      <x:c r="P231" t="n">
        <x:v>0</x:v>
      </x:c>
      <x:c r="Q231" t="n">
        <x:v>0</x:v>
      </x:c>
      <x:c r="R231" t="n">
        <x:v>1</x:v>
      </x:c>
      <x:c r="S231" t="n">
        <x:v>1</x:v>
      </x:c>
      <x:c r="T231" t="n">
        <x:v>1</x:v>
      </x:c>
      <x:c r="U231" t="n">
        <x:v>1</x:v>
      </x:c>
      <x:c r="V231" t="n">
        <x:v>1</x:v>
      </x:c>
      <x:c r="W231" t="n">
        <x:v>0</x:v>
      </x:c>
      <x:c r="X231" t="n">
        <x:v>0</x:v>
      </x:c>
      <x:c r="Y231" t="n">
        <x:v>0</x:v>
      </x:c>
      <x:c r="Z231" t="n">
        <x:v>2</x:v>
      </x:c>
      <x:c r="AA231" t="n">
        <x:v>4</x:v>
      </x:c>
      <x:c r="AB231" t="str">
        <x:v>Pass</x:v>
      </x:c>
      <x:c r="AC231" t="str"/>
      <x:c r="AD231" t="str"/>
    </x:row>
    <x:row r="232">
      <x:c r="A232" t="str">
        <x:v>REC0231</x:v>
      </x:c>
      <x:c r="B232" t="n">
        <x:v>230</x:v>
      </x:c>
      <x:c r="C232" t="str">
        <x:v>St. Thomas, USVI</x:v>
      </x:c>
      <x:c r="D232" t="str">
        <x:v>AA</x:v>
      </x:c>
      <x:c r="E232" t="str">
        <x:v>Accuracy Assessment</x:v>
      </x:c>
      <x:c r="F232" t="str">
        <x:v>HD Seaviewer Drop Camera</x:v>
      </x:c>
      <x:c r="G232" t="str">
        <x:v>AA2017_246</x:v>
      </x:c>
      <x:c r="H232" s="28" t="n">
        <x:v>42775</x:v>
      </x:c>
      <x:c r="I232" t="str">
        <x:v>13:00:22</x:v>
      </x:c>
      <x:c r="J232" t="n">
        <x:v>2017</x:v>
      </x:c>
      <x:c r="K232" t="n">
        <x:v>18.26645081</x:v>
      </x:c>
      <x:c r="L232" t="n">
        <x:v>-64.8698856</x:v>
      </x:c>
      <x:c r="M232" t="n">
        <x:v>33.108</x:v>
      </x:c>
      <x:c r="N232" t="str">
        <x:v>https://nccospublicstor.blob.core.windows.net/biomapper/usviinsularshelf2017/videos/low/AA2017_246.mp4</x:v>
      </x:c>
      <x:c r="O232" t="n">
        <x:v>0</x:v>
      </x:c>
      <x:c r="P232" t="n">
        <x:v>0</x:v>
      </x:c>
      <x:c r="Q232" t="n">
        <x:v>1</x:v>
      </x:c>
      <x:c r="R232" t="n">
        <x:v>1</x:v>
      </x:c>
      <x:c r="S232" t="n">
        <x:v>0</x:v>
      </x:c>
      <x:c r="T232" t="n">
        <x:v>0</x:v>
      </x:c>
      <x:c r="U232" t="n">
        <x:v>1</x:v>
      </x:c>
      <x:c r="V232" t="n">
        <x:v>1</x:v>
      </x:c>
      <x:c r="W232" t="n">
        <x:v>0</x:v>
      </x:c>
      <x:c r="X232" t="n">
        <x:v>0</x:v>
      </x:c>
      <x:c r="Y232" t="n">
        <x:v>0</x:v>
      </x:c>
      <x:c r="Z232" t="n">
        <x:v>2</x:v>
      </x:c>
      <x:c r="AA232" t="n">
        <x:v>2</x:v>
      </x:c>
      <x:c r="AB232" t="str">
        <x:v>Pass</x:v>
      </x:c>
      <x:c r="AC232" t="str"/>
      <x:c r="AD232" t="str"/>
    </x:row>
    <x:row r="233">
      <x:c r="A233" t="str">
        <x:v>REC0232</x:v>
      </x:c>
      <x:c r="B233" t="n">
        <x:v>231</x:v>
      </x:c>
      <x:c r="C233" t="str">
        <x:v>St. Thomas, USVI</x:v>
      </x:c>
      <x:c r="D233" t="str">
        <x:v>AA</x:v>
      </x:c>
      <x:c r="E233" t="str">
        <x:v>Accuracy Assessment</x:v>
      </x:c>
      <x:c r="F233" t="str">
        <x:v>HD Seaviewer Drop Camera</x:v>
      </x:c>
      <x:c r="G233" t="str">
        <x:v>AA2017_247</x:v>
      </x:c>
      <x:c r="H233" s="28" t="n">
        <x:v>42776</x:v>
      </x:c>
      <x:c r="I233" t="str">
        <x:v>10:29:35</x:v>
      </x:c>
      <x:c r="J233" t="n">
        <x:v>2017</x:v>
      </x:c>
      <x:c r="K233" t="n">
        <x:v>18.20587289</x:v>
      </x:c>
      <x:c r="L233" t="n">
        <x:v>-64.87236297</x:v>
      </x:c>
      <x:c r="M233" t="n">
        <x:v>48.197</x:v>
      </x:c>
      <x:c r="N233" t="str">
        <x:v>https://nccospublicstor.blob.core.windows.net/biomapper/usviinsularshelf2017/videos/low/AA2017_247.mp4</x:v>
      </x:c>
      <x:c r="O233" t="n">
        <x:v>0</x:v>
      </x:c>
      <x:c r="P233" t="n">
        <x:v>1</x:v>
      </x:c>
      <x:c r="Q233" t="n">
        <x:v>1</x:v>
      </x:c>
      <x:c r="R233" t="n">
        <x:v>0</x:v>
      </x:c>
      <x:c r="S233" t="n">
        <x:v>0</x:v>
      </x:c>
      <x:c r="T233" t="n">
        <x:v>0</x:v>
      </x:c>
      <x:c r="U233" t="n">
        <x:v>1</x:v>
      </x:c>
      <x:c r="V233" t="n">
        <x:v>1</x:v>
      </x:c>
      <x:c r="W233" t="n">
        <x:v>0</x:v>
      </x:c>
      <x:c r="X233" t="n">
        <x:v>0</x:v>
      </x:c>
      <x:c r="Y233" t="n">
        <x:v>0</x:v>
      </x:c>
      <x:c r="Z233" t="n">
        <x:v>2</x:v>
      </x:c>
      <x:c r="AA233" t="n">
        <x:v>2</x:v>
      </x:c>
      <x:c r="AB233" t="str">
        <x:v>Pass</x:v>
      </x:c>
      <x:c r="AC233" t="str"/>
      <x:c r="AD233" t="str"/>
    </x:row>
    <x:row r="234">
      <x:c r="A234" t="str">
        <x:v>REC0233</x:v>
      </x:c>
      <x:c r="B234" t="n">
        <x:v>232</x:v>
      </x:c>
      <x:c r="C234" t="str">
        <x:v>St. Thomas, USVI</x:v>
      </x:c>
      <x:c r="D234" t="str">
        <x:v>AA</x:v>
      </x:c>
      <x:c r="E234" t="str">
        <x:v>Accuracy Assessment</x:v>
      </x:c>
      <x:c r="F234" t="str">
        <x:v>HD Seaviewer Drop Camera</x:v>
      </x:c>
      <x:c r="G234" t="str">
        <x:v>AA2017_248</x:v>
      </x:c>
      <x:c r="H234" s="28" t="n">
        <x:v>42775</x:v>
      </x:c>
      <x:c r="I234" t="str">
        <x:v>11:34:51</x:v>
      </x:c>
      <x:c r="J234" t="n">
        <x:v>2017</x:v>
      </x:c>
      <x:c r="K234" t="n">
        <x:v>18.22845604</x:v>
      </x:c>
      <x:c r="L234" t="n">
        <x:v>-64.8675054</x:v>
      </x:c>
      <x:c r="M234" t="n">
        <x:v>43.682</x:v>
      </x:c>
      <x:c r="N234" t="str">
        <x:v>https://nccospublicstor.blob.core.windows.net/biomapper/usviinsularshelf2017/videos/low/AA2017_248.mp4</x:v>
      </x:c>
      <x:c r="O234" t="n">
        <x:v>0</x:v>
      </x:c>
      <x:c r="P234" t="n">
        <x:v>0</x:v>
      </x:c>
      <x:c r="Q234" t="n">
        <x:v>1</x:v>
      </x:c>
      <x:c r="R234" t="n">
        <x:v>0</x:v>
      </x:c>
      <x:c r="S234" t="n">
        <x:v>0</x:v>
      </x:c>
      <x:c r="T234" t="n">
        <x:v>0</x:v>
      </x:c>
      <x:c r="U234" t="n">
        <x:v>1</x:v>
      </x:c>
      <x:c r="V234" t="n">
        <x:v>1</x:v>
      </x:c>
      <x:c r="W234" t="n">
        <x:v>0</x:v>
      </x:c>
      <x:c r="X234" t="n">
        <x:v>0</x:v>
      </x:c>
      <x:c r="Y234" t="n">
        <x:v>0</x:v>
      </x:c>
      <x:c r="Z234" t="n">
        <x:v>1</x:v>
      </x:c>
      <x:c r="AA234" t="n">
        <x:v>2</x:v>
      </x:c>
      <x:c r="AB234" t="str">
        <x:v>Pass</x:v>
      </x:c>
      <x:c r="AC234" t="str"/>
      <x:c r="AD234" t="str"/>
    </x:row>
    <x:row r="235">
      <x:c r="A235" t="str">
        <x:v>REC0234</x:v>
      </x:c>
      <x:c r="B235" t="n">
        <x:v>233</x:v>
      </x:c>
      <x:c r="C235" t="str">
        <x:v>St. Thomas, USVI</x:v>
      </x:c>
      <x:c r="D235" t="str">
        <x:v>AA</x:v>
      </x:c>
      <x:c r="E235" t="str">
        <x:v>Accuracy Assessment</x:v>
      </x:c>
      <x:c r="F235" t="str">
        <x:v>HD Seaviewer Drop Camera</x:v>
      </x:c>
      <x:c r="G235" t="str">
        <x:v>AA2017_249</x:v>
      </x:c>
      <x:c r="H235" s="28" t="n">
        <x:v>42775</x:v>
      </x:c>
      <x:c r="I235" t="str">
        <x:v>11:27:23</x:v>
      </x:c>
      <x:c r="J235" t="n">
        <x:v>2017</x:v>
      </x:c>
      <x:c r="K235" t="n">
        <x:v>18.22219502</x:v>
      </x:c>
      <x:c r="L235" t="n">
        <x:v>-64.86437674</x:v>
      </x:c>
      <x:c r="M235" t="n">
        <x:v>48.437</x:v>
      </x:c>
      <x:c r="N235" t="str">
        <x:v>https://nccospublicstor.blob.core.windows.net/biomapper/usviinsularshelf2017/videos/low/AA2017_249.mp4</x:v>
      </x:c>
      <x:c r="O235" t="n">
        <x:v>0</x:v>
      </x:c>
      <x:c r="P235" t="n">
        <x:v>0</x:v>
      </x:c>
      <x:c r="Q235" t="n">
        <x:v>1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1</x:v>
      </x:c>
      <x:c r="AA235" t="n">
        <x:v>0</x:v>
      </x:c>
      <x:c r="AB235" t="str">
        <x:v>Pass</x:v>
      </x:c>
      <x:c r="AC235" t="str"/>
      <x:c r="AD235" t="str"/>
    </x:row>
    <x:row r="236">
      <x:c r="A236" t="str">
        <x:v>REC0235</x:v>
      </x:c>
      <x:c r="B236" t="n">
        <x:v>234</x:v>
      </x:c>
      <x:c r="C236" t="str">
        <x:v>St. Thomas, USVI</x:v>
      </x:c>
      <x:c r="D236" t="str">
        <x:v>AA</x:v>
      </x:c>
      <x:c r="E236" t="str">
        <x:v>Accuracy Assessment</x:v>
      </x:c>
      <x:c r="F236" t="str">
        <x:v>HD Seaviewer Drop Camera</x:v>
      </x:c>
      <x:c r="G236" t="str">
        <x:v>AA2017_250</x:v>
      </x:c>
      <x:c r="H236" s="28" t="n">
        <x:v>42775</x:v>
      </x:c>
      <x:c r="I236" t="str">
        <x:v>12:42:53</x:v>
      </x:c>
      <x:c r="J236" t="n">
        <x:v>2017</x:v>
      </x:c>
      <x:c r="K236" t="n">
        <x:v>18.26110099</x:v>
      </x:c>
      <x:c r="L236" t="n">
        <x:v>-64.86407798</x:v>
      </x:c>
      <x:c r="M236" t="n">
        <x:v>34.521</x:v>
      </x:c>
      <x:c r="N236" t="str">
        <x:v>https://nccospublicstor.blob.core.windows.net/biomapper/usviinsularshelf2017/videos/low/AA2017_250.mp4</x:v>
      </x:c>
      <x:c r="O236" t="n">
        <x:v>0</x:v>
      </x:c>
      <x:c r="P236" t="n">
        <x:v>0</x:v>
      </x:c>
      <x:c r="Q236" t="n">
        <x:v>1</x:v>
      </x:c>
      <x:c r="R236" t="n">
        <x:v>1</x:v>
      </x:c>
      <x:c r="S236" t="n">
        <x:v>0</x:v>
      </x:c>
      <x:c r="T236" t="n">
        <x:v>0</x:v>
      </x:c>
      <x:c r="U236" t="n">
        <x:v>1</x:v>
      </x:c>
      <x:c r="V236" t="n">
        <x:v>1</x:v>
      </x:c>
      <x:c r="W236" t="n">
        <x:v>0</x:v>
      </x:c>
      <x:c r="X236" t="n">
        <x:v>0</x:v>
      </x:c>
      <x:c r="Y236" t="n">
        <x:v>0</x:v>
      </x:c>
      <x:c r="Z236" t="n">
        <x:v>2</x:v>
      </x:c>
      <x:c r="AA236" t="n">
        <x:v>2</x:v>
      </x:c>
      <x:c r="AB236" t="str">
        <x:v>Pass</x:v>
      </x:c>
      <x:c r="AC236" t="str"/>
      <x:c r="AD236" t="str"/>
    </x:row>
    <x:row r="237">
      <x:c r="A237" t="str">
        <x:v>REC0236</x:v>
      </x:c>
      <x:c r="B237" t="n">
        <x:v>235</x:v>
      </x:c>
      <x:c r="C237" t="str">
        <x:v>St. Thomas, USVI</x:v>
      </x:c>
      <x:c r="D237" t="str">
        <x:v>AA</x:v>
      </x:c>
      <x:c r="E237" t="str">
        <x:v>Accuracy Assessment</x:v>
      </x:c>
      <x:c r="F237" t="str">
        <x:v>HD Seaviewer Drop Camera</x:v>
      </x:c>
      <x:c r="G237" t="str">
        <x:v>AA2017_251</x:v>
      </x:c>
      <x:c r="H237" s="28" t="n">
        <x:v>42776</x:v>
      </x:c>
      <x:c r="I237" t="str">
        <x:v>08:36:34</x:v>
      </x:c>
      <x:c r="J237" t="n">
        <x:v>2017</x:v>
      </x:c>
      <x:c r="K237" t="n">
        <x:v>18.19567701</x:v>
      </x:c>
      <x:c r="L237" t="n">
        <x:v>-64.86360887</x:v>
      </x:c>
      <x:c r="M237" t="n">
        <x:v>38.238</x:v>
      </x:c>
      <x:c r="N237" t="str">
        <x:v>https://nccospublicstor.blob.core.windows.net/biomapper/usviinsularshelf2017/videos/low/AA2017_251.mp4</x:v>
      </x:c>
      <x:c r="O237" t="n">
        <x:v>0</x:v>
      </x:c>
      <x:c r="P237" t="n">
        <x:v>1</x:v>
      </x:c>
      <x:c r="Q237" t="n">
        <x:v>0</x:v>
      </x:c>
      <x:c r="R237" t="n">
        <x:v>0</x:v>
      </x:c>
      <x:c r="S237" t="n">
        <x:v>1</x:v>
      </x:c>
      <x:c r="T237" t="n">
        <x:v>1</x:v>
      </x:c>
      <x:c r="U237" t="n">
        <x:v>1</x:v>
      </x:c>
      <x:c r="V237" t="n">
        <x:v>1</x:v>
      </x:c>
      <x:c r="W237" t="n">
        <x:v>0</x:v>
      </x:c>
      <x:c r="X237" t="n">
        <x:v>0</x:v>
      </x:c>
      <x:c r="Y237" t="n">
        <x:v>0</x:v>
      </x:c>
      <x:c r="Z237" t="n">
        <x:v>1</x:v>
      </x:c>
      <x:c r="AA237" t="n">
        <x:v>4</x:v>
      </x:c>
      <x:c r="AB237" t="str">
        <x:v>Pass</x:v>
      </x:c>
      <x:c r="AC237" t="str"/>
      <x:c r="AD237" t="str">
        <x:v>textbook pavement</x:v>
      </x:c>
    </x:row>
    <x:row r="238">
      <x:c r="A238" t="str">
        <x:v>REC0237</x:v>
      </x:c>
      <x:c r="B238" t="n">
        <x:v>236</x:v>
      </x:c>
      <x:c r="C238" t="str">
        <x:v>St. Thomas, USVI</x:v>
      </x:c>
      <x:c r="D238" t="str">
        <x:v>AA</x:v>
      </x:c>
      <x:c r="E238" t="str">
        <x:v>Accuracy Assessment</x:v>
      </x:c>
      <x:c r="F238" t="str">
        <x:v>HD Seaviewer Drop Camera</x:v>
      </x:c>
      <x:c r="G238" t="str">
        <x:v>AA2017_252</x:v>
      </x:c>
      <x:c r="H238" s="28" t="n">
        <x:v>42776</x:v>
      </x:c>
      <x:c r="I238" t="str">
        <x:v>08:27:16</x:v>
      </x:c>
      <x:c r="J238" t="n">
        <x:v>2017</x:v>
      </x:c>
      <x:c r="K238" t="n">
        <x:v>18.21199284</x:v>
      </x:c>
      <x:c r="L238" t="n">
        <x:v>-64.86026431</x:v>
      </x:c>
      <x:c r="M238" t="n">
        <x:v>41.962</x:v>
      </x:c>
      <x:c r="N238" t="str">
        <x:v>https://nccospublicstor.blob.core.windows.net/biomapper/usviinsularshelf2017/videos/low/AA2017_252.mp4</x:v>
      </x:c>
      <x:c r="O238" t="n">
        <x:v>1</x:v>
      </x:c>
      <x:c r="P238" t="n">
        <x:v>0</x:v>
      </x:c>
      <x:c r="Q238" t="n">
        <x:v>0</x:v>
      </x:c>
      <x:c r="R238" t="n">
        <x:v>1</x:v>
      </x:c>
      <x:c r="S238" t="n">
        <x:v>1</x:v>
      </x:c>
      <x:c r="T238" t="n">
        <x:v>0</x:v>
      </x:c>
      <x:c r="U238" t="n">
        <x:v>1</x:v>
      </x:c>
      <x:c r="V238" t="n">
        <x:v>1</x:v>
      </x:c>
      <x:c r="W238" t="n">
        <x:v>0</x:v>
      </x:c>
      <x:c r="X238" t="n">
        <x:v>0</x:v>
      </x:c>
      <x:c r="Y238" t="n">
        <x:v>0</x:v>
      </x:c>
      <x:c r="Z238" t="n">
        <x:v>2</x:v>
      </x:c>
      <x:c r="AA238" t="n">
        <x:v>3</x:v>
      </x:c>
      <x:c r="AB238" t="str">
        <x:v>Pass</x:v>
      </x:c>
      <x:c r="AC238" t="str"/>
      <x:c r="AD238" t="str"/>
    </x:row>
    <x:row r="239">
      <x:c r="A239" t="str">
        <x:v>REC0238</x:v>
      </x:c>
      <x:c r="B239" t="n">
        <x:v>237</x:v>
      </x:c>
      <x:c r="C239" t="str">
        <x:v>St. Thomas, USVI</x:v>
      </x:c>
      <x:c r="D239" t="str">
        <x:v>AA</x:v>
      </x:c>
      <x:c r="E239" t="str">
        <x:v>Accuracy Assessment</x:v>
      </x:c>
      <x:c r="F239" t="str">
        <x:v>HD Seaviewer Drop Camera</x:v>
      </x:c>
      <x:c r="G239" t="str">
        <x:v>AA2017_253</x:v>
      </x:c>
      <x:c r="H239" s="28" t="n">
        <x:v>42775</x:v>
      </x:c>
      <x:c r="I239" t="str">
        <x:v>12:51:49</x:v>
      </x:c>
      <x:c r="J239" t="n">
        <x:v>2017</x:v>
      </x:c>
      <x:c r="K239" t="n">
        <x:v>18.27346688</x:v>
      </x:c>
      <x:c r="L239" t="n">
        <x:v>-64.85445356</x:v>
      </x:c>
      <x:c r="M239" t="n">
        <x:v>30.086</x:v>
      </x:c>
      <x:c r="N239" t="str">
        <x:v>https://nccospublicstor.blob.core.windows.net/biomapper/usviinsularshelf2017/videos/low/AA2017_253.mp4</x:v>
      </x:c>
      <x:c r="O239" t="n">
        <x:v>0</x:v>
      </x:c>
      <x:c r="P239" t="n">
        <x:v>0</x:v>
      </x:c>
      <x:c r="Q239" t="n">
        <x:v>1</x:v>
      </x:c>
      <x:c r="R239" t="n">
        <x:v>1</x:v>
      </x:c>
      <x:c r="S239" t="n">
        <x:v>0</x:v>
      </x:c>
      <x:c r="T239" t="n">
        <x:v>0</x:v>
      </x:c>
      <x:c r="U239" t="n">
        <x:v>0</x:v>
      </x:c>
      <x:c r="V239" t="n">
        <x:v>1</x:v>
      </x:c>
      <x:c r="W239" t="n">
        <x:v>0</x:v>
      </x:c>
      <x:c r="X239" t="n">
        <x:v>0</x:v>
      </x:c>
      <x:c r="Y239" t="n">
        <x:v>0</x:v>
      </x:c>
      <x:c r="Z239" t="n">
        <x:v>2</x:v>
      </x:c>
      <x:c r="AA239" t="n">
        <x:v>1</x:v>
      </x:c>
      <x:c r="AB239" t="str">
        <x:v>Pass</x:v>
      </x:c>
      <x:c r="AC239" t="str"/>
      <x:c r="AD239" t="str"/>
    </x:row>
    <x:row r="240">
      <x:c r="A240" t="str">
        <x:v>REC0239</x:v>
      </x:c>
      <x:c r="B240" t="n">
        <x:v>238</x:v>
      </x:c>
      <x:c r="C240" t="str">
        <x:v>St. Thomas, USVI</x:v>
      </x:c>
      <x:c r="D240" t="str">
        <x:v>AA</x:v>
      </x:c>
      <x:c r="E240" t="str">
        <x:v>Accuracy Assessment</x:v>
      </x:c>
      <x:c r="F240" t="str">
        <x:v>HD Seaviewer Drop Camera</x:v>
      </x:c>
      <x:c r="G240" t="str">
        <x:v>AA2017_254</x:v>
      </x:c>
      <x:c r="H240" s="28" t="n">
        <x:v>42775</x:v>
      </x:c>
      <x:c r="I240" t="str">
        <x:v>11:20:15</x:v>
      </x:c>
      <x:c r="J240" t="n">
        <x:v>2017</x:v>
      </x:c>
      <x:c r="K240" t="n">
        <x:v>18.22786056</x:v>
      </x:c>
      <x:c r="L240" t="n">
        <x:v>-64.85641169</x:v>
      </x:c>
      <x:c r="M240" t="n">
        <x:v>43.707</x:v>
      </x:c>
      <x:c r="N240" t="str">
        <x:v>https://nccospublicstor.blob.core.windows.net/biomapper/usviinsularshelf2017/videos/low/AA2017_254.mp4</x:v>
      </x:c>
      <x:c r="O240" t="n">
        <x:v>0</x:v>
      </x:c>
      <x:c r="P240" t="n">
        <x:v>0</x:v>
      </x:c>
      <x:c r="Q240" t="n">
        <x:v>1</x:v>
      </x:c>
      <x:c r="R240" t="n">
        <x:v>0</x:v>
      </x:c>
      <x:c r="S240" t="n">
        <x:v>0</x:v>
      </x:c>
      <x:c r="T240" t="n">
        <x:v>0</x:v>
      </x:c>
      <x:c r="U240" t="n">
        <x:v>1</x:v>
      </x:c>
      <x:c r="V240" t="n">
        <x:v>1</x:v>
      </x:c>
      <x:c r="W240" t="n">
        <x:v>0</x:v>
      </x:c>
      <x:c r="X240" t="n">
        <x:v>0</x:v>
      </x:c>
      <x:c r="Y240" t="n">
        <x:v>0</x:v>
      </x:c>
      <x:c r="Z240" t="n">
        <x:v>1</x:v>
      </x:c>
      <x:c r="AA240" t="n">
        <x:v>2</x:v>
      </x:c>
      <x:c r="AB240" t="str">
        <x:v>Pass</x:v>
      </x:c>
      <x:c r="AC240" t="str"/>
      <x:c r="AD240" t="str"/>
    </x:row>
    <x:row r="241">
      <x:c r="A241" t="str">
        <x:v>REC0240</x:v>
      </x:c>
      <x:c r="B241" t="n">
        <x:v>239</x:v>
      </x:c>
      <x:c r="C241" t="str">
        <x:v>St. Thomas, USVI</x:v>
      </x:c>
      <x:c r="D241" t="str">
        <x:v>AA</x:v>
      </x:c>
      <x:c r="E241" t="str">
        <x:v>Accuracy Assessment</x:v>
      </x:c>
      <x:c r="F241" t="str">
        <x:v>HD Seaviewer Drop Camera</x:v>
      </x:c>
      <x:c r="G241" t="str">
        <x:v>AA2017_255</x:v>
      </x:c>
      <x:c r="H241" s="28" t="n">
        <x:v>42775</x:v>
      </x:c>
      <x:c r="I241" t="str">
        <x:v>11:07:23</x:v>
      </x:c>
      <x:c r="J241" t="n">
        <x:v>2017</x:v>
      </x:c>
      <x:c r="K241" t="n">
        <x:v>18.25547476</x:v>
      </x:c>
      <x:c r="L241" t="n">
        <x:v>-64.85630958</x:v>
      </x:c>
      <x:c r="M241" t="n">
        <x:v>37.808</x:v>
      </x:c>
      <x:c r="N241" t="str">
        <x:v>https://nccospublicstor.blob.core.windows.net/biomapper/usviinsularshelf2017/videos/low/AA2017_255.mp4</x:v>
      </x:c>
      <x:c r="O241" t="n">
        <x:v>0</x:v>
      </x:c>
      <x:c r="P241" t="n">
        <x:v>0</x:v>
      </x:c>
      <x:c r="Q241" t="n">
        <x:v>1</x:v>
      </x:c>
      <x:c r="R241" t="n">
        <x:v>0</x:v>
      </x:c>
      <x:c r="S241" t="n">
        <x:v>0</x:v>
      </x:c>
      <x:c r="T241" t="n">
        <x:v>0</x:v>
      </x:c>
      <x:c r="U241" t="n">
        <x:v>1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1</x:v>
      </x:c>
      <x:c r="AA241" t="n">
        <x:v>1</x:v>
      </x:c>
      <x:c r="AB241" t="str">
        <x:v>Pass</x:v>
      </x:c>
      <x:c r="AC241" t="str"/>
      <x:c r="AD241" t="str"/>
    </x:row>
    <x:row r="242">
      <x:c r="A242" t="str">
        <x:v>REC0241</x:v>
      </x:c>
      <x:c r="B242" t="n">
        <x:v>240</x:v>
      </x:c>
      <x:c r="C242" t="str">
        <x:v>St. Thomas, USVI</x:v>
      </x:c>
      <x:c r="D242" t="str">
        <x:v>AA</x:v>
      </x:c>
      <x:c r="E242" t="str">
        <x:v>Accuracy Assessment</x:v>
      </x:c>
      <x:c r="F242" t="str">
        <x:v>HD Seaviewer Drop Camera</x:v>
      </x:c>
      <x:c r="G242" t="str">
        <x:v>AA2017_256</x:v>
      </x:c>
      <x:c r="H242" s="28" t="n">
        <x:v>42775</x:v>
      </x:c>
      <x:c r="I242" t="str">
        <x:v>10:07:08</x:v>
      </x:c>
      <x:c r="J242" t="n">
        <x:v>2017</x:v>
      </x:c>
      <x:c r="K242" t="n">
        <x:v>18.2219495</x:v>
      </x:c>
      <x:c r="L242" t="n">
        <x:v>-64.85426716</x:v>
      </x:c>
      <x:c r="M242" t="n">
        <x:v>48.592</x:v>
      </x:c>
      <x:c r="N242" t="str">
        <x:v>https://nccospublicstor.blob.core.windows.net/biomapper/usviinsularshelf2017/videos/low/AA2017_256.mp4</x:v>
      </x:c>
      <x:c r="O242" t="n">
        <x:v>0</x:v>
      </x:c>
      <x:c r="P242" t="n">
        <x:v>0</x:v>
      </x:c>
      <x:c r="Q242" t="n">
        <x:v>1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1</x:v>
      </x:c>
      <x:c r="AA242" t="n">
        <x:v>0</x:v>
      </x:c>
      <x:c r="AB242" t="str">
        <x:v>Pass</x:v>
      </x:c>
      <x:c r="AC242" t="str"/>
      <x:c r="AD242" t="str"/>
    </x:row>
    <x:row r="243">
      <x:c r="A243" t="str">
        <x:v>REC0242</x:v>
      </x:c>
      <x:c r="B243" t="n">
        <x:v>241</x:v>
      </x:c>
      <x:c r="C243" t="str">
        <x:v>St. Thomas, USVI</x:v>
      </x:c>
      <x:c r="D243" t="str">
        <x:v>AA</x:v>
      </x:c>
      <x:c r="E243" t="str">
        <x:v>Accuracy Assessment</x:v>
      </x:c>
      <x:c r="F243" t="str">
        <x:v>HD Seaviewer Drop Camera</x:v>
      </x:c>
      <x:c r="G243" t="str">
        <x:v>AA2017_257</x:v>
      </x:c>
      <x:c r="H243" s="28" t="n">
        <x:v>42775</x:v>
      </x:c>
      <x:c r="I243" t="str">
        <x:v>10:57:04</x:v>
      </x:c>
      <x:c r="J243" t="n">
        <x:v>2017</x:v>
      </x:c>
      <x:c r="K243" t="n">
        <x:v>18.25731424</x:v>
      </x:c>
      <x:c r="L243" t="n">
        <x:v>-64.85087395</x:v>
      </x:c>
      <x:c r="M243" t="n">
        <x:v>36.324</x:v>
      </x:c>
      <x:c r="N243" t="str">
        <x:v>https://nccospublicstor.blob.core.windows.net/biomapper/usviinsularshelf2017/videos/low/AA2017_257.mp4</x:v>
      </x:c>
      <x:c r="O243" t="n">
        <x:v>0</x:v>
      </x:c>
      <x:c r="P243" t="n">
        <x:v>0</x:v>
      </x:c>
      <x:c r="Q243" t="n">
        <x:v>0</x:v>
      </x:c>
      <x:c r="R243" t="n">
        <x:v>1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1</x:v>
      </x:c>
      <x:c r="AA243" t="n">
        <x:v>0</x:v>
      </x:c>
      <x:c r="AB243" t="str">
        <x:v>Pass</x:v>
      </x:c>
      <x:c r="AC243" t="str"/>
      <x:c r="AD243" t="str"/>
    </x:row>
    <x:row r="244">
      <x:c r="A244" t="str">
        <x:v>REC0243</x:v>
      </x:c>
      <x:c r="B244" t="n">
        <x:v>242</x:v>
      </x:c>
      <x:c r="C244" t="str">
        <x:v>St. Thomas, USVI</x:v>
      </x:c>
      <x:c r="D244" t="str">
        <x:v>AA</x:v>
      </x:c>
      <x:c r="E244" t="str">
        <x:v>Accuracy Assessment</x:v>
      </x:c>
      <x:c r="F244" t="str">
        <x:v>HD Seaviewer Drop Camera</x:v>
      </x:c>
      <x:c r="G244" t="str">
        <x:v>AA2017_258</x:v>
      </x:c>
      <x:c r="H244" s="28" t="n">
        <x:v>42775</x:v>
      </x:c>
      <x:c r="I244" t="str">
        <x:v>10:48:28</x:v>
      </x:c>
      <x:c r="J244" t="n">
        <x:v>2017</x:v>
      </x:c>
      <x:c r="K244" t="n">
        <x:v>18.25341796</x:v>
      </x:c>
      <x:c r="L244" t="n">
        <x:v>-64.84794827</x:v>
      </x:c>
      <x:c r="M244" t="n">
        <x:v>38.894</x:v>
      </x:c>
      <x:c r="N244" t="str">
        <x:v>https://nccospublicstor.blob.core.windows.net/biomapper/usviinsularshelf2017/videos/low/AA2017_258.mp4</x:v>
      </x:c>
      <x:c r="O244" t="n">
        <x:v>0</x:v>
      </x:c>
      <x:c r="P244" t="n">
        <x:v>0</x:v>
      </x:c>
      <x:c r="Q244" t="n">
        <x:v>1</x:v>
      </x:c>
      <x:c r="R244" t="n">
        <x:v>0</x:v>
      </x:c>
      <x:c r="S244" t="n">
        <x:v>0</x:v>
      </x:c>
      <x:c r="T244" t="n">
        <x:v>0</x:v>
      </x:c>
      <x:c r="U244" t="n">
        <x:v>1</x:v>
      </x:c>
      <x:c r="V244" t="n">
        <x:v>1</x:v>
      </x:c>
      <x:c r="W244" t="n">
        <x:v>0</x:v>
      </x:c>
      <x:c r="X244" t="n">
        <x:v>0</x:v>
      </x:c>
      <x:c r="Y244" t="n">
        <x:v>0</x:v>
      </x:c>
      <x:c r="Z244" t="n">
        <x:v>1</x:v>
      </x:c>
      <x:c r="AA244" t="n">
        <x:v>2</x:v>
      </x:c>
      <x:c r="AB244" t="str">
        <x:v>Pass</x:v>
      </x:c>
      <x:c r="AC244" t="str"/>
      <x:c r="AD244" t="str">
        <x:v>sand patch/edge of rhodoliths visible on descent</x:v>
      </x:c>
    </x:row>
    <x:row r="245">
      <x:c r="A245" t="str">
        <x:v>REC0244</x:v>
      </x:c>
      <x:c r="B245" t="n">
        <x:v>243</x:v>
      </x:c>
      <x:c r="C245" t="str">
        <x:v>St. Thomas, USVI</x:v>
      </x:c>
      <x:c r="D245" t="str">
        <x:v>AA</x:v>
      </x:c>
      <x:c r="E245" t="str">
        <x:v>Accuracy Assessment</x:v>
      </x:c>
      <x:c r="F245" t="str">
        <x:v>HD Seaviewer Drop Camera</x:v>
      </x:c>
      <x:c r="G245" t="str">
        <x:v>AA2017_259</x:v>
      </x:c>
      <x:c r="H245" s="28" t="n">
        <x:v>42775</x:v>
      </x:c>
      <x:c r="I245" t="str">
        <x:v>10:26:37</x:v>
      </x:c>
      <x:c r="J245" t="n">
        <x:v>2017</x:v>
      </x:c>
      <x:c r="K245" t="n">
        <x:v>18.24400435</x:v>
      </x:c>
      <x:c r="L245" t="n">
        <x:v>-64.85544341</x:v>
      </x:c>
      <x:c r="M245" t="n">
        <x:v>38.481</x:v>
      </x:c>
      <x:c r="N245" t="str">
        <x:v>https://nccospublicstor.blob.core.windows.net/biomapper/usviinsularshelf2017/videos/low/AA2017_259.mp4</x:v>
      </x:c>
      <x:c r="O245" t="n">
        <x:v>0</x:v>
      </x:c>
      <x:c r="P245" t="n">
        <x:v>0</x:v>
      </x:c>
      <x:c r="Q245" t="n">
        <x:v>1</x:v>
      </x:c>
      <x:c r="R245" t="n">
        <x:v>0</x:v>
      </x:c>
      <x:c r="S245" t="n">
        <x:v>0</x:v>
      </x:c>
      <x:c r="T245" t="n">
        <x:v>0</x:v>
      </x:c>
      <x:c r="U245" t="n">
        <x:v>1</x:v>
      </x:c>
      <x:c r="V245" t="n">
        <x:v>1</x:v>
      </x:c>
      <x:c r="W245" t="n">
        <x:v>0</x:v>
      </x:c>
      <x:c r="X245" t="n">
        <x:v>0</x:v>
      </x:c>
      <x:c r="Y245" t="n">
        <x:v>0</x:v>
      </x:c>
      <x:c r="Z245" t="n">
        <x:v>1</x:v>
      </x:c>
      <x:c r="AA245" t="n">
        <x:v>2</x:v>
      </x:c>
      <x:c r="AB245" t="str">
        <x:v>Pass</x:v>
      </x:c>
      <x:c r="AC245" t="str"/>
      <x:c r="AD245" t="str"/>
    </x:row>
    <x:row r="246">
      <x:c r="A246" t="str">
        <x:v>REC0245</x:v>
      </x:c>
      <x:c r="B246" t="n">
        <x:v>244</x:v>
      </x:c>
      <x:c r="C246" t="str">
        <x:v>St. Thomas, USVI</x:v>
      </x:c>
      <x:c r="D246" t="str">
        <x:v>AA</x:v>
      </x:c>
      <x:c r="E246" t="str">
        <x:v>Accuracy Assessment</x:v>
      </x:c>
      <x:c r="F246" t="str">
        <x:v>HD Seaviewer Drop Camera</x:v>
      </x:c>
      <x:c r="G246" t="str">
        <x:v>AA2017_260</x:v>
      </x:c>
      <x:c r="H246" s="28" t="n">
        <x:v>42775</x:v>
      </x:c>
      <x:c r="I246" t="str">
        <x:v>10:18:29</x:v>
      </x:c>
      <x:c r="J246" t="n">
        <x:v>2017</x:v>
      </x:c>
      <x:c r="K246" t="n">
        <x:v>18.24424598</x:v>
      </x:c>
      <x:c r="L246" t="n">
        <x:v>-64.84337427</x:v>
      </x:c>
      <x:c r="M246" t="n">
        <x:v>40.777</x:v>
      </x:c>
      <x:c r="N246" t="str">
        <x:v>https://nccospublicstor.blob.core.windows.net/biomapper/usviinsularshelf2017/videos/low/AA2017_260.mp4</x:v>
      </x:c>
      <x:c r="O246" t="n">
        <x:v>0</x:v>
      </x:c>
      <x:c r="P246" t="n">
        <x:v>0</x:v>
      </x:c>
      <x:c r="Q246" t="n">
        <x:v>1</x:v>
      </x:c>
      <x:c r="R246" t="n">
        <x:v>0</x:v>
      </x:c>
      <x:c r="S246" t="n">
        <x:v>0</x:v>
      </x:c>
      <x:c r="T246" t="n">
        <x:v>0</x:v>
      </x:c>
      <x:c r="U246" t="n">
        <x:v>1</x:v>
      </x:c>
      <x:c r="V246" t="n">
        <x:v>1</x:v>
      </x:c>
      <x:c r="W246" t="n">
        <x:v>0</x:v>
      </x:c>
      <x:c r="X246" t="n">
        <x:v>0</x:v>
      </x:c>
      <x:c r="Y246" t="n">
        <x:v>0</x:v>
      </x:c>
      <x:c r="Z246" t="n">
        <x:v>1</x:v>
      </x:c>
      <x:c r="AA246" t="n">
        <x:v>2</x:v>
      </x:c>
      <x:c r="AB246" t="str">
        <x:v>Pass</x:v>
      </x:c>
      <x:c r="AC246" t="str"/>
      <x:c r="AD246" t="str"/>
    </x:row>
    <x:row r="247">
      <x:c r="A247" t="str">
        <x:v>REC0246</x:v>
      </x:c>
      <x:c r="B247" t="n">
        <x:v>245</x:v>
      </x:c>
      <x:c r="C247" t="str">
        <x:v>St. Thomas, USVI</x:v>
      </x:c>
      <x:c r="D247" t="str">
        <x:v>AA</x:v>
      </x:c>
      <x:c r="E247" t="str">
        <x:v>Accuracy Assessment</x:v>
      </x:c>
      <x:c r="F247" t="str">
        <x:v>HD Seaviewer Drop Camera</x:v>
      </x:c>
      <x:c r="G247" t="str">
        <x:v>AA2017_261</x:v>
      </x:c>
      <x:c r="H247" s="28" t="n">
        <x:v>42775</x:v>
      </x:c>
      <x:c r="I247" t="str">
        <x:v>09:57:20</x:v>
      </x:c>
      <x:c r="J247" t="n">
        <x:v>2017</x:v>
      </x:c>
      <x:c r="K247" t="n">
        <x:v>18.22823079</x:v>
      </x:c>
      <x:c r="L247" t="n">
        <x:v>-64.84398308</x:v>
      </x:c>
      <x:c r="M247" t="n">
        <x:v>45.6</x:v>
      </x:c>
      <x:c r="N247" t="str">
        <x:v>https://nccospublicstor.blob.core.windows.net/biomapper/usviinsularshelf2017/videos/low/AA2017_261.mp4</x:v>
      </x:c>
      <x:c r="O247" t="n">
        <x:v>0</x:v>
      </x:c>
      <x:c r="P247" t="n">
        <x:v>0</x:v>
      </x:c>
      <x:c r="Q247" t="n">
        <x:v>1</x:v>
      </x:c>
      <x:c r="R247" t="n">
        <x:v>0</x:v>
      </x:c>
      <x:c r="S247" t="n">
        <x:v>0</x:v>
      </x:c>
      <x:c r="T247" t="n">
        <x:v>0</x:v>
      </x:c>
      <x:c r="U247" t="n">
        <x:v>1</x:v>
      </x:c>
      <x:c r="V247" t="n">
        <x:v>1</x:v>
      </x:c>
      <x:c r="W247" t="n">
        <x:v>0</x:v>
      </x:c>
      <x:c r="X247" t="n">
        <x:v>0</x:v>
      </x:c>
      <x:c r="Y247" t="n">
        <x:v>0</x:v>
      </x:c>
      <x:c r="Z247" t="n">
        <x:v>1</x:v>
      </x:c>
      <x:c r="AA247" t="n">
        <x:v>2</x:v>
      </x:c>
      <x:c r="AB247" t="str">
        <x:v>Pass</x:v>
      </x:c>
      <x:c r="AC247" t="str"/>
      <x:c r="AD247" t="str"/>
    </x:row>
    <x:row r="248">
      <x:c r="A248" t="str">
        <x:v>REC0247</x:v>
      </x:c>
      <x:c r="B248" t="n">
        <x:v>246</x:v>
      </x:c>
      <x:c r="C248" t="str">
        <x:v>St. Thomas, USVI</x:v>
      </x:c>
      <x:c r="D248" t="str">
        <x:v>AA</x:v>
      </x:c>
      <x:c r="E248" t="str">
        <x:v>Accuracy Assessment</x:v>
      </x:c>
      <x:c r="F248" t="str">
        <x:v>HD Seaviewer Drop Camera</x:v>
      </x:c>
      <x:c r="G248" t="str">
        <x:v>AA2017_262</x:v>
      </x:c>
      <x:c r="H248" s="28" t="n">
        <x:v>42775</x:v>
      </x:c>
      <x:c r="I248" t="str">
        <x:v>09:50:22</x:v>
      </x:c>
      <x:c r="J248" t="n">
        <x:v>2017</x:v>
      </x:c>
      <x:c r="K248" t="n">
        <x:v>18.23372518</x:v>
      </x:c>
      <x:c r="L248" t="n">
        <x:v>-64.84179611</x:v>
      </x:c>
      <x:c r="M248" t="n">
        <x:v>45.38</x:v>
      </x:c>
      <x:c r="N248" t="str">
        <x:v>https://nccospublicstor.blob.core.windows.net/biomapper/usviinsularshelf2017/videos/low/AA2017_262.mp4</x:v>
      </x:c>
      <x:c r="O248" t="n">
        <x:v>0</x:v>
      </x:c>
      <x:c r="P248" t="n">
        <x:v>0</x:v>
      </x:c>
      <x:c r="Q248" t="n">
        <x:v>1</x:v>
      </x:c>
      <x:c r="R248" t="n">
        <x:v>0</x:v>
      </x:c>
      <x:c r="S248" t="n">
        <x:v>0</x:v>
      </x:c>
      <x:c r="T248" t="n">
        <x:v>0</x:v>
      </x:c>
      <x:c r="U248" t="n">
        <x:v>1</x:v>
      </x:c>
      <x:c r="V248" t="n">
        <x:v>1</x:v>
      </x:c>
      <x:c r="W248" t="n">
        <x:v>0</x:v>
      </x:c>
      <x:c r="X248" t="n">
        <x:v>0</x:v>
      </x:c>
      <x:c r="Y248" t="n">
        <x:v>0</x:v>
      </x:c>
      <x:c r="Z248" t="n">
        <x:v>1</x:v>
      </x:c>
      <x:c r="AA248" t="n">
        <x:v>2</x:v>
      </x:c>
      <x:c r="AB248" t="str">
        <x:v>Pass</x:v>
      </x:c>
      <x:c r="AC248" t="str"/>
      <x:c r="AD248" t="str"/>
    </x:row>
    <x:row r="249">
      <x:c r="A249" t="str">
        <x:v>REC0248</x:v>
      </x:c>
      <x:c r="B249" t="n">
        <x:v>247</x:v>
      </x:c>
      <x:c r="C249" t="str">
        <x:v>St. Thomas, USVI</x:v>
      </x:c>
      <x:c r="D249" t="str">
        <x:v>AA</x:v>
      </x:c>
      <x:c r="E249" t="str">
        <x:v>Accuracy Assessment</x:v>
      </x:c>
      <x:c r="F249" t="str">
        <x:v>HD Seaviewer Drop Camera</x:v>
      </x:c>
      <x:c r="G249" t="str">
        <x:v>AA2017_263</x:v>
      </x:c>
      <x:c r="H249" s="28" t="n">
        <x:v>42776</x:v>
      </x:c>
      <x:c r="I249" t="str">
        <x:v>08:17:41</x:v>
      </x:c>
      <x:c r="J249" t="n">
        <x:v>2017</x:v>
      </x:c>
      <x:c r="K249" t="n">
        <x:v>18.21255473</x:v>
      </x:c>
      <x:c r="L249" t="n">
        <x:v>-64.84139501</x:v>
      </x:c>
      <x:c r="M249" t="n">
        <x:v>53.598</x:v>
      </x:c>
      <x:c r="N249" t="str">
        <x:v>https://nccospublicstor.blob.core.windows.net/biomapper/usviinsularshelf2017/videos/low/AA2017_263.mp4</x:v>
      </x:c>
      <x:c r="O249" t="n">
        <x:v>0</x:v>
      </x:c>
      <x:c r="P249" t="n">
        <x:v>0</x:v>
      </x:c>
      <x:c r="Q249" t="n">
        <x:v>1</x:v>
      </x:c>
      <x:c r="R249" t="n">
        <x:v>0</x:v>
      </x:c>
      <x:c r="S249" t="n">
        <x:v>1</x:v>
      </x:c>
      <x:c r="T249" t="n">
        <x:v>0</x:v>
      </x:c>
      <x:c r="U249" t="n">
        <x:v>1</x:v>
      </x:c>
      <x:c r="V249" t="n">
        <x:v>1</x:v>
      </x:c>
      <x:c r="W249" t="n">
        <x:v>0</x:v>
      </x:c>
      <x:c r="X249" t="n">
        <x:v>0</x:v>
      </x:c>
      <x:c r="Y249" t="n">
        <x:v>0</x:v>
      </x:c>
      <x:c r="Z249" t="n">
        <x:v>1</x:v>
      </x:c>
      <x:c r="AA249" t="n">
        <x:v>3</x:v>
      </x:c>
      <x:c r="AB249" t="str">
        <x:v>Pass</x:v>
      </x:c>
      <x:c r="AC249" t="str"/>
      <x:c r="AD249" t="str"/>
    </x:row>
    <x:row r="250">
      <x:c r="A250" t="str">
        <x:v>REC0249</x:v>
      </x:c>
      <x:c r="B250" t="n">
        <x:v>248</x:v>
      </x:c>
      <x:c r="C250" t="str">
        <x:v>St. Thomas, USVI</x:v>
      </x:c>
      <x:c r="D250" t="str">
        <x:v>AA</x:v>
      </x:c>
      <x:c r="E250" t="str">
        <x:v>Accuracy Assessment</x:v>
      </x:c>
      <x:c r="F250" t="str">
        <x:v>HD Seaviewer Drop Camera</x:v>
      </x:c>
      <x:c r="G250" t="str">
        <x:v>AA2017_264</x:v>
      </x:c>
      <x:c r="H250" s="28" t="n">
        <x:v>42772</x:v>
      </x:c>
      <x:c r="I250" t="str">
        <x:v>13:28:33</x:v>
      </x:c>
      <x:c r="J250" t="n">
        <x:v>2017</x:v>
      </x:c>
      <x:c r="K250" t="n">
        <x:v>18.27586815</x:v>
      </x:c>
      <x:c r="L250" t="n">
        <x:v>-64.83719734</x:v>
      </x:c>
      <x:c r="M250" t="n">
        <x:v>23.259</x:v>
      </x:c>
      <x:c r="N250" t="str">
        <x:v>https://nccospublicstor.blob.core.windows.net/biomapper/usviinsularshelf2017/videos/low/AA2017_264.mp4</x:v>
      </x:c>
      <x:c r="O250" t="n">
        <x:v>1</x:v>
      </x:c>
      <x:c r="P250" t="n">
        <x:v>0</x:v>
      </x:c>
      <x:c r="Q250" t="n">
        <x:v>0</x:v>
      </x:c>
      <x:c r="R250" t="n">
        <x:v>0</x:v>
      </x:c>
      <x:c r="S250" t="n">
        <x:v>1</x:v>
      </x:c>
      <x:c r="T250" t="n">
        <x:v>1</x:v>
      </x:c>
      <x:c r="U250" t="n">
        <x:v>1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1</x:v>
      </x:c>
      <x:c r="AA250" t="n">
        <x:v>3</x:v>
      </x:c>
      <x:c r="AB250" t="str">
        <x:v>Pass</x:v>
      </x:c>
      <x:c r="AC250" t="str"/>
      <x:c r="AD250" t="str">
        <x:v>sand visible on ascent</x:v>
      </x:c>
    </x:row>
    <x:row r="251">
      <x:c r="A251" t="str">
        <x:v>REC0250</x:v>
      </x:c>
      <x:c r="B251" t="n">
        <x:v>249</x:v>
      </x:c>
      <x:c r="C251" t="str">
        <x:v>St. Thomas, USVI</x:v>
      </x:c>
      <x:c r="D251" t="str">
        <x:v>AA</x:v>
      </x:c>
      <x:c r="E251" t="str">
        <x:v>Accuracy Assessment</x:v>
      </x:c>
      <x:c r="F251" t="str">
        <x:v>HD Seaviewer Drop Camera</x:v>
      </x:c>
      <x:c r="G251" t="str">
        <x:v>AA2017_265</x:v>
      </x:c>
      <x:c r="H251" s="28" t="n">
        <x:v>42775</x:v>
      </x:c>
      <x:c r="I251" t="str">
        <x:v>10:39:49</x:v>
      </x:c>
      <x:c r="J251" t="n">
        <x:v>2017</x:v>
      </x:c>
      <x:c r="K251" t="n">
        <x:v>18.25364929</x:v>
      </x:c>
      <x:c r="L251" t="n">
        <x:v>-64.83703314</x:v>
      </x:c>
      <x:c r="M251" t="n">
        <x:v>35.731</x:v>
      </x:c>
      <x:c r="N251" t="str">
        <x:v>https://nccospublicstor.blob.core.windows.net/biomapper/usviinsularshelf2017/videos/low/AA2017_265.mp4</x:v>
      </x:c>
      <x:c r="O251" t="n">
        <x:v>0</x:v>
      </x:c>
      <x:c r="P251" t="n">
        <x:v>0</x:v>
      </x:c>
      <x:c r="Q251" t="n">
        <x:v>1</x:v>
      </x:c>
      <x:c r="R251" t="n">
        <x:v>1</x:v>
      </x:c>
      <x:c r="S251" t="n">
        <x:v>0</x:v>
      </x:c>
      <x:c r="T251" t="n">
        <x:v>0</x:v>
      </x:c>
      <x:c r="U251" t="n">
        <x:v>1</x:v>
      </x:c>
      <x:c r="V251" t="n">
        <x:v>1</x:v>
      </x:c>
      <x:c r="W251" t="n">
        <x:v>0</x:v>
      </x:c>
      <x:c r="X251" t="n">
        <x:v>0</x:v>
      </x:c>
      <x:c r="Y251" t="n">
        <x:v>0</x:v>
      </x:c>
      <x:c r="Z251" t="n">
        <x:v>2</x:v>
      </x:c>
      <x:c r="AA251" t="n">
        <x:v>2</x:v>
      </x:c>
      <x:c r="AB251" t="str">
        <x:v>Pass</x:v>
      </x:c>
      <x:c r="AC251" t="str"/>
      <x:c r="AD251" t="str"/>
    </x:row>
    <x:row r="252">
      <x:c r="A252" t="str">
        <x:v>REC0251</x:v>
      </x:c>
      <x:c r="B252" t="n">
        <x:v>250</x:v>
      </x:c>
      <x:c r="C252" t="str">
        <x:v>St. Thomas, USVI</x:v>
      </x:c>
      <x:c r="D252" t="str">
        <x:v>AA</x:v>
      </x:c>
      <x:c r="E252" t="str">
        <x:v>Accuracy Assessment</x:v>
      </x:c>
      <x:c r="F252" t="str">
        <x:v>HD Seaviewer Drop Camera</x:v>
      </x:c>
      <x:c r="G252" t="str">
        <x:v>AA2017_266</x:v>
      </x:c>
      <x:c r="H252" s="28" t="n">
        <x:v>42776</x:v>
      </x:c>
      <x:c r="I252" t="str">
        <x:v>08:06:52</x:v>
      </x:c>
      <x:c r="J252" t="n">
        <x:v>2017</x:v>
      </x:c>
      <x:c r="K252" t="n">
        <x:v>18.1998427</x:v>
      </x:c>
      <x:c r="L252" t="n">
        <x:v>-64.83032454</x:v>
      </x:c>
      <x:c r="M252" t="n">
        <x:v>56.572</x:v>
      </x:c>
      <x:c r="N252" t="str">
        <x:v>https://nccospublicstor.blob.core.windows.net/biomapper/usviinsularshelf2017/videos/low/AA2017_266.mp4</x:v>
      </x:c>
      <x:c r="O252" t="n">
        <x:v>0</x:v>
      </x:c>
      <x:c r="P252" t="n">
        <x:v>1</x:v>
      </x:c>
      <x:c r="Q252" t="n">
        <x:v>1</x:v>
      </x:c>
      <x:c r="R252" t="n">
        <x:v>0</x:v>
      </x:c>
      <x:c r="S252" t="n">
        <x:v>1</x:v>
      </x:c>
      <x:c r="T252" t="n">
        <x:v>0</x:v>
      </x:c>
      <x:c r="U252" t="n">
        <x:v>1</x:v>
      </x:c>
      <x:c r="V252" t="n">
        <x:v>1</x:v>
      </x:c>
      <x:c r="W252" t="n">
        <x:v>0</x:v>
      </x:c>
      <x:c r="X252" t="n">
        <x:v>0</x:v>
      </x:c>
      <x:c r="Y252" t="n">
        <x:v>0</x:v>
      </x:c>
      <x:c r="Z252" t="n">
        <x:v>2</x:v>
      </x:c>
      <x:c r="AA252" t="n">
        <x:v>3</x:v>
      </x:c>
      <x:c r="AB252" t="str">
        <x:v>Pass</x:v>
      </x:c>
      <x:c r="AC252" t="str"/>
      <x:c r="AD252" t="str">
        <x:v>macroalgae just &gt;20%</x:v>
      </x:c>
    </x:row>
    <x:row r="253">
      <x:c r="A253" t="str">
        <x:v>REC0252</x:v>
      </x:c>
      <x:c r="B253" t="n">
        <x:v>251</x:v>
      </x:c>
      <x:c r="C253" t="str">
        <x:v>St. Thomas, USVI</x:v>
      </x:c>
      <x:c r="D253" t="str">
        <x:v>AA</x:v>
      </x:c>
      <x:c r="E253" t="str">
        <x:v>Accuracy Assessment</x:v>
      </x:c>
      <x:c r="F253" t="str">
        <x:v>HD Seaviewer Drop Camera</x:v>
      </x:c>
      <x:c r="G253" t="str">
        <x:v>AA2017_267</x:v>
      </x:c>
      <x:c r="H253" s="28" t="n">
        <x:v>42775</x:v>
      </x:c>
      <x:c r="I253" t="str">
        <x:v>09:32:12</x:v>
      </x:c>
      <x:c r="J253" t="n">
        <x:v>2017</x:v>
      </x:c>
      <x:c r="K253" t="n">
        <x:v>18.21713287</x:v>
      </x:c>
      <x:c r="L253" t="n">
        <x:v>-64.82952189</x:v>
      </x:c>
      <x:c r="M253" t="n">
        <x:v>55.029</x:v>
      </x:c>
      <x:c r="N253" t="str">
        <x:v>https://nccospublicstor.blob.core.windows.net/biomapper/usviinsularshelf2017/videos/low/AA2017_267.mp4</x:v>
      </x:c>
      <x:c r="O253" t="n">
        <x:v>0</x:v>
      </x:c>
      <x:c r="P253" t="n">
        <x:v>0</x:v>
      </x:c>
      <x:c r="Q253" t="n">
        <x:v>1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1</x:v>
      </x:c>
      <x:c r="W253" t="n">
        <x:v>0</x:v>
      </x:c>
      <x:c r="X253" t="n">
        <x:v>0</x:v>
      </x:c>
      <x:c r="Y253" t="n">
        <x:v>0</x:v>
      </x:c>
      <x:c r="Z253" t="n">
        <x:v>1</x:v>
      </x:c>
      <x:c r="AA253" t="n">
        <x:v>1</x:v>
      </x:c>
      <x:c r="AB253" t="str">
        <x:v>Pass</x:v>
      </x:c>
      <x:c r="AC253" t="str"/>
      <x:c r="AD253" t="str"/>
    </x:row>
    <x:row r="254">
      <x:c r="A254" t="str">
        <x:v>REC0253</x:v>
      </x:c>
      <x:c r="B254" t="n">
        <x:v>252</x:v>
      </x:c>
      <x:c r="C254" t="str">
        <x:v>St. Thomas, USVI</x:v>
      </x:c>
      <x:c r="D254" t="str">
        <x:v>AA</x:v>
      </x:c>
      <x:c r="E254" t="str">
        <x:v>Accuracy Assessment</x:v>
      </x:c>
      <x:c r="F254" t="str">
        <x:v>HD Seaviewer Drop Camera</x:v>
      </x:c>
      <x:c r="G254" t="str">
        <x:v>AA2017_268</x:v>
      </x:c>
      <x:c r="H254" s="28" t="n">
        <x:v>42772</x:v>
      </x:c>
      <x:c r="I254" t="str">
        <x:v>13:21:35</x:v>
      </x:c>
      <x:c r="J254" t="n">
        <x:v>2017</x:v>
      </x:c>
      <x:c r="K254" t="n">
        <x:v>18.27372458</x:v>
      </x:c>
      <x:c r="L254" t="n">
        <x:v>-64.82930301</x:v>
      </x:c>
      <x:c r="M254" t="n">
        <x:v>34.105</x:v>
      </x:c>
      <x:c r="N254" t="str">
        <x:v>https://nccospublicstor.blob.core.windows.net/biomapper/usviinsularshelf2017/videos/low/AA2017_268.mp4</x:v>
      </x:c>
      <x:c r="O254" t="n">
        <x:v>0</x:v>
      </x:c>
      <x:c r="P254" t="n">
        <x:v>0</x:v>
      </x:c>
      <x:c r="Q254" t="n">
        <x:v>1</x:v>
      </x:c>
      <x:c r="R254" t="n">
        <x:v>0</x:v>
      </x:c>
      <x:c r="S254" t="n">
        <x:v>0</x:v>
      </x:c>
      <x:c r="T254" t="n">
        <x:v>0</x:v>
      </x:c>
      <x:c r="U254" t="n">
        <x:v>1</x:v>
      </x:c>
      <x:c r="V254" t="n">
        <x:v>1</x:v>
      </x:c>
      <x:c r="W254" t="n">
        <x:v>0</x:v>
      </x:c>
      <x:c r="X254" t="n">
        <x:v>0</x:v>
      </x:c>
      <x:c r="Y254" t="n">
        <x:v>0</x:v>
      </x:c>
      <x:c r="Z254" t="n">
        <x:v>1</x:v>
      </x:c>
      <x:c r="AA254" t="n">
        <x:v>2</x:v>
      </x:c>
      <x:c r="AB254" t="str">
        <x:v>Pass</x:v>
      </x:c>
      <x:c r="AC254" t="str"/>
      <x:c r="AD254" t="str"/>
    </x:row>
    <x:row r="255">
      <x:c r="A255" t="str">
        <x:v>REC0254</x:v>
      </x:c>
      <x:c r="B255" t="n">
        <x:v>253</x:v>
      </x:c>
      <x:c r="C255" t="str">
        <x:v>St. Thomas, USVI</x:v>
      </x:c>
      <x:c r="D255" t="str">
        <x:v>AA</x:v>
      </x:c>
      <x:c r="E255" t="str">
        <x:v>Accuracy Assessment</x:v>
      </x:c>
      <x:c r="F255" t="str">
        <x:v>HD Seaviewer Drop Camera</x:v>
      </x:c>
      <x:c r="G255" t="str">
        <x:v>AA2017_269</x:v>
      </x:c>
      <x:c r="H255" s="28" t="n">
        <x:v>42775</x:v>
      </x:c>
      <x:c r="I255" t="str">
        <x:v>09:41:56</x:v>
      </x:c>
      <x:c r="J255" t="n">
        <x:v>2017</x:v>
      </x:c>
      <x:c r="K255" t="n">
        <x:v>18.22800095</x:v>
      </x:c>
      <x:c r="L255" t="n">
        <x:v>-64.82797304</x:v>
      </x:c>
      <x:c r="M255" t="n">
        <x:v>47.884</x:v>
      </x:c>
      <x:c r="N255" t="str">
        <x:v>https://nccospublicstor.blob.core.windows.net/biomapper/usviinsularshelf2017/videos/low/AA2017_269.mp4</x:v>
      </x:c>
      <x:c r="O255" t="n">
        <x:v>0</x:v>
      </x:c>
      <x:c r="P255" t="n">
        <x:v>0</x:v>
      </x:c>
      <x:c r="Q255" t="n">
        <x:v>1</x:v>
      </x:c>
      <x:c r="R255" t="n">
        <x:v>0</x:v>
      </x:c>
      <x:c r="S255" t="n">
        <x:v>0</x:v>
      </x:c>
      <x:c r="T255" t="n">
        <x:v>0</x:v>
      </x:c>
      <x:c r="U255" t="n">
        <x:v>1</x:v>
      </x:c>
      <x:c r="V255" t="n">
        <x:v>1</x:v>
      </x:c>
      <x:c r="W255" t="n">
        <x:v>0</x:v>
      </x:c>
      <x:c r="X255" t="n">
        <x:v>0</x:v>
      </x:c>
      <x:c r="Y255" t="n">
        <x:v>0</x:v>
      </x:c>
      <x:c r="Z255" t="n">
        <x:v>1</x:v>
      </x:c>
      <x:c r="AA255" t="n">
        <x:v>2</x:v>
      </x:c>
      <x:c r="AB255" t="str">
        <x:v>Pass</x:v>
      </x:c>
      <x:c r="AC255" t="str"/>
      <x:c r="AD255" t="str"/>
    </x:row>
    <x:row r="256">
      <x:c r="A256" t="str">
        <x:v>REC0255</x:v>
      </x:c>
      <x:c r="B256" t="n">
        <x:v>254</x:v>
      </x:c>
      <x:c r="C256" t="str">
        <x:v>St. Thomas, USVI</x:v>
      </x:c>
      <x:c r="D256" t="str">
        <x:v>AA</x:v>
      </x:c>
      <x:c r="E256" t="str">
        <x:v>Accuracy Assessment</x:v>
      </x:c>
      <x:c r="F256" t="str">
        <x:v>HD Seaviewer Drop Camera</x:v>
      </x:c>
      <x:c r="G256" t="str">
        <x:v>AA2017_270</x:v>
      </x:c>
      <x:c r="H256" s="28" t="n">
        <x:v>42772</x:v>
      </x:c>
      <x:c r="I256" t="str">
        <x:v>13:36:50</x:v>
      </x:c>
      <x:c r="J256" t="n">
        <x:v>2017</x:v>
      </x:c>
      <x:c r="K256" t="n">
        <x:v>18.28649439</x:v>
      </x:c>
      <x:c r="L256" t="n">
        <x:v>-64.8272413</x:v>
      </x:c>
      <x:c r="M256" t="n">
        <x:v>28.675</x:v>
      </x:c>
      <x:c r="N256" t="str">
        <x:v>https://nccospublicstor.blob.core.windows.net/biomapper/usviinsularshelf2017/videos/low/AA2017_270.mp4</x:v>
      </x:c>
      <x:c r="O256" t="n">
        <x:v>0</x:v>
      </x:c>
      <x:c r="P256" t="n">
        <x:v>0</x:v>
      </x:c>
      <x:c r="Q256" t="n">
        <x:v>1</x:v>
      </x:c>
      <x:c r="R256" t="n">
        <x:v>0</x:v>
      </x:c>
      <x:c r="S256" t="n">
        <x:v>0</x:v>
      </x:c>
      <x:c r="T256" t="n">
        <x:v>0</x:v>
      </x:c>
      <x:c r="U256" t="n">
        <x:v>1</x:v>
      </x:c>
      <x:c r="V256" t="n">
        <x:v>1</x:v>
      </x:c>
      <x:c r="W256" t="n">
        <x:v>0</x:v>
      </x:c>
      <x:c r="X256" t="n">
        <x:v>0</x:v>
      </x:c>
      <x:c r="Y256" t="n">
        <x:v>0</x:v>
      </x:c>
      <x:c r="Z256" t="n">
        <x:v>1</x:v>
      </x:c>
      <x:c r="AA256" t="n">
        <x:v>2</x:v>
      </x:c>
      <x:c r="AB256" t="str">
        <x:v>Pass</x:v>
      </x:c>
      <x:c r="AC256" t="str"/>
      <x:c r="AD256" t="str"/>
    </x:row>
    <x:row r="257">
      <x:c r="A257" t="str">
        <x:v>REC0256</x:v>
      </x:c>
      <x:c r="B257" t="n">
        <x:v>255</x:v>
      </x:c>
      <x:c r="C257" t="str">
        <x:v>St. Thomas, USVI</x:v>
      </x:c>
      <x:c r="D257" t="str">
        <x:v>AA</x:v>
      </x:c>
      <x:c r="E257" t="str">
        <x:v>Accuracy Assessment</x:v>
      </x:c>
      <x:c r="F257" t="str">
        <x:v>HD Seaviewer Drop Camera</x:v>
      </x:c>
      <x:c r="G257" t="str">
        <x:v>AA2017_271</x:v>
      </x:c>
      <x:c r="H257" s="28" t="n">
        <x:v>42775</x:v>
      </x:c>
      <x:c r="I257" t="str">
        <x:v>09:23:14</x:v>
      </x:c>
      <x:c r="J257" t="n">
        <x:v>2017</x:v>
      </x:c>
      <x:c r="K257" t="n">
        <x:v>18.22031022</x:v>
      </x:c>
      <x:c r="L257" t="n">
        <x:v>-64.82177064</x:v>
      </x:c>
      <x:c r="M257" t="n">
        <x:v>54.159</x:v>
      </x:c>
      <x:c r="N257" t="str">
        <x:v>https://nccospublicstor.blob.core.windows.net/biomapper/usviinsularshelf2017/videos/low/AA2017_271.mp4</x:v>
      </x:c>
      <x:c r="O257" t="n">
        <x:v>0</x:v>
      </x:c>
      <x:c r="P257" t="n">
        <x:v>0</x:v>
      </x:c>
      <x:c r="Q257" t="n">
        <x:v>1</x:v>
      </x:c>
      <x:c r="R257" t="n">
        <x:v>0</x:v>
      </x:c>
      <x:c r="S257" t="n">
        <x:v>0</x:v>
      </x:c>
      <x:c r="T257" t="n">
        <x:v>0</x:v>
      </x:c>
      <x:c r="U257" t="n">
        <x:v>1</x:v>
      </x:c>
      <x:c r="V257" t="n">
        <x:v>1</x:v>
      </x:c>
      <x:c r="W257" t="n">
        <x:v>0</x:v>
      </x:c>
      <x:c r="X257" t="n">
        <x:v>0</x:v>
      </x:c>
      <x:c r="Y257" t="n">
        <x:v>0</x:v>
      </x:c>
      <x:c r="Z257" t="n">
        <x:v>1</x:v>
      </x:c>
      <x:c r="AA257" t="n">
        <x:v>2</x:v>
      </x:c>
      <x:c r="AB257" t="str">
        <x:v>Pass</x:v>
      </x:c>
      <x:c r="AC257" t="str"/>
      <x:c r="AD257" t="str"/>
    </x:row>
    <x:row r="258">
      <x:c r="A258" t="str">
        <x:v>REC0257</x:v>
      </x:c>
      <x:c r="B258" t="n">
        <x:v>256</x:v>
      </x:c>
      <x:c r="C258" t="str">
        <x:v>St. Thomas, USVI</x:v>
      </x:c>
      <x:c r="D258" t="str">
        <x:v>AA</x:v>
      </x:c>
      <x:c r="E258" t="str">
        <x:v>Accuracy Assessment</x:v>
      </x:c>
      <x:c r="F258" t="str">
        <x:v>HD Seaviewer Drop Camera</x:v>
      </x:c>
      <x:c r="G258" t="str">
        <x:v>AA2017_272</x:v>
      </x:c>
      <x:c r="H258" s="28" t="n">
        <x:v>42775</x:v>
      </x:c>
      <x:c r="I258" t="str">
        <x:v>09:08:50</x:v>
      </x:c>
      <x:c r="J258" t="n">
        <x:v>2017</x:v>
      </x:c>
      <x:c r="K258" t="n">
        <x:v>18.25204427</x:v>
      </x:c>
      <x:c r="L258" t="n">
        <x:v>-64.82012723</x:v>
      </x:c>
      <x:c r="M258" t="n">
        <x:v>29.699</x:v>
      </x:c>
      <x:c r="N258" t="str">
        <x:v>https://nccospublicstor.blob.core.windows.net/biomapper/usviinsularshelf2017/videos/low/AA2017_272.mp4</x:v>
      </x:c>
      <x:c r="O258" t="n">
        <x:v>1</x:v>
      </x:c>
      <x:c r="P258" t="n">
        <x:v>0</x:v>
      </x:c>
      <x:c r="Q258" t="n">
        <x:v>0</x:v>
      </x:c>
      <x:c r="R258" t="n">
        <x:v>1</x:v>
      </x:c>
      <x:c r="S258" t="n">
        <x:v>1</x:v>
      </x:c>
      <x:c r="T258" t="n">
        <x:v>0</x:v>
      </x:c>
      <x:c r="U258" t="n">
        <x:v>1</x:v>
      </x:c>
      <x:c r="V258" t="n">
        <x:v>1</x:v>
      </x:c>
      <x:c r="W258" t="n">
        <x:v>0</x:v>
      </x:c>
      <x:c r="X258" t="n">
        <x:v>0</x:v>
      </x:c>
      <x:c r="Y258" t="n">
        <x:v>0</x:v>
      </x:c>
      <x:c r="Z258" t="n">
        <x:v>2</x:v>
      </x:c>
      <x:c r="AA258" t="n">
        <x:v>3</x:v>
      </x:c>
      <x:c r="AB258" t="str">
        <x:v>Pass</x:v>
      </x:c>
      <x:c r="AC258" t="str"/>
      <x:c r="AD258" t="str">
        <x:v>on reef edge</x:v>
      </x:c>
    </x:row>
    <x:row r="259">
      <x:c r="A259" t="str">
        <x:v>REC0258</x:v>
      </x:c>
      <x:c r="B259" t="n">
        <x:v>257</x:v>
      </x:c>
      <x:c r="C259" t="str">
        <x:v>St. Thomas, USVI</x:v>
      </x:c>
      <x:c r="D259" t="str">
        <x:v>AA</x:v>
      </x:c>
      <x:c r="E259" t="str">
        <x:v>Accuracy Assessment</x:v>
      </x:c>
      <x:c r="F259" t="str">
        <x:v>HD Seaviewer Drop Camera</x:v>
      </x:c>
      <x:c r="G259" t="str">
        <x:v>AA2017_273</x:v>
      </x:c>
      <x:c r="H259" s="28" t="n">
        <x:v>42772</x:v>
      </x:c>
      <x:c r="I259" t="str">
        <x:v>13:14:46</x:v>
      </x:c>
      <x:c r="J259" t="n">
        <x:v>2017</x:v>
      </x:c>
      <x:c r="K259" t="n">
        <x:v>18.26922163</x:v>
      </x:c>
      <x:c r="L259" t="n">
        <x:v>-64.81949575</x:v>
      </x:c>
      <x:c r="M259" t="n">
        <x:v>34.804</x:v>
      </x:c>
      <x:c r="N259" t="str">
        <x:v>https://nccospublicstor.blob.core.windows.net/biomapper/usviinsularshelf2017/videos/low/AA2017_273.mp4</x:v>
      </x:c>
      <x:c r="O259" t="n">
        <x:v>0</x:v>
      </x:c>
      <x:c r="P259" t="n">
        <x:v>0</x:v>
      </x:c>
      <x:c r="Q259" t="n">
        <x:v>1</x:v>
      </x:c>
      <x:c r="R259" t="n">
        <x:v>0</x:v>
      </x:c>
      <x:c r="S259" t="n">
        <x:v>0</x:v>
      </x:c>
      <x:c r="T259" t="n">
        <x:v>0</x:v>
      </x:c>
      <x:c r="U259" t="n">
        <x:v>1</x:v>
      </x:c>
      <x:c r="V259" t="n">
        <x:v>1</x:v>
      </x:c>
      <x:c r="W259" t="n">
        <x:v>0</x:v>
      </x:c>
      <x:c r="X259" t="n">
        <x:v>0</x:v>
      </x:c>
      <x:c r="Y259" t="n">
        <x:v>0</x:v>
      </x:c>
      <x:c r="Z259" t="n">
        <x:v>1</x:v>
      </x:c>
      <x:c r="AA259" t="n">
        <x:v>2</x:v>
      </x:c>
      <x:c r="AB259" t="str">
        <x:v>Pass</x:v>
      </x:c>
      <x:c r="AC259" t="str"/>
      <x:c r="AD259" t="str"/>
    </x:row>
    <x:row r="260">
      <x:c r="A260" t="str">
        <x:v>REC0259</x:v>
      </x:c>
      <x:c r="B260" t="n">
        <x:v>258</x:v>
      </x:c>
      <x:c r="C260" t="str">
        <x:v>St. Thomas, USVI</x:v>
      </x:c>
      <x:c r="D260" t="str">
        <x:v>AA</x:v>
      </x:c>
      <x:c r="E260" t="str">
        <x:v>Accuracy Assessment</x:v>
      </x:c>
      <x:c r="F260" t="str">
        <x:v>HD Seaviewer Drop Camera</x:v>
      </x:c>
      <x:c r="G260" t="str">
        <x:v>AA2017_274</x:v>
      </x:c>
      <x:c r="H260" s="28" t="n">
        <x:v>42775</x:v>
      </x:c>
      <x:c r="I260" t="str">
        <x:v>09:01:35</x:v>
      </x:c>
      <x:c r="J260" t="n">
        <x:v>2017</x:v>
      </x:c>
      <x:c r="K260" t="n">
        <x:v>18.25628525</x:v>
      </x:c>
      <x:c r="L260" t="n">
        <x:v>-64.81490506</x:v>
      </x:c>
      <x:c r="M260" t="n">
        <x:v>36.048</x:v>
      </x:c>
      <x:c r="N260" t="str">
        <x:v>https://nccospublicstor.blob.core.windows.net/biomapper/usviinsularshelf2017/videos/low/AA2017_274.mp4</x:v>
      </x:c>
      <x:c r="O260" t="n">
        <x:v>1</x:v>
      </x:c>
      <x:c r="P260" t="n">
        <x:v>0</x:v>
      </x:c>
      <x:c r="Q260" t="n">
        <x:v>0</x:v>
      </x:c>
      <x:c r="R260" t="n">
        <x:v>0</x:v>
      </x:c>
      <x:c r="S260" t="n">
        <x:v>1</x:v>
      </x:c>
      <x:c r="T260" t="n">
        <x:v>1</x:v>
      </x:c>
      <x:c r="U260" t="n">
        <x:v>1</x:v>
      </x:c>
      <x:c r="V260" t="n">
        <x:v>1</x:v>
      </x:c>
      <x:c r="W260" t="n">
        <x:v>0</x:v>
      </x:c>
      <x:c r="X260" t="n">
        <x:v>0</x:v>
      </x:c>
      <x:c r="Y260" t="n">
        <x:v>0</x:v>
      </x:c>
      <x:c r="Z260" t="n">
        <x:v>1</x:v>
      </x:c>
      <x:c r="AA260" t="n">
        <x:v>4</x:v>
      </x:c>
      <x:c r="AB260" t="str">
        <x:v>Pass</x:v>
      </x:c>
      <x:c r="AC260" t="str"/>
      <x:c r="AD260" t="str"/>
    </x:row>
    <x:row r="261">
      <x:c r="A261" t="str">
        <x:v>REC0260</x:v>
      </x:c>
      <x:c r="B261" t="n">
        <x:v>259</x:v>
      </x:c>
      <x:c r="C261" t="str">
        <x:v>St. Thomas, USVI</x:v>
      </x:c>
      <x:c r="D261" t="str">
        <x:v>AA</x:v>
      </x:c>
      <x:c r="E261" t="str">
        <x:v>Accuracy Assessment</x:v>
      </x:c>
      <x:c r="F261" t="str">
        <x:v>HD Seaviewer Drop Camera</x:v>
      </x:c>
      <x:c r="G261" t="str">
        <x:v>AA2017_275</x:v>
      </x:c>
      <x:c r="H261" s="28" t="n">
        <x:v>42776</x:v>
      </x:c>
      <x:c r="I261" t="str">
        <x:v>07:57:29</x:v>
      </x:c>
      <x:c r="J261" t="n">
        <x:v>2017</x:v>
      </x:c>
      <x:c r="K261" t="n">
        <x:v>18.2000781</x:v>
      </x:c>
      <x:c r="L261" t="n">
        <x:v>-64.81320495</x:v>
      </x:c>
      <x:c r="M261" t="n">
        <x:v>55.871</x:v>
      </x:c>
      <x:c r="N261" t="str">
        <x:v>https://nccospublicstor.blob.core.windows.net/biomapper/usviinsularshelf2017/videos/low/AA2017_275.mp4</x:v>
      </x:c>
      <x:c r="O261" t="n">
        <x:v>0</x:v>
      </x:c>
      <x:c r="P261" t="n">
        <x:v>1</x:v>
      </x:c>
      <x:c r="Q261" t="n">
        <x:v>1</x:v>
      </x:c>
      <x:c r="R261" t="n">
        <x:v>0</x:v>
      </x:c>
      <x:c r="S261" t="n">
        <x:v>1</x:v>
      </x:c>
      <x:c r="T261" t="n">
        <x:v>0</x:v>
      </x:c>
      <x:c r="U261" t="n">
        <x:v>0</x:v>
      </x:c>
      <x:c r="V261" t="n">
        <x:v>1</x:v>
      </x:c>
      <x:c r="W261" t="n">
        <x:v>0</x:v>
      </x:c>
      <x:c r="X261" t="n">
        <x:v>0</x:v>
      </x:c>
      <x:c r="Y261" t="n">
        <x:v>0</x:v>
      </x:c>
      <x:c r="Z261" t="n">
        <x:v>2</x:v>
      </x:c>
      <x:c r="AA261" t="n">
        <x:v>2</x:v>
      </x:c>
      <x:c r="AB261" t="str">
        <x:v>Pass</x:v>
      </x:c>
      <x:c r="AC261" t="str"/>
      <x:c r="AD261" t="str"/>
    </x:row>
    <x:row r="262">
      <x:c r="A262" t="str">
        <x:v>REC0261</x:v>
      </x:c>
      <x:c r="B262" t="n">
        <x:v>260</x:v>
      </x:c>
      <x:c r="C262" t="str">
        <x:v>St. Thomas, USVI</x:v>
      </x:c>
      <x:c r="D262" t="str">
        <x:v>AA</x:v>
      </x:c>
      <x:c r="E262" t="str">
        <x:v>Accuracy Assessment</x:v>
      </x:c>
      <x:c r="F262" t="str">
        <x:v>HD Seaviewer Drop Camera</x:v>
      </x:c>
      <x:c r="G262" t="str">
        <x:v>AA2017_277</x:v>
      </x:c>
      <x:c r="H262" s="28" t="n">
        <x:v>42776</x:v>
      </x:c>
      <x:c r="I262" t="str">
        <x:v>07:49:08</x:v>
      </x:c>
      <x:c r="J262" t="n">
        <x:v>2017</x:v>
      </x:c>
      <x:c r="K262" t="n">
        <x:v>18.19292916</x:v>
      </x:c>
      <x:c r="L262" t="n">
        <x:v>-64.81235308</x:v>
      </x:c>
      <x:c r="M262" t="n">
        <x:v>52.948</x:v>
      </x:c>
      <x:c r="N262" t="str">
        <x:v>https://nccospublicstor.blob.core.windows.net/biomapper/usviinsularshelf2017/videos/low/AA2017_277.mp4</x:v>
      </x:c>
      <x:c r="O262" t="n">
        <x:v>0</x:v>
      </x:c>
      <x:c r="P262" t="n">
        <x:v>1</x:v>
      </x:c>
      <x:c r="Q262" t="n">
        <x:v>1</x:v>
      </x:c>
      <x:c r="R262" t="n">
        <x:v>0</x:v>
      </x:c>
      <x:c r="S262" t="n">
        <x:v>1</x:v>
      </x:c>
      <x:c r="T262" t="n">
        <x:v>0</x:v>
      </x:c>
      <x:c r="U262" t="n">
        <x:v>0</x:v>
      </x:c>
      <x:c r="V262" t="n">
        <x:v>1</x:v>
      </x:c>
      <x:c r="W262" t="n">
        <x:v>0</x:v>
      </x:c>
      <x:c r="X262" t="n">
        <x:v>0</x:v>
      </x:c>
      <x:c r="Y262" t="n">
        <x:v>0</x:v>
      </x:c>
      <x:c r="Z262" t="n">
        <x:v>2</x:v>
      </x:c>
      <x:c r="AA262" t="n">
        <x:v>2</x:v>
      </x:c>
      <x:c r="AB262" t="str">
        <x:v>Pass</x:v>
      </x:c>
      <x:c r="AC262" t="str"/>
      <x:c r="AD262" t="str">
        <x:v>macroalgae almost &gt;20%</x:v>
      </x:c>
    </x:row>
    <x:row r="263">
      <x:c r="A263" t="str">
        <x:v>REC0262</x:v>
      </x:c>
      <x:c r="B263" t="n">
        <x:v>261</x:v>
      </x:c>
      <x:c r="C263" t="str">
        <x:v>St. Thomas, USVI</x:v>
      </x:c>
      <x:c r="D263" t="str">
        <x:v>AA</x:v>
      </x:c>
      <x:c r="E263" t="str">
        <x:v>Accuracy Assessment</x:v>
      </x:c>
      <x:c r="F263" t="str">
        <x:v>HD Seaviewer Drop Camera</x:v>
      </x:c>
      <x:c r="G263" t="str">
        <x:v>AA2017_278</x:v>
      </x:c>
      <x:c r="H263" s="28" t="n">
        <x:v>42772</x:v>
      </x:c>
      <x:c r="I263" t="str">
        <x:v>12:52:24</x:v>
      </x:c>
      <x:c r="J263" t="n">
        <x:v>2017</x:v>
      </x:c>
      <x:c r="K263" t="n">
        <x:v>18.29019238</x:v>
      </x:c>
      <x:c r="L263" t="n">
        <x:v>-64.8129217</x:v>
      </x:c>
      <x:c r="M263" t="n">
        <x:v>26.071</x:v>
      </x:c>
      <x:c r="N263" t="str">
        <x:v>https://nccospublicstor.blob.core.windows.net/biomapper/usviinsularshelf2017/videos/low/AA2017_278.mp4</x:v>
      </x:c>
      <x:c r="O263" t="n">
        <x:v>0</x:v>
      </x:c>
      <x:c r="P263" t="n">
        <x:v>0</x:v>
      </x:c>
      <x:c r="Q263" t="n">
        <x:v>1</x:v>
      </x:c>
      <x:c r="R263" t="n">
        <x:v>0</x:v>
      </x:c>
      <x:c r="S263" t="n">
        <x:v>0</x:v>
      </x:c>
      <x:c r="T263" t="n">
        <x:v>0</x:v>
      </x:c>
      <x:c r="U263" t="n">
        <x:v>1</x:v>
      </x:c>
      <x:c r="V263" t="n">
        <x:v>1</x:v>
      </x:c>
      <x:c r="W263" t="n">
        <x:v>0</x:v>
      </x:c>
      <x:c r="X263" t="n">
        <x:v>0</x:v>
      </x:c>
      <x:c r="Y263" t="n">
        <x:v>0</x:v>
      </x:c>
      <x:c r="Z263" t="n">
        <x:v>1</x:v>
      </x:c>
      <x:c r="AA263" t="n">
        <x:v>2</x:v>
      </x:c>
      <x:c r="AB263" t="str">
        <x:v>Pass</x:v>
      </x:c>
      <x:c r="AC263" t="str"/>
      <x:c r="AD263" t="str"/>
    </x:row>
    <x:row r="264">
      <x:c r="A264" t="str">
        <x:v>REC0263</x:v>
      </x:c>
      <x:c r="B264" t="n">
        <x:v>262</x:v>
      </x:c>
      <x:c r="C264" t="str">
        <x:v>St. Thomas, USVI</x:v>
      </x:c>
      <x:c r="D264" t="str">
        <x:v>AA</x:v>
      </x:c>
      <x:c r="E264" t="str">
        <x:v>Accuracy Assessment</x:v>
      </x:c>
      <x:c r="F264" t="str">
        <x:v>HD Seaviewer Drop Camera</x:v>
      </x:c>
      <x:c r="G264" t="str">
        <x:v>AA2017_279</x:v>
      </x:c>
      <x:c r="H264" s="28" t="n">
        <x:v>42775</x:v>
      </x:c>
      <x:c r="I264" t="str">
        <x:v>08:54:23</x:v>
      </x:c>
      <x:c r="J264" t="n">
        <x:v>2017</x:v>
      </x:c>
      <x:c r="K264" t="n">
        <x:v>18.25372513</x:v>
      </x:c>
      <x:c r="L264" t="n">
        <x:v>-64.81223381</x:v>
      </x:c>
      <x:c r="M264" t="n">
        <x:v>42.752</x:v>
      </x:c>
      <x:c r="N264" t="str">
        <x:v>https://nccospublicstor.blob.core.windows.net/biomapper/usviinsularshelf2017/videos/low/AA2017_279.mp4</x:v>
      </x:c>
      <x:c r="O264" t="n">
        <x:v>0</x:v>
      </x:c>
      <x:c r="P264" t="n">
        <x:v>0</x:v>
      </x:c>
      <x:c r="Q264" t="n">
        <x:v>1</x:v>
      </x:c>
      <x:c r="R264" t="n">
        <x:v>0</x:v>
      </x:c>
      <x:c r="S264" t="n">
        <x:v>0</x:v>
      </x:c>
      <x:c r="T264" t="n">
        <x:v>0</x:v>
      </x:c>
      <x:c r="U264" t="n">
        <x:v>1</x:v>
      </x:c>
      <x:c r="V264" t="n">
        <x:v>1</x:v>
      </x:c>
      <x:c r="W264" t="n">
        <x:v>0</x:v>
      </x:c>
      <x:c r="X264" t="n">
        <x:v>0</x:v>
      </x:c>
      <x:c r="Y264" t="n">
        <x:v>0</x:v>
      </x:c>
      <x:c r="Z264" t="n">
        <x:v>1</x:v>
      </x:c>
      <x:c r="AA264" t="n">
        <x:v>2</x:v>
      </x:c>
      <x:c r="AB264" t="str">
        <x:v>Pass</x:v>
      </x:c>
      <x:c r="AC264" t="str"/>
      <x:c r="AD264" t="str"/>
    </x:row>
    <x:row r="265">
      <x:c r="A265" t="str">
        <x:v>REC0264</x:v>
      </x:c>
      <x:c r="B265" t="n">
        <x:v>263</x:v>
      </x:c>
      <x:c r="C265" t="str">
        <x:v>St. John, USVI</x:v>
      </x:c>
      <x:c r="D265" t="str">
        <x:v>AA</x:v>
      </x:c>
      <x:c r="E265" t="str">
        <x:v>Accuracy Assessment</x:v>
      </x:c>
      <x:c r="F265" t="str">
        <x:v>HD Seaviewer Drop Camera</x:v>
      </x:c>
      <x:c r="G265" t="str">
        <x:v>AA2017_280</x:v>
      </x:c>
      <x:c r="H265" s="28" t="n">
        <x:v>42775</x:v>
      </x:c>
      <x:c r="I265" t="str">
        <x:v>08:47:28</x:v>
      </x:c>
      <x:c r="J265" t="n">
        <x:v>2017</x:v>
      </x:c>
      <x:c r="K265" t="n">
        <x:v>18.25886468</x:v>
      </x:c>
      <x:c r="L265" t="n">
        <x:v>-64.8090015</x:v>
      </x:c>
      <x:c r="M265" t="n">
        <x:v>39.701</x:v>
      </x:c>
      <x:c r="N265" t="str">
        <x:v>https://nccospublicstor.blob.core.windows.net/biomapper/usviinsularshelf2017/videos/low/AA2017_280.mp4</x:v>
      </x:c>
      <x:c r="O265" t="n">
        <x:v>0</x:v>
      </x:c>
      <x:c r="P265" t="n">
        <x:v>0</x:v>
      </x:c>
      <x:c r="Q265" t="n">
        <x:v>1</x:v>
      </x:c>
      <x:c r="R265" t="n">
        <x:v>0</x:v>
      </x:c>
      <x:c r="S265" t="n">
        <x:v>0</x:v>
      </x:c>
      <x:c r="T265" t="n">
        <x:v>0</x:v>
      </x:c>
      <x:c r="U265" t="n">
        <x:v>1</x:v>
      </x:c>
      <x:c r="V265" t="n">
        <x:v>1</x:v>
      </x:c>
      <x:c r="W265" t="n">
        <x:v>0</x:v>
      </x:c>
      <x:c r="X265" t="n">
        <x:v>0</x:v>
      </x:c>
      <x:c r="Y265" t="n">
        <x:v>0</x:v>
      </x:c>
      <x:c r="Z265" t="n">
        <x:v>1</x:v>
      </x:c>
      <x:c r="AA265" t="n">
        <x:v>2</x:v>
      </x:c>
      <x:c r="AB265" t="str">
        <x:v>Pass</x:v>
      </x:c>
      <x:c r="AC265" t="str"/>
      <x:c r="AD265" t="str"/>
    </x:row>
    <x:row r="266">
      <x:c r="A266" t="str">
        <x:v>REC0265</x:v>
      </x:c>
      <x:c r="B266" t="n">
        <x:v>264</x:v>
      </x:c>
      <x:c r="C266" t="str">
        <x:v>St. John, USVI</x:v>
      </x:c>
      <x:c r="D266" t="str">
        <x:v>AA</x:v>
      </x:c>
      <x:c r="E266" t="str">
        <x:v>Accuracy Assessment</x:v>
      </x:c>
      <x:c r="F266" t="str">
        <x:v>HD Seaviewer Drop Camera</x:v>
      </x:c>
      <x:c r="G266" t="str">
        <x:v>AA2017_281</x:v>
      </x:c>
      <x:c r="H266" s="28" t="n">
        <x:v>42772</x:v>
      </x:c>
      <x:c r="I266" t="str">
        <x:v>13:06:56</x:v>
      </x:c>
      <x:c r="J266" t="n">
        <x:v>2017</x:v>
      </x:c>
      <x:c r="K266" t="n">
        <x:v>18.27411192</x:v>
      </x:c>
      <x:c r="L266" t="n">
        <x:v>-64.80965509</x:v>
      </x:c>
      <x:c r="M266" t="n">
        <x:v>34.673</x:v>
      </x:c>
      <x:c r="N266" t="str">
        <x:v>https://nccospublicstor.blob.core.windows.net/biomapper/usviinsularshelf2017/videos/low/AA2017_281.mp4</x:v>
      </x:c>
      <x:c r="O266" t="n">
        <x:v>0</x:v>
      </x:c>
      <x:c r="P266" t="n">
        <x:v>0</x:v>
      </x:c>
      <x:c r="Q266" t="n">
        <x:v>1</x:v>
      </x:c>
      <x:c r="R266" t="n">
        <x:v>0</x:v>
      </x:c>
      <x:c r="S266" t="n">
        <x:v>0</x:v>
      </x:c>
      <x:c r="T266" t="n">
        <x:v>0</x:v>
      </x:c>
      <x:c r="U266" t="n">
        <x:v>1</x:v>
      </x:c>
      <x:c r="V266" t="n">
        <x:v>1</x:v>
      </x:c>
      <x:c r="W266" t="n">
        <x:v>0</x:v>
      </x:c>
      <x:c r="X266" t="n">
        <x:v>0</x:v>
      </x:c>
      <x:c r="Y266" t="n">
        <x:v>0</x:v>
      </x:c>
      <x:c r="Z266" t="n">
        <x:v>1</x:v>
      </x:c>
      <x:c r="AA266" t="n">
        <x:v>2</x:v>
      </x:c>
      <x:c r="AB266" t="str">
        <x:v>Pass</x:v>
      </x:c>
      <x:c r="AC266" t="str"/>
      <x:c r="AD266" t="str"/>
    </x:row>
    <x:row r="267">
      <x:c r="A267" t="str">
        <x:v>REC0266</x:v>
      </x:c>
      <x:c r="B267" t="n">
        <x:v>265</x:v>
      </x:c>
      <x:c r="C267" t="str">
        <x:v>St. John, USVI</x:v>
      </x:c>
      <x:c r="D267" t="str">
        <x:v>AA</x:v>
      </x:c>
      <x:c r="E267" t="str">
        <x:v>Accuracy Assessment</x:v>
      </x:c>
      <x:c r="F267" t="str">
        <x:v>HD Seaviewer Drop Camera</x:v>
      </x:c>
      <x:c r="G267" t="str">
        <x:v>AA2017_282</x:v>
      </x:c>
      <x:c r="H267" s="28" t="n">
        <x:v>42775</x:v>
      </x:c>
      <x:c r="I267" t="str">
        <x:v>08:23:12</x:v>
      </x:c>
      <x:c r="J267" t="n">
        <x:v>2017</x:v>
      </x:c>
      <x:c r="K267" t="n">
        <x:v>18.24002346</x:v>
      </x:c>
      <x:c r="L267" t="n">
        <x:v>-64.80793504</x:v>
      </x:c>
      <x:c r="M267" t="n">
        <x:v>47.394</x:v>
      </x:c>
      <x:c r="N267" t="str">
        <x:v>https://nccospublicstor.blob.core.windows.net/biomapper/usviinsularshelf2017/videos/low/AA2017_282.mp4</x:v>
      </x:c>
      <x:c r="O267" t="n">
        <x:v>0</x:v>
      </x:c>
      <x:c r="P267" t="n">
        <x:v>0</x:v>
      </x:c>
      <x:c r="Q267" t="n">
        <x:v>1</x:v>
      </x:c>
      <x:c r="R267" t="n">
        <x:v>0</x:v>
      </x:c>
      <x:c r="S267" t="n">
        <x:v>0</x:v>
      </x:c>
      <x:c r="T267" t="n">
        <x:v>0</x:v>
      </x:c>
      <x:c r="U267" t="n">
        <x:v>1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1</x:v>
      </x:c>
      <x:c r="AA267" t="n">
        <x:v>1</x:v>
      </x:c>
      <x:c r="AB267" t="str">
        <x:v>Pass</x:v>
      </x:c>
      <x:c r="AC267" t="str"/>
      <x:c r="AD267" t="str"/>
    </x:row>
    <x:row r="268">
      <x:c r="A268" t="str">
        <x:v>REC0267</x:v>
      </x:c>
      <x:c r="B268" t="n">
        <x:v>266</x:v>
      </x:c>
      <x:c r="C268" t="str">
        <x:v>St. John, USVI</x:v>
      </x:c>
      <x:c r="D268" t="str">
        <x:v>AA</x:v>
      </x:c>
      <x:c r="E268" t="str">
        <x:v>Accuracy Assessment</x:v>
      </x:c>
      <x:c r="F268" t="str">
        <x:v>HD Seaviewer Drop Camera</x:v>
      </x:c>
      <x:c r="G268" t="str">
        <x:v>AA2017_283</x:v>
      </x:c>
      <x:c r="H268" s="28" t="n">
        <x:v>42772</x:v>
      </x:c>
      <x:c r="I268" t="str">
        <x:v>13:01:16</x:v>
      </x:c>
      <x:c r="J268" t="n">
        <x:v>2017</x:v>
      </x:c>
      <x:c r="K268" t="n">
        <x:v>18.28000122</x:v>
      </x:c>
      <x:c r="L268" t="n">
        <x:v>-64.80776526</x:v>
      </x:c>
      <x:c r="M268" t="n">
        <x:v>32.581</x:v>
      </x:c>
      <x:c r="N268" t="str">
        <x:v>https://nccospublicstor.blob.core.windows.net/biomapper/usviinsularshelf2017/videos/low/AA2017_283.mp4</x:v>
      </x:c>
      <x:c r="O268" t="n">
        <x:v>0</x:v>
      </x:c>
      <x:c r="P268" t="n">
        <x:v>0</x:v>
      </x:c>
      <x:c r="Q268" t="n">
        <x:v>1</x:v>
      </x:c>
      <x:c r="R268" t="n">
        <x:v>0</x:v>
      </x:c>
      <x:c r="S268" t="n">
        <x:v>0</x:v>
      </x:c>
      <x:c r="T268" t="n">
        <x:v>0</x:v>
      </x:c>
      <x:c r="U268" t="n">
        <x:v>1</x:v>
      </x:c>
      <x:c r="V268" t="n">
        <x:v>1</x:v>
      </x:c>
      <x:c r="W268" t="n">
        <x:v>0</x:v>
      </x:c>
      <x:c r="X268" t="n">
        <x:v>0</x:v>
      </x:c>
      <x:c r="Y268" t="n">
        <x:v>0</x:v>
      </x:c>
      <x:c r="Z268" t="n">
        <x:v>1</x:v>
      </x:c>
      <x:c r="AA268" t="n">
        <x:v>2</x:v>
      </x:c>
      <x:c r="AB268" t="str">
        <x:v>Pass</x:v>
      </x:c>
      <x:c r="AC268" t="str"/>
      <x:c r="AD268" t="str">
        <x:v>honecomb cowfish at 00:29</x:v>
      </x:c>
    </x:row>
    <x:row r="269">
      <x:c r="A269" t="str">
        <x:v>REC0268</x:v>
      </x:c>
      <x:c r="B269" t="n">
        <x:v>267</x:v>
      </x:c>
      <x:c r="C269" t="str">
        <x:v>St. John, USVI</x:v>
      </x:c>
      <x:c r="D269" t="str">
        <x:v>AA</x:v>
      </x:c>
      <x:c r="E269" t="str">
        <x:v>Accuracy Assessment</x:v>
      </x:c>
      <x:c r="F269" t="str">
        <x:v>HD Seaviewer Drop Camera</x:v>
      </x:c>
      <x:c r="G269" t="str">
        <x:v>AA2017_284</x:v>
      </x:c>
      <x:c r="H269" s="28" t="n">
        <x:v>42775</x:v>
      </x:c>
      <x:c r="I269" t="str">
        <x:v>08:31:48</x:v>
      </x:c>
      <x:c r="J269" t="n">
        <x:v>2017</x:v>
      </x:c>
      <x:c r="K269" t="n">
        <x:v>18.24948539</x:v>
      </x:c>
      <x:c r="L269" t="n">
        <x:v>-64.80581532</x:v>
      </x:c>
      <x:c r="M269" t="n">
        <x:v>43.228</x:v>
      </x:c>
      <x:c r="N269" t="str">
        <x:v>https://nccospublicstor.blob.core.windows.net/biomapper/usviinsularshelf2017/videos/low/AA2017_284.mp4</x:v>
      </x:c>
      <x:c r="O269" t="n">
        <x:v>0</x:v>
      </x:c>
      <x:c r="P269" t="n">
        <x:v>0</x:v>
      </x:c>
      <x:c r="Q269" t="n">
        <x:v>1</x:v>
      </x:c>
      <x:c r="R269" t="n">
        <x:v>1</x:v>
      </x:c>
      <x:c r="S269" t="n">
        <x:v>0</x:v>
      </x:c>
      <x:c r="T269" t="n">
        <x:v>0</x:v>
      </x:c>
      <x:c r="U269" t="n">
        <x:v>1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2</x:v>
      </x:c>
      <x:c r="AA269" t="n">
        <x:v>1</x:v>
      </x:c>
      <x:c r="AB269" t="str">
        <x:v>Pass</x:v>
      </x:c>
      <x:c r="AC269" t="str"/>
      <x:c r="AD269" t="str"/>
    </x:row>
    <x:row r="270">
      <x:c r="A270" t="str">
        <x:v>REC0269</x:v>
      </x:c>
      <x:c r="B270" t="n">
        <x:v>268</x:v>
      </x:c>
      <x:c r="C270" t="str">
        <x:v>St. John, USVI</x:v>
      </x:c>
      <x:c r="D270" t="str">
        <x:v>AA</x:v>
      </x:c>
      <x:c r="E270" t="str">
        <x:v>Accuracy Assessment</x:v>
      </x:c>
      <x:c r="F270" t="str">
        <x:v>HD Seaviewer Drop Camera</x:v>
      </x:c>
      <x:c r="G270" t="str">
        <x:v>AA2017_285</x:v>
      </x:c>
      <x:c r="H270" s="28" t="n">
        <x:v>42776</x:v>
      </x:c>
      <x:c r="I270" t="str">
        <x:v>07:41:45</x:v>
      </x:c>
      <x:c r="J270" t="n">
        <x:v>2017</x:v>
      </x:c>
      <x:c r="K270" t="n">
        <x:v>18.19501266</x:v>
      </x:c>
      <x:c r="L270" t="n">
        <x:v>-64.80379451</x:v>
      </x:c>
      <x:c r="M270" t="n">
        <x:v>58.214</x:v>
      </x:c>
      <x:c r="N270" t="str">
        <x:v>https://nccospublicstor.blob.core.windows.net/biomapper/usviinsularshelf2017/videos/low/AA2017_285.mp4</x:v>
      </x:c>
      <x:c r="O270" t="n">
        <x:v>0</x:v>
      </x:c>
      <x:c r="P270" t="n">
        <x:v>1</x:v>
      </x:c>
      <x:c r="Q270" t="n">
        <x:v>1</x:v>
      </x:c>
      <x:c r="R270" t="n">
        <x:v>0</x:v>
      </x:c>
      <x:c r="S270" t="n">
        <x:v>1</x:v>
      </x:c>
      <x:c r="T270" t="n">
        <x:v>0</x:v>
      </x:c>
      <x:c r="U270" t="n">
        <x:v>0</x:v>
      </x:c>
      <x:c r="V270" t="n">
        <x:v>1</x:v>
      </x:c>
      <x:c r="W270" t="n">
        <x:v>0</x:v>
      </x:c>
      <x:c r="X270" t="n">
        <x:v>0</x:v>
      </x:c>
      <x:c r="Y270" t="n">
        <x:v>0</x:v>
      </x:c>
      <x:c r="Z270" t="n">
        <x:v>2</x:v>
      </x:c>
      <x:c r="AA270" t="n">
        <x:v>2</x:v>
      </x:c>
      <x:c r="AB270" t="str">
        <x:v>Pass</x:v>
      </x:c>
      <x:c r="AC270" t="str"/>
      <x:c r="AD270" t="str"/>
    </x:row>
    <x:row r="271">
      <x:c r="A271" t="str">
        <x:v>REC0270</x:v>
      </x:c>
      <x:c r="B271" t="n">
        <x:v>269</x:v>
      </x:c>
      <x:c r="C271" t="str">
        <x:v>St. John, USVI</x:v>
      </x:c>
      <x:c r="D271" t="str">
        <x:v>AA</x:v>
      </x:c>
      <x:c r="E271" t="str">
        <x:v>Accuracy Assessment</x:v>
      </x:c>
      <x:c r="F271" t="str">
        <x:v>HD Seaviewer Drop Camera</x:v>
      </x:c>
      <x:c r="G271" t="str">
        <x:v>AA2017_286</x:v>
      </x:c>
      <x:c r="H271" s="28" t="n">
        <x:v>42775</x:v>
      </x:c>
      <x:c r="I271" t="str">
        <x:v>08:40:51</x:v>
      </x:c>
      <x:c r="J271" t="n">
        <x:v>2017</x:v>
      </x:c>
      <x:c r="K271" t="n">
        <x:v>18.26206531</x:v>
      </x:c>
      <x:c r="L271" t="n">
        <x:v>-64.80316043</x:v>
      </x:c>
      <x:c r="M271" t="n">
        <x:v>28.817</x:v>
      </x:c>
      <x:c r="N271" t="str">
        <x:v>https://nccospublicstor.blob.core.windows.net/biomapper/usviinsularshelf2017/videos/low/AA2017_286.mp4</x:v>
      </x:c>
      <x:c r="O271" t="n">
        <x:v>0</x:v>
      </x:c>
      <x:c r="P271" t="n">
        <x:v>1</x:v>
      </x:c>
      <x:c r="Q271" t="n">
        <x:v>0</x:v>
      </x:c>
      <x:c r="R271" t="n">
        <x:v>0</x:v>
      </x:c>
      <x:c r="S271" t="n">
        <x:v>1</x:v>
      </x:c>
      <x:c r="T271" t="n">
        <x:v>0</x:v>
      </x:c>
      <x:c r="U271" t="n">
        <x:v>1</x:v>
      </x:c>
      <x:c r="V271" t="n">
        <x:v>1</x:v>
      </x:c>
      <x:c r="W271" t="n">
        <x:v>0</x:v>
      </x:c>
      <x:c r="X271" t="n">
        <x:v>0</x:v>
      </x:c>
      <x:c r="Y271" t="n">
        <x:v>0</x:v>
      </x:c>
      <x:c r="Z271" t="n">
        <x:v>1</x:v>
      </x:c>
      <x:c r="AA271" t="n">
        <x:v>3</x:v>
      </x:c>
      <x:c r="AB271" t="str">
        <x:v>Pass</x:v>
      </x:c>
      <x:c r="AC271" t="str"/>
      <x:c r="AD271" t="str">
        <x:v>textbook pavement</x:v>
      </x:c>
    </x:row>
    <x:row r="272">
      <x:c r="A272" t="str">
        <x:v>REC0271</x:v>
      </x:c>
      <x:c r="B272" t="n">
        <x:v>270</x:v>
      </x:c>
      <x:c r="C272" t="str">
        <x:v>St. John, USVI</x:v>
      </x:c>
      <x:c r="D272" t="str">
        <x:v>AA</x:v>
      </x:c>
      <x:c r="E272" t="str">
        <x:v>Accuracy Assessment</x:v>
      </x:c>
      <x:c r="F272" t="str">
        <x:v>HD Seaviewer Drop Camera</x:v>
      </x:c>
      <x:c r="G272" t="str">
        <x:v>AA2017_287</x:v>
      </x:c>
      <x:c r="H272" s="28" t="n">
        <x:v>42775</x:v>
      </x:c>
      <x:c r="I272" t="str">
        <x:v>08:00:56</x:v>
      </x:c>
      <x:c r="J272" t="n">
        <x:v>2017</x:v>
      </x:c>
      <x:c r="K272" t="n">
        <x:v>18.21888757</x:v>
      </x:c>
      <x:c r="L272" t="n">
        <x:v>-64.79980516</x:v>
      </x:c>
      <x:c r="M272" t="n">
        <x:v>52.319</x:v>
      </x:c>
      <x:c r="N272" t="str">
        <x:v>https://nccospublicstor.blob.core.windows.net/biomapper/usviinsularshelf2017/videos/low/AA2017_287.mp4</x:v>
      </x:c>
      <x:c r="O272" t="n">
        <x:v>0</x:v>
      </x:c>
      <x:c r="P272" t="n">
        <x:v>1</x:v>
      </x:c>
      <x:c r="Q272" t="n">
        <x:v>1</x:v>
      </x:c>
      <x:c r="R272" t="n">
        <x:v>0</x:v>
      </x:c>
      <x:c r="S272" t="n">
        <x:v>1</x:v>
      </x:c>
      <x:c r="T272" t="n">
        <x:v>0</x:v>
      </x:c>
      <x:c r="U272" t="n">
        <x:v>1</x:v>
      </x:c>
      <x:c r="V272" t="n">
        <x:v>1</x:v>
      </x:c>
      <x:c r="W272" t="n">
        <x:v>0</x:v>
      </x:c>
      <x:c r="X272" t="n">
        <x:v>0</x:v>
      </x:c>
      <x:c r="Y272" t="n">
        <x:v>0</x:v>
      </x:c>
      <x:c r="Z272" t="n">
        <x:v>2</x:v>
      </x:c>
      <x:c r="AA272" t="n">
        <x:v>3</x:v>
      </x:c>
      <x:c r="AB272" t="str">
        <x:v>Pass</x:v>
      </x:c>
      <x:c r="AC272" t="str"/>
      <x:c r="AD272" t="str">
        <x:v>macroalgae just &gt;20%, mostly uncolonized rhodo</x:v>
      </x:c>
    </x:row>
    <x:row r="273">
      <x:c r="A273" t="str">
        <x:v>REC0272</x:v>
      </x:c>
      <x:c r="B273" t="n">
        <x:v>271</x:v>
      </x:c>
      <x:c r="C273" t="str">
        <x:v>St. John, USVI</x:v>
      </x:c>
      <x:c r="D273" t="str">
        <x:v>AA</x:v>
      </x:c>
      <x:c r="E273" t="str">
        <x:v>Accuracy Assessment</x:v>
      </x:c>
      <x:c r="F273" t="str">
        <x:v>HD Seaviewer Drop Camera</x:v>
      </x:c>
      <x:c r="G273" t="str">
        <x:v>AA2017_288</x:v>
      </x:c>
      <x:c r="H273" s="28" t="n">
        <x:v>42775</x:v>
      </x:c>
      <x:c r="I273" t="str">
        <x:v>08:13:28</x:v>
      </x:c>
      <x:c r="J273" t="n">
        <x:v>2017</x:v>
      </x:c>
      <x:c r="K273" t="n">
        <x:v>18.24479041</x:v>
      </x:c>
      <x:c r="L273" t="n">
        <x:v>-64.80013457</x:v>
      </x:c>
      <x:c r="M273" t="n">
        <x:v>47.062</x:v>
      </x:c>
      <x:c r="N273" t="str">
        <x:v>https://nccospublicstor.blob.core.windows.net/biomapper/usviinsularshelf2017/videos/low/AA2017_288.mp4</x:v>
      </x:c>
      <x:c r="O273" t="n">
        <x:v>0</x:v>
      </x:c>
      <x:c r="P273" t="n">
        <x:v>0</x:v>
      </x:c>
      <x:c r="Q273" t="n">
        <x:v>1</x:v>
      </x:c>
      <x:c r="R273" t="n">
        <x:v>1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2</x:v>
      </x:c>
      <x:c r="AA273" t="n">
        <x:v>0</x:v>
      </x:c>
      <x:c r="AB273" t="str">
        <x:v>Pass</x:v>
      </x:c>
      <x:c r="AC273" t="str"/>
      <x:c r="AD273" t="str"/>
    </x:row>
    <x:row r="274">
      <x:c r="A274" t="str">
        <x:v>REC0273</x:v>
      </x:c>
      <x:c r="B274" t="n">
        <x:v>272</x:v>
      </x:c>
      <x:c r="C274" t="str">
        <x:v>St. John, USVI</x:v>
      </x:c>
      <x:c r="D274" t="str">
        <x:v>AA</x:v>
      </x:c>
      <x:c r="E274" t="str">
        <x:v>Accuracy Assessment</x:v>
      </x:c>
      <x:c r="F274" t="str">
        <x:v>HD Seaviewer Drop Camera</x:v>
      </x:c>
      <x:c r="G274" t="str">
        <x:v>AA2017_289</x:v>
      </x:c>
      <x:c r="H274" s="28" t="n">
        <x:v>42772</x:v>
      </x:c>
      <x:c r="I274" t="str">
        <x:v>12:44:29</x:v>
      </x:c>
      <x:c r="J274" t="n">
        <x:v>2017</x:v>
      </x:c>
      <x:c r="K274" t="n">
        <x:v>18.29216364</x:v>
      </x:c>
      <x:c r="L274" t="n">
        <x:v>-64.79392442</x:v>
      </x:c>
      <x:c r="M274" t="n">
        <x:v>30.184</x:v>
      </x:c>
      <x:c r="N274" t="str">
        <x:v>https://nccospublicstor.blob.core.windows.net/biomapper/usviinsularshelf2017/videos/low/AA2017_289.mp4</x:v>
      </x:c>
      <x:c r="O274" t="n">
        <x:v>0</x:v>
      </x:c>
      <x:c r="P274" t="n">
        <x:v>0</x:v>
      </x:c>
      <x:c r="Q274" t="n">
        <x:v>1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1</x:v>
      </x:c>
      <x:c r="W274" t="n">
        <x:v>0</x:v>
      </x:c>
      <x:c r="X274" t="n">
        <x:v>0</x:v>
      </x:c>
      <x:c r="Y274" t="n">
        <x:v>0</x:v>
      </x:c>
      <x:c r="Z274" t="n">
        <x:v>1</x:v>
      </x:c>
      <x:c r="AA274" t="n">
        <x:v>1</x:v>
      </x:c>
      <x:c r="AB274" t="str">
        <x:v>Pass</x:v>
      </x:c>
      <x:c r="AC274" t="str"/>
      <x:c r="AD274" t="str"/>
    </x:row>
    <x:row r="275">
      <x:c r="A275" t="str">
        <x:v>REC0274</x:v>
      </x:c>
      <x:c r="B275" t="n">
        <x:v>273</x:v>
      </x:c>
      <x:c r="C275" t="str">
        <x:v>St. John, USVI</x:v>
      </x:c>
      <x:c r="D275" t="str">
        <x:v>AA</x:v>
      </x:c>
      <x:c r="E275" t="str">
        <x:v>Accuracy Assessment</x:v>
      </x:c>
      <x:c r="F275" t="str">
        <x:v>HD Seaviewer Drop Camera</x:v>
      </x:c>
      <x:c r="G275" t="str">
        <x:v>AA2017_290</x:v>
      </x:c>
      <x:c r="H275" s="28" t="n">
        <x:v>42776</x:v>
      </x:c>
      <x:c r="I275" t="str">
        <x:v>07:29:01</x:v>
      </x:c>
      <x:c r="J275" t="n">
        <x:v>2017</x:v>
      </x:c>
      <x:c r="K275" t="n">
        <x:v>18.20589837</x:v>
      </x:c>
      <x:c r="L275" t="n">
        <x:v>-64.79206102</x:v>
      </x:c>
      <x:c r="M275" t="n">
        <x:v>54.742</x:v>
      </x:c>
      <x:c r="N275" t="str">
        <x:v>https://nccospublicstor.blob.core.windows.net/biomapper/usviinsularshelf2017/videos/low/AA2017_290.mp4</x:v>
      </x:c>
      <x:c r="O275" t="n">
        <x:v>0</x:v>
      </x:c>
      <x:c r="P275" t="n">
        <x:v>1</x:v>
      </x:c>
      <x:c r="Q275" t="n">
        <x:v>1</x:v>
      </x:c>
      <x:c r="R275" t="n">
        <x:v>0</x:v>
      </x:c>
      <x:c r="S275" t="n">
        <x:v>1</x:v>
      </x:c>
      <x:c r="T275" t="n">
        <x:v>0</x:v>
      </x:c>
      <x:c r="U275" t="n">
        <x:v>0</x:v>
      </x:c>
      <x:c r="V275" t="n">
        <x:v>1</x:v>
      </x:c>
      <x:c r="W275" t="n">
        <x:v>0</x:v>
      </x:c>
      <x:c r="X275" t="n">
        <x:v>0</x:v>
      </x:c>
      <x:c r="Y275" t="n">
        <x:v>0</x:v>
      </x:c>
      <x:c r="Z275" t="n">
        <x:v>2</x:v>
      </x:c>
      <x:c r="AA275" t="n">
        <x:v>2</x:v>
      </x:c>
      <x:c r="AB275" t="str">
        <x:v>Pass</x:v>
      </x:c>
      <x:c r="AC275" t="str"/>
      <x:c r="AD275" t="str"/>
    </x:row>
    <x:row r="276">
      <x:c r="A276" t="str">
        <x:v>REC0275</x:v>
      </x:c>
      <x:c r="B276" t="n">
        <x:v>274</x:v>
      </x:c>
      <x:c r="C276" t="str">
        <x:v>St. John, USVI</x:v>
      </x:c>
      <x:c r="D276" t="str">
        <x:v>AA</x:v>
      </x:c>
      <x:c r="E276" t="str">
        <x:v>Accuracy Assessment</x:v>
      </x:c>
      <x:c r="F276" t="str">
        <x:v>HD Seaviewer Drop Camera</x:v>
      </x:c>
      <x:c r="G276" t="str">
        <x:v>AA2017_291</x:v>
      </x:c>
      <x:c r="H276" s="28" t="n">
        <x:v>42775</x:v>
      </x:c>
      <x:c r="I276" t="str">
        <x:v>07:52:45</x:v>
      </x:c>
      <x:c r="J276" t="n">
        <x:v>2017</x:v>
      </x:c>
      <x:c r="K276" t="n">
        <x:v>18.22775666</x:v>
      </x:c>
      <x:c r="L276" t="n">
        <x:v>-64.79139972</x:v>
      </x:c>
      <x:c r="M276" t="n">
        <x:v>54.989</x:v>
      </x:c>
      <x:c r="N276" t="str">
        <x:v>https://nccospublicstor.blob.core.windows.net/biomapper/usviinsularshelf2017/videos/low/AA2017_291.mp4</x:v>
      </x:c>
      <x:c r="O276" t="n">
        <x:v>0</x:v>
      </x:c>
      <x:c r="P276" t="n">
        <x:v>0</x:v>
      </x:c>
      <x:c r="Q276" t="n">
        <x:v>1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1</x:v>
      </x:c>
      <x:c r="W276" t="n">
        <x:v>0</x:v>
      </x:c>
      <x:c r="X276" t="n">
        <x:v>0</x:v>
      </x:c>
      <x:c r="Y276" t="n">
        <x:v>0</x:v>
      </x:c>
      <x:c r="Z276" t="n">
        <x:v>1</x:v>
      </x:c>
      <x:c r="AA276" t="n">
        <x:v>1</x:v>
      </x:c>
      <x:c r="AB276" t="str">
        <x:v>Pass</x:v>
      </x:c>
      <x:c r="AC276" t="str"/>
      <x:c r="AD276" t="str">
        <x:v>macroalgae close to  &gt;20%</x:v>
      </x:c>
    </x:row>
    <x:row r="277">
      <x:c r="A277" t="str">
        <x:v>REC0276</x:v>
      </x:c>
      <x:c r="B277" t="n">
        <x:v>275</x:v>
      </x:c>
      <x:c r="C277" t="str">
        <x:v>St. John, USVI</x:v>
      </x:c>
      <x:c r="D277" t="str">
        <x:v>AA</x:v>
      </x:c>
      <x:c r="E277" t="str">
        <x:v>Accuracy Assessment</x:v>
      </x:c>
      <x:c r="F277" t="str">
        <x:v>HD Seaviewer Drop Camera</x:v>
      </x:c>
      <x:c r="G277" t="str">
        <x:v>AA2017_292</x:v>
      </x:c>
      <x:c r="H277" s="28" t="n">
        <x:v>42772</x:v>
      </x:c>
      <x:c r="I277" t="str">
        <x:v>12:30:27</x:v>
      </x:c>
      <x:c r="J277" t="n">
        <x:v>2017</x:v>
      </x:c>
      <x:c r="K277" t="n">
        <x:v>18.26494916</x:v>
      </x:c>
      <x:c r="L277" t="n">
        <x:v>-64.78663218</x:v>
      </x:c>
      <x:c r="M277" t="n">
        <x:v>42.212</x:v>
      </x:c>
      <x:c r="N277" t="str">
        <x:v>https://nccospublicstor.blob.core.windows.net/biomapper/usviinsularshelf2017/videos/low/AA2017_292.mp4</x:v>
      </x:c>
      <x:c r="O277" t="n">
        <x:v>0</x:v>
      </x:c>
      <x:c r="P277" t="n">
        <x:v>0</x:v>
      </x:c>
      <x:c r="Q277" t="n">
        <x:v>1</x:v>
      </x:c>
      <x:c r="R277" t="n">
        <x:v>0</x:v>
      </x:c>
      <x:c r="S277" t="n">
        <x:v>0</x:v>
      </x:c>
      <x:c r="T277" t="n">
        <x:v>0</x:v>
      </x:c>
      <x:c r="U277" t="n">
        <x:v>1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1</x:v>
      </x:c>
      <x:c r="AA277" t="n">
        <x:v>1</x:v>
      </x:c>
      <x:c r="AB277" t="str">
        <x:v>Pass</x:v>
      </x:c>
      <x:c r="AC277" t="str"/>
      <x:c r="AD277" t="str">
        <x:v>cyanobacteria mats</x:v>
      </x:c>
    </x:row>
    <x:row r="278">
      <x:c r="A278" t="str">
        <x:v>REC0277</x:v>
      </x:c>
      <x:c r="B278" t="n">
        <x:v>276</x:v>
      </x:c>
      <x:c r="C278" t="str">
        <x:v>St. John, USVI</x:v>
      </x:c>
      <x:c r="D278" t="str">
        <x:v>AA</x:v>
      </x:c>
      <x:c r="E278" t="str">
        <x:v>Accuracy Assessment</x:v>
      </x:c>
      <x:c r="F278" t="str">
        <x:v>HD Seaviewer Drop Camera</x:v>
      </x:c>
      <x:c r="G278" t="str">
        <x:v>AA2017_293</x:v>
      </x:c>
      <x:c r="H278" s="28" t="n">
        <x:v>42771</x:v>
      </x:c>
      <x:c r="I278" t="str">
        <x:v>07:59:21</x:v>
      </x:c>
      <x:c r="J278" t="n">
        <x:v>2017</x:v>
      </x:c>
      <x:c r="K278" t="n">
        <x:v>18.29456502</x:v>
      </x:c>
      <x:c r="L278" t="n">
        <x:v>-64.78494665</x:v>
      </x:c>
      <x:c r="M278" t="n">
        <x:v>27.902</x:v>
      </x:c>
      <x:c r="N278" t="str">
        <x:v>https://nccospublicstor.blob.core.windows.net/biomapper/usviinsularshelf2017/videos/low/AA2017_293.mp4</x:v>
      </x:c>
      <x:c r="O278" t="n">
        <x:v>0</x:v>
      </x:c>
      <x:c r="P278" t="n">
        <x:v>0</x:v>
      </x:c>
      <x:c r="Q278" t="n">
        <x:v>1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1</x:v>
      </x:c>
      <x:c r="W278" t="n">
        <x:v>0</x:v>
      </x:c>
      <x:c r="X278" t="n">
        <x:v>0</x:v>
      </x:c>
      <x:c r="Y278" t="n">
        <x:v>0</x:v>
      </x:c>
      <x:c r="Z278" t="n">
        <x:v>1</x:v>
      </x:c>
      <x:c r="AA278" t="n">
        <x:v>1</x:v>
      </x:c>
      <x:c r="AB278" t="str">
        <x:v>Pass</x:v>
      </x:c>
      <x:c r="AC278" t="str"/>
      <x:c r="AD278" t="str"/>
    </x:row>
    <x:row r="279">
      <x:c r="A279" t="str">
        <x:v>REC0278</x:v>
      </x:c>
      <x:c r="B279" t="n">
        <x:v>277</x:v>
      </x:c>
      <x:c r="C279" t="str">
        <x:v>St. John, USVI</x:v>
      </x:c>
      <x:c r="D279" t="str">
        <x:v>AA</x:v>
      </x:c>
      <x:c r="E279" t="str">
        <x:v>Accuracy Assessment</x:v>
      </x:c>
      <x:c r="F279" t="str">
        <x:v>HD Seaviewer Drop Camera</x:v>
      </x:c>
      <x:c r="G279" t="str">
        <x:v>AA2017_294</x:v>
      </x:c>
      <x:c r="H279" s="28" t="n">
        <x:v>42771</x:v>
      </x:c>
      <x:c r="I279" t="str">
        <x:v>14:59:43</x:v>
      </x:c>
      <x:c r="J279" t="n">
        <x:v>2017</x:v>
      </x:c>
      <x:c r="K279" t="n">
        <x:v>18.19726021</x:v>
      </x:c>
      <x:c r="L279" t="n">
        <x:v>-64.78408458</x:v>
      </x:c>
      <x:c r="M279" t="n">
        <x:v>56.743</x:v>
      </x:c>
      <x:c r="N279" t="str">
        <x:v>https://nccospublicstor.blob.core.windows.net/biomapper/usviinsularshelf2017/videos/low/AA2017_294.mp4</x:v>
      </x:c>
      <x:c r="O279" t="n">
        <x:v>0</x:v>
      </x:c>
      <x:c r="P279" t="n">
        <x:v>0</x:v>
      </x:c>
      <x:c r="Q279" t="n">
        <x:v>1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1</x:v>
      </x:c>
      <x:c r="W279" t="n">
        <x:v>0</x:v>
      </x:c>
      <x:c r="X279" t="n">
        <x:v>0</x:v>
      </x:c>
      <x:c r="Y279" t="n">
        <x:v>0</x:v>
      </x:c>
      <x:c r="Z279" t="n">
        <x:v>1</x:v>
      </x:c>
      <x:c r="AA279" t="n">
        <x:v>1</x:v>
      </x:c>
      <x:c r="AB279" t="str">
        <x:v>Pass</x:v>
      </x:c>
      <x:c r="AC279" t="str"/>
      <x:c r="AD279" t="str"/>
    </x:row>
    <x:row r="280">
      <x:c r="A280" t="str">
        <x:v>REC0279</x:v>
      </x:c>
      <x:c r="B280" t="n">
        <x:v>278</x:v>
      </x:c>
      <x:c r="C280" t="str">
        <x:v>St. John, USVI</x:v>
      </x:c>
      <x:c r="D280" t="str">
        <x:v>AA</x:v>
      </x:c>
      <x:c r="E280" t="str">
        <x:v>Accuracy Assessment</x:v>
      </x:c>
      <x:c r="F280" t="str">
        <x:v>HD Seaviewer Drop Camera</x:v>
      </x:c>
      <x:c r="G280" t="str">
        <x:v>AA2017_295</x:v>
      </x:c>
      <x:c r="H280" s="28" t="n">
        <x:v>42771</x:v>
      </x:c>
      <x:c r="I280" t="str">
        <x:v>14:51:12</x:v>
      </x:c>
      <x:c r="J280" t="n">
        <x:v>2017</x:v>
      </x:c>
      <x:c r="K280" t="n">
        <x:v>18.18367871</x:v>
      </x:c>
      <x:c r="L280" t="n">
        <x:v>-64.78095945</x:v>
      </x:c>
      <x:c r="M280" t="n">
        <x:v>45.566</x:v>
      </x:c>
      <x:c r="N280" t="str">
        <x:v>https://nccospublicstor.blob.core.windows.net/biomapper/usviinsularshelf2017/videos/low/AA2017_295.mp4</x:v>
      </x:c>
      <x:c r="O280" t="n">
        <x:v>0</x:v>
      </x:c>
      <x:c r="P280" t="n">
        <x:v>1</x:v>
      </x:c>
      <x:c r="Q280" t="n">
        <x:v>0</x:v>
      </x:c>
      <x:c r="R280" t="n">
        <x:v>0</x:v>
      </x:c>
      <x:c r="S280" t="n">
        <x:v>1</x:v>
      </x:c>
      <x:c r="T280" t="n">
        <x:v>0</x:v>
      </x:c>
      <x:c r="U280" t="n">
        <x:v>0</x:v>
      </x:c>
      <x:c r="V280" t="n">
        <x:v>1</x:v>
      </x:c>
      <x:c r="W280" t="n">
        <x:v>0</x:v>
      </x:c>
      <x:c r="X280" t="n">
        <x:v>0</x:v>
      </x:c>
      <x:c r="Y280" t="n">
        <x:v>0</x:v>
      </x:c>
      <x:c r="Z280" t="n">
        <x:v>1</x:v>
      </x:c>
      <x:c r="AA280" t="n">
        <x:v>2</x:v>
      </x:c>
      <x:c r="AB280" t="str">
        <x:v>Pass</x:v>
      </x:c>
      <x:c r="AC280" t="str"/>
      <x:c r="AD280" t="str">
        <x:v>textbook pavement</x:v>
      </x:c>
    </x:row>
    <x:row r="281">
      <x:c r="A281" t="str">
        <x:v>REC0280</x:v>
      </x:c>
      <x:c r="B281" t="n">
        <x:v>279</x:v>
      </x:c>
      <x:c r="C281" t="str">
        <x:v>St. John, USVI</x:v>
      </x:c>
      <x:c r="D281" t="str">
        <x:v>AA</x:v>
      </x:c>
      <x:c r="E281" t="str">
        <x:v>Accuracy Assessment</x:v>
      </x:c>
      <x:c r="F281" t="str">
        <x:v>HD Seaviewer Drop Camera</x:v>
      </x:c>
      <x:c r="G281" t="str">
        <x:v>AA2017_296</x:v>
      </x:c>
      <x:c r="H281" s="28" t="n">
        <x:v>42772</x:v>
      </x:c>
      <x:c r="I281" t="str">
        <x:v>11:44:35</x:v>
      </x:c>
      <x:c r="J281" t="n">
        <x:v>2017</x:v>
      </x:c>
      <x:c r="K281" t="n">
        <x:v>18.24554521</x:v>
      </x:c>
      <x:c r="L281" t="n">
        <x:v>-64.78075431</x:v>
      </x:c>
      <x:c r="M281" t="n">
        <x:v>46.589</x:v>
      </x:c>
      <x:c r="N281" t="str">
        <x:v>https://nccospublicstor.blob.core.windows.net/biomapper/usviinsularshelf2017/videos/low/AA2017_296.mp4</x:v>
      </x:c>
      <x:c r="O281" t="n">
        <x:v>0</x:v>
      </x:c>
      <x:c r="P281" t="n">
        <x:v>0</x:v>
      </x:c>
      <x:c r="Q281" t="n">
        <x:v>1</x:v>
      </x:c>
      <x:c r="R281" t="n">
        <x:v>0</x:v>
      </x:c>
      <x:c r="S281" t="n">
        <x:v>0</x:v>
      </x:c>
      <x:c r="T281" t="n">
        <x:v>0</x:v>
      </x:c>
      <x:c r="U281" t="n">
        <x:v>1</x:v>
      </x:c>
      <x:c r="V281" t="n">
        <x:v>1</x:v>
      </x:c>
      <x:c r="W281" t="n">
        <x:v>0</x:v>
      </x:c>
      <x:c r="X281" t="n">
        <x:v>0</x:v>
      </x:c>
      <x:c r="Y281" t="n">
        <x:v>0</x:v>
      </x:c>
      <x:c r="Z281" t="n">
        <x:v>1</x:v>
      </x:c>
      <x:c r="AA281" t="n">
        <x:v>2</x:v>
      </x:c>
      <x:c r="AB281" t="str">
        <x:v>Pass</x:v>
      </x:c>
      <x:c r="AC281" t="str"/>
      <x:c r="AD281" t="str"/>
    </x:row>
    <x:row r="282">
      <x:c r="A282" t="str">
        <x:v>REC0281</x:v>
      </x:c>
      <x:c r="B282" t="n">
        <x:v>280</x:v>
      </x:c>
      <x:c r="C282" t="str">
        <x:v>St. John, USVI</x:v>
      </x:c>
      <x:c r="D282" t="str">
        <x:v>AA</x:v>
      </x:c>
      <x:c r="E282" t="str">
        <x:v>Accuracy Assessment</x:v>
      </x:c>
      <x:c r="F282" t="str">
        <x:v>HD Seaviewer Drop Camera</x:v>
      </x:c>
      <x:c r="G282" t="str">
        <x:v>AA2017_297</x:v>
      </x:c>
      <x:c r="H282" s="28" t="n">
        <x:v>42772</x:v>
      </x:c>
      <x:c r="I282" t="str">
        <x:v>11:36:42</x:v>
      </x:c>
      <x:c r="J282" t="n">
        <x:v>2017</x:v>
      </x:c>
      <x:c r="K282" t="n">
        <x:v>18.2361569</x:v>
      </x:c>
      <x:c r="L282" t="n">
        <x:v>-64.77894186</x:v>
      </x:c>
      <x:c r="M282" t="n">
        <x:v>50.067</x:v>
      </x:c>
      <x:c r="N282" t="str">
        <x:v>https://nccospublicstor.blob.core.windows.net/biomapper/usviinsularshelf2017/videos/low/AA2017_297.mp4</x:v>
      </x:c>
      <x:c r="O282" t="n">
        <x:v>0</x:v>
      </x:c>
      <x:c r="P282" t="n">
        <x:v>0</x:v>
      </x:c>
      <x:c r="Q282" t="n">
        <x:v>1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1</x:v>
      </x:c>
      <x:c r="W282" t="n">
        <x:v>0</x:v>
      </x:c>
      <x:c r="X282" t="n">
        <x:v>0</x:v>
      </x:c>
      <x:c r="Y282" t="n">
        <x:v>0</x:v>
      </x:c>
      <x:c r="Z282" t="n">
        <x:v>1</x:v>
      </x:c>
      <x:c r="AA282" t="n">
        <x:v>1</x:v>
      </x:c>
      <x:c r="AB282" t="str">
        <x:v>Pass</x:v>
      </x:c>
      <x:c r="AC282" t="str"/>
      <x:c r="AD282" t="str">
        <x:v>trunkfish</x:v>
      </x:c>
    </x:row>
    <x:row r="283">
      <x:c r="A283" t="str">
        <x:v>REC0282</x:v>
      </x:c>
      <x:c r="B283" t="n">
        <x:v>281</x:v>
      </x:c>
      <x:c r="C283" t="str">
        <x:v>St. John, USVI</x:v>
      </x:c>
      <x:c r="D283" t="str">
        <x:v>AA</x:v>
      </x:c>
      <x:c r="E283" t="str">
        <x:v>Accuracy Assessment</x:v>
      </x:c>
      <x:c r="F283" t="str">
        <x:v>HD Seaviewer Drop Camera</x:v>
      </x:c>
      <x:c r="G283" t="str">
        <x:v>AA2017_298</x:v>
      </x:c>
      <x:c r="H283" s="28" t="n">
        <x:v>42772</x:v>
      </x:c>
      <x:c r="I283" t="str">
        <x:v>12:11:59</x:v>
      </x:c>
      <x:c r="J283" t="n">
        <x:v>2017</x:v>
      </x:c>
      <x:c r="K283" t="n">
        <x:v>18.27515265</x:v>
      </x:c>
      <x:c r="L283" t="n">
        <x:v>-64.77885871</x:v>
      </x:c>
      <x:c r="M283" t="n">
        <x:v>34.453</x:v>
      </x:c>
      <x:c r="N283" t="str">
        <x:v>https://nccospublicstor.blob.core.windows.net/biomapper/usviinsularshelf2017/videos/low/AA2017_298.mp4</x:v>
      </x:c>
      <x:c r="O283" t="n">
        <x:v>0</x:v>
      </x:c>
      <x:c r="P283" t="n">
        <x:v>0</x:v>
      </x:c>
      <x:c r="Q283" t="n">
        <x:v>1</x:v>
      </x:c>
      <x:c r="R283" t="n">
        <x:v>1</x:v>
      </x:c>
      <x:c r="S283" t="n">
        <x:v>0</x:v>
      </x:c>
      <x:c r="T283" t="n">
        <x:v>0</x:v>
      </x:c>
      <x:c r="U283" t="n">
        <x:v>1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2</x:v>
      </x:c>
      <x:c r="AA283" t="n">
        <x:v>1</x:v>
      </x:c>
      <x:c r="AB283" t="str">
        <x:v>Pass</x:v>
      </x:c>
      <x:c r="AC283" t="str"/>
      <x:c r="AD283" t="str"/>
    </x:row>
    <x:row r="284">
      <x:c r="A284" t="str">
        <x:v>REC0283</x:v>
      </x:c>
      <x:c r="B284" t="n">
        <x:v>282</x:v>
      </x:c>
      <x:c r="C284" t="str">
        <x:v>St. John, USVI</x:v>
      </x:c>
      <x:c r="D284" t="str">
        <x:v>AA</x:v>
      </x:c>
      <x:c r="E284" t="str">
        <x:v>Accuracy Assessment</x:v>
      </x:c>
      <x:c r="F284" t="str">
        <x:v>HD Seaviewer Drop Camera</x:v>
      </x:c>
      <x:c r="G284" t="str">
        <x:v>AA2017_299</x:v>
      </x:c>
      <x:c r="H284" s="28" t="n">
        <x:v>42772</x:v>
      </x:c>
      <x:c r="I284" t="str">
        <x:v>12:04:00</x:v>
      </x:c>
      <x:c r="J284" t="n">
        <x:v>2017</x:v>
      </x:c>
      <x:c r="K284" t="n">
        <x:v>18.26405328</x:v>
      </x:c>
      <x:c r="L284" t="n">
        <x:v>-64.77730895</x:v>
      </x:c>
      <x:c r="M284" t="n">
        <x:v>43.992</x:v>
      </x:c>
      <x:c r="N284" t="str">
        <x:v>https://nccospublicstor.blob.core.windows.net/biomapper/usviinsularshelf2017/videos/low/AA2017_299.mp4</x:v>
      </x:c>
      <x:c r="O284" t="n">
        <x:v>0</x:v>
      </x:c>
      <x:c r="P284" t="n">
        <x:v>0</x:v>
      </x:c>
      <x:c r="Q284" t="n">
        <x:v>1</x:v>
      </x:c>
      <x:c r="R284" t="n">
        <x:v>0</x:v>
      </x:c>
      <x:c r="S284" t="n">
        <x:v>0</x:v>
      </x:c>
      <x:c r="T284" t="n">
        <x:v>0</x:v>
      </x:c>
      <x:c r="U284" t="n">
        <x:v>1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1</x:v>
      </x:c>
      <x:c r="AA284" t="n">
        <x:v>1</x:v>
      </x:c>
      <x:c r="AB284" t="str">
        <x:v>Pass</x:v>
      </x:c>
      <x:c r="AC284" t="str"/>
      <x:c r="AD284" t="str"/>
    </x:row>
    <x:row r="285">
      <x:c r="A285" t="str">
        <x:v>REC0284</x:v>
      </x:c>
      <x:c r="B285" t="n">
        <x:v>283</x:v>
      </x:c>
      <x:c r="C285" t="str">
        <x:v>St. John, USVI</x:v>
      </x:c>
      <x:c r="D285" t="str">
        <x:v>AA</x:v>
      </x:c>
      <x:c r="E285" t="str">
        <x:v>Accuracy Assessment</x:v>
      </x:c>
      <x:c r="F285" t="str">
        <x:v>HD Seaviewer Drop Camera</x:v>
      </x:c>
      <x:c r="G285" t="str">
        <x:v>AA2017_300</x:v>
      </x:c>
      <x:c r="H285" s="28" t="n">
        <x:v>42772</x:v>
      </x:c>
      <x:c r="I285" t="str">
        <x:v>11:56:24</x:v>
      </x:c>
      <x:c r="J285" t="n">
        <x:v>2017</x:v>
      </x:c>
      <x:c r="K285" t="n">
        <x:v>18.25712833</x:v>
      </x:c>
      <x:c r="L285" t="n">
        <x:v>-64.77742764</x:v>
      </x:c>
      <x:c r="M285" t="n">
        <x:v>45.09</x:v>
      </x:c>
      <x:c r="N285" t="str">
        <x:v>https://nccospublicstor.blob.core.windows.net/biomapper/usviinsularshelf2017/videos/low/AA2017_300.mp4</x:v>
      </x:c>
      <x:c r="O285" t="n">
        <x:v>0</x:v>
      </x:c>
      <x:c r="P285" t="n">
        <x:v>0</x:v>
      </x:c>
      <x:c r="Q285" t="n">
        <x:v>1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1</x:v>
      </x:c>
      <x:c r="W285" t="n">
        <x:v>0</x:v>
      </x:c>
      <x:c r="X285" t="n">
        <x:v>0</x:v>
      </x:c>
      <x:c r="Y285" t="n">
        <x:v>0</x:v>
      </x:c>
      <x:c r="Z285" t="n">
        <x:v>1</x:v>
      </x:c>
      <x:c r="AA285" t="n">
        <x:v>1</x:v>
      </x:c>
      <x:c r="AB285" t="str">
        <x:v>Pass</x:v>
      </x:c>
      <x:c r="AC285" t="str"/>
      <x:c r="AD285" t="str"/>
    </x:row>
    <x:row r="286">
      <x:c r="A286" t="str">
        <x:v>REC0285</x:v>
      </x:c>
      <x:c r="B286" t="n">
        <x:v>284</x:v>
      </x:c>
      <x:c r="C286" t="str">
        <x:v>St. John, USVI</x:v>
      </x:c>
      <x:c r="D286" t="str">
        <x:v>AA</x:v>
      </x:c>
      <x:c r="E286" t="str">
        <x:v>Accuracy Assessment</x:v>
      </x:c>
      <x:c r="F286" t="str">
        <x:v>HD Seaviewer Drop Camera</x:v>
      </x:c>
      <x:c r="G286" t="str">
        <x:v>AA2017_301</x:v>
      </x:c>
      <x:c r="H286" s="28" t="n">
        <x:v>42771</x:v>
      </x:c>
      <x:c r="I286" t="str">
        <x:v>14:39:48</x:v>
      </x:c>
      <x:c r="J286" t="n">
        <x:v>2017</x:v>
      </x:c>
      <x:c r="K286" t="n">
        <x:v>18.20126264</x:v>
      </x:c>
      <x:c r="L286" t="n">
        <x:v>-64.77493215</x:v>
      </x:c>
      <x:c r="M286" t="n">
        <x:v>56.477</x:v>
      </x:c>
      <x:c r="N286" t="str">
        <x:v>https://nccospublicstor.blob.core.windows.net/biomapper/usviinsularshelf2017/videos/low/AA2017_301.mp4</x:v>
      </x:c>
      <x:c r="O286" t="n">
        <x:v>0</x:v>
      </x:c>
      <x:c r="P286" t="n">
        <x:v>0</x:v>
      </x:c>
      <x:c r="Q286" t="n">
        <x:v>1</x:v>
      </x:c>
      <x:c r="R286" t="n">
        <x:v>0</x:v>
      </x:c>
      <x:c r="S286" t="n">
        <x:v>0</x:v>
      </x:c>
      <x:c r="T286" t="n">
        <x:v>0</x:v>
      </x:c>
      <x:c r="U286" t="n">
        <x:v>1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1</x:v>
      </x:c>
      <x:c r="AA286" t="n">
        <x:v>1</x:v>
      </x:c>
      <x:c r="AB286" t="str">
        <x:v>Pass</x:v>
      </x:c>
      <x:c r="AC286" t="str"/>
      <x:c r="AD286" t="str"/>
    </x:row>
    <x:row r="287">
      <x:c r="A287" t="str">
        <x:v>REC0286</x:v>
      </x:c>
      <x:c r="B287" t="n">
        <x:v>285</x:v>
      </x:c>
      <x:c r="C287" t="str">
        <x:v>St. John, USVI</x:v>
      </x:c>
      <x:c r="D287" t="str">
        <x:v>AA</x:v>
      </x:c>
      <x:c r="E287" t="str">
        <x:v>Accuracy Assessment</x:v>
      </x:c>
      <x:c r="F287" t="str">
        <x:v>HD Seaviewer Drop Camera</x:v>
      </x:c>
      <x:c r="G287" t="str">
        <x:v>AA2017_302</x:v>
      </x:c>
      <x:c r="H287" s="28" t="n">
        <x:v>42772</x:v>
      </x:c>
      <x:c r="I287" t="str">
        <x:v>11:27:30</x:v>
      </x:c>
      <x:c r="J287" t="n">
        <x:v>2017</x:v>
      </x:c>
      <x:c r="K287" t="n">
        <x:v>18.22517798</x:v>
      </x:c>
      <x:c r="L287" t="n">
        <x:v>-64.77404449</x:v>
      </x:c>
      <x:c r="M287" t="n">
        <x:v>55.046</x:v>
      </x:c>
      <x:c r="N287" t="str">
        <x:v>https://nccospublicstor.blob.core.windows.net/biomapper/usviinsularshelf2017/videos/low/AA2017_302.mp4</x:v>
      </x:c>
      <x:c r="O287" t="n">
        <x:v>0</x:v>
      </x:c>
      <x:c r="P287" t="n">
        <x:v>0</x:v>
      </x:c>
      <x:c r="Q287" t="n">
        <x:v>1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1</x:v>
      </x:c>
      <x:c r="AA287" t="n">
        <x:v>0</x:v>
      </x:c>
      <x:c r="AB287" t="str">
        <x:v>Pass</x:v>
      </x:c>
      <x:c r="AC287" t="str"/>
      <x:c r="AD287" t="str"/>
    </x:row>
    <x:row r="288">
      <x:c r="A288" t="str">
        <x:v>REC0287</x:v>
      </x:c>
      <x:c r="B288" t="n">
        <x:v>286</x:v>
      </x:c>
      <x:c r="C288" t="str">
        <x:v>St. John, USVI</x:v>
      </x:c>
      <x:c r="D288" t="str">
        <x:v>AA</x:v>
      </x:c>
      <x:c r="E288" t="str">
        <x:v>Accuracy Assessment</x:v>
      </x:c>
      <x:c r="F288" t="str">
        <x:v>HD Seaviewer Drop Camera</x:v>
      </x:c>
      <x:c r="G288" t="str">
        <x:v>AA2017_303</x:v>
      </x:c>
      <x:c r="H288" s="28" t="n">
        <x:v>42772</x:v>
      </x:c>
      <x:c r="I288" t="str">
        <x:v>12:20:13</x:v>
      </x:c>
      <x:c r="J288" t="n">
        <x:v>2017</x:v>
      </x:c>
      <x:c r="K288" t="n">
        <x:v>18.28265652</x:v>
      </x:c>
      <x:c r="L288" t="n">
        <x:v>-64.77340458</x:v>
      </x:c>
      <x:c r="M288" t="n">
        <x:v>34.625</x:v>
      </x:c>
      <x:c r="N288" t="str">
        <x:v>https://nccospublicstor.blob.core.windows.net/biomapper/usviinsularshelf2017/videos/low/AA2017_303.mp4</x:v>
      </x:c>
      <x:c r="O288" t="n">
        <x:v>0</x:v>
      </x:c>
      <x:c r="P288" t="n">
        <x:v>0</x:v>
      </x:c>
      <x:c r="Q288" t="n">
        <x:v>0</x:v>
      </x:c>
      <x:c r="R288" t="n">
        <x:v>1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1</x:v>
      </x:c>
      <x:c r="AA288" t="n">
        <x:v>0</x:v>
      </x:c>
      <x:c r="AB288" t="str">
        <x:v>Pass</x:v>
      </x:c>
      <x:c r="AC288" t="str"/>
      <x:c r="AD288" t="str"/>
    </x:row>
    <x:row r="289">
      <x:c r="A289" t="str">
        <x:v>REC0288</x:v>
      </x:c>
      <x:c r="B289" t="n">
        <x:v>287</x:v>
      </x:c>
      <x:c r="C289" t="str">
        <x:v>St. John, USVI</x:v>
      </x:c>
      <x:c r="D289" t="str">
        <x:v>AA</x:v>
      </x:c>
      <x:c r="E289" t="str">
        <x:v>Accuracy Assessment</x:v>
      </x:c>
      <x:c r="F289" t="str">
        <x:v>HD Seaviewer Drop Camera</x:v>
      </x:c>
      <x:c r="G289" t="str">
        <x:v>AA2017_304</x:v>
      </x:c>
      <x:c r="H289" s="28" t="n">
        <x:v>42771</x:v>
      </x:c>
      <x:c r="I289" t="str">
        <x:v>08:09:06</x:v>
      </x:c>
      <x:c r="J289" t="n">
        <x:v>2017</x:v>
      </x:c>
      <x:c r="K289" t="n">
        <x:v>18.29386341</x:v>
      </x:c>
      <x:c r="L289" t="n">
        <x:v>-64.77170851</x:v>
      </x:c>
      <x:c r="M289" t="n">
        <x:v>31.239</x:v>
      </x:c>
      <x:c r="N289" t="str">
        <x:v>https://nccospublicstor.blob.core.windows.net/biomapper/usviinsularshelf2017/videos/low/AA2017_304.mp4</x:v>
      </x:c>
      <x:c r="O289" t="n">
        <x:v>0</x:v>
      </x:c>
      <x:c r="P289" t="n">
        <x:v>0</x:v>
      </x:c>
      <x:c r="Q289" t="n">
        <x:v>0</x:v>
      </x:c>
      <x:c r="R289" t="n">
        <x:v>1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1</x:v>
      </x:c>
      <x:c r="AA289" t="n">
        <x:v>0</x:v>
      </x:c>
      <x:c r="AB289" t="str">
        <x:v>Pass</x:v>
      </x:c>
      <x:c r="AC289" t="str"/>
      <x:c r="AD289" t="str"/>
    </x:row>
    <x:row r="290">
      <x:c r="A290" t="str">
        <x:v>REC0289</x:v>
      </x:c>
      <x:c r="B290" t="n">
        <x:v>288</x:v>
      </x:c>
      <x:c r="C290" t="str">
        <x:v>St. John, USVI</x:v>
      </x:c>
      <x:c r="D290" t="str">
        <x:v>AA</x:v>
      </x:c>
      <x:c r="E290" t="str">
        <x:v>Accuracy Assessment</x:v>
      </x:c>
      <x:c r="F290" t="str">
        <x:v>HD Seaviewer Drop Camera</x:v>
      </x:c>
      <x:c r="G290" t="str">
        <x:v>AA2017_305</x:v>
      </x:c>
      <x:c r="H290" s="28" t="n">
        <x:v>42771</x:v>
      </x:c>
      <x:c r="I290" t="str">
        <x:v>08:15:31</x:v>
      </x:c>
      <x:c r="J290" t="n">
        <x:v>2017</x:v>
      </x:c>
      <x:c r="K290" t="n">
        <x:v>18.29972909</x:v>
      </x:c>
      <x:c r="L290" t="n">
        <x:v>-64.77080136</x:v>
      </x:c>
      <x:c r="M290" t="n">
        <x:v>27.959</x:v>
      </x:c>
      <x:c r="N290" t="str">
        <x:v>https://nccospublicstor.blob.core.windows.net/biomapper/usviinsularshelf2017/videos/low/AA2017_305.mp4</x:v>
      </x:c>
      <x:c r="O290" t="n">
        <x:v>0</x:v>
      </x:c>
      <x:c r="P290" t="n">
        <x:v>0</x:v>
      </x:c>
      <x:c r="Q290" t="n">
        <x:v>1</x:v>
      </x:c>
      <x:c r="R290" t="n">
        <x:v>1</x:v>
      </x:c>
      <x:c r="S290" t="n">
        <x:v>0</x:v>
      </x:c>
      <x:c r="T290" t="n">
        <x:v>0</x:v>
      </x:c>
      <x:c r="U290" t="n">
        <x:v>0</x:v>
      </x:c>
      <x:c r="V290" t="n">
        <x:v>1</x:v>
      </x:c>
      <x:c r="W290" t="n">
        <x:v>0</x:v>
      </x:c>
      <x:c r="X290" t="n">
        <x:v>0</x:v>
      </x:c>
      <x:c r="Y290" t="n">
        <x:v>0</x:v>
      </x:c>
      <x:c r="Z290" t="n">
        <x:v>2</x:v>
      </x:c>
      <x:c r="AA290" t="n">
        <x:v>1</x:v>
      </x:c>
      <x:c r="AB290" t="str">
        <x:v>Pass</x:v>
      </x:c>
      <x:c r="AC290" t="str"/>
      <x:c r="AD290" t="str"/>
    </x:row>
    <x:row r="291">
      <x:c r="A291" t="str">
        <x:v>REC0290</x:v>
      </x:c>
      <x:c r="B291" t="n">
        <x:v>289</x:v>
      </x:c>
      <x:c r="C291" t="str">
        <x:v>St. John, USVI</x:v>
      </x:c>
      <x:c r="D291" t="str">
        <x:v>AA</x:v>
      </x:c>
      <x:c r="E291" t="str">
        <x:v>Accuracy Assessment</x:v>
      </x:c>
      <x:c r="F291" t="str">
        <x:v>HD Seaviewer Drop Camera</x:v>
      </x:c>
      <x:c r="G291" t="str">
        <x:v>AA2017_306</x:v>
      </x:c>
      <x:c r="H291" s="28" t="n">
        <x:v>42772</x:v>
      </x:c>
      <x:c r="I291" t="str">
        <x:v>11:18:44</x:v>
      </x:c>
      <x:c r="J291" t="n">
        <x:v>2017</x:v>
      </x:c>
      <x:c r="K291" t="n">
        <x:v>18.22127716</x:v>
      </x:c>
      <x:c r="L291" t="n">
        <x:v>-64.76850721</x:v>
      </x:c>
      <x:c r="M291" t="n">
        <x:v>54.518</x:v>
      </x:c>
      <x:c r="N291" t="str">
        <x:v>https://nccospublicstor.blob.core.windows.net/biomapper/usviinsularshelf2017/videos/low/AA2017_306.mp4</x:v>
      </x:c>
      <x:c r="O291" t="n">
        <x:v>0</x:v>
      </x:c>
      <x:c r="P291" t="n">
        <x:v>0</x:v>
      </x:c>
      <x:c r="Q291" t="n">
        <x:v>1</x:v>
      </x:c>
      <x:c r="R291" t="n">
        <x:v>0</x:v>
      </x:c>
      <x:c r="S291" t="n">
        <x:v>0</x:v>
      </x:c>
      <x:c r="T291" t="n">
        <x:v>0</x:v>
      </x:c>
      <x:c r="U291" t="n">
        <x:v>1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1</x:v>
      </x:c>
      <x:c r="AA291" t="n">
        <x:v>1</x:v>
      </x:c>
      <x:c r="AB291" t="str">
        <x:v>Pass</x:v>
      </x:c>
      <x:c r="AC291" t="str"/>
      <x:c r="AD291" t="str"/>
    </x:row>
    <x:row r="292">
      <x:c r="A292" t="str">
        <x:v>REC0291</x:v>
      </x:c>
      <x:c r="B292" t="n">
        <x:v>290</x:v>
      </x:c>
      <x:c r="C292" t="str">
        <x:v>St. John, USVI</x:v>
      </x:c>
      <x:c r="D292" t="str">
        <x:v>AA</x:v>
      </x:c>
      <x:c r="E292" t="str">
        <x:v>Accuracy Assessment</x:v>
      </x:c>
      <x:c r="F292" t="str">
        <x:v>HD Seaviewer Drop Camera</x:v>
      </x:c>
      <x:c r="G292" t="str">
        <x:v>AA2017_309</x:v>
      </x:c>
      <x:c r="H292" s="28" t="n">
        <x:v>42771</x:v>
      </x:c>
      <x:c r="I292" t="str">
        <x:v>14:30:15</x:v>
      </x:c>
      <x:c r="J292" t="n">
        <x:v>2017</x:v>
      </x:c>
      <x:c r="K292" t="n">
        <x:v>18.2001207</x:v>
      </x:c>
      <x:c r="L292" t="n">
        <x:v>-64.76386372</x:v>
      </x:c>
      <x:c r="M292" t="n">
        <x:v>56.052</x:v>
      </x:c>
      <x:c r="N292" t="str">
        <x:v>https://nccospublicstor.blob.core.windows.net/biomapper/usviinsularshelf2017/videos/low/AA2017_309.mp4</x:v>
      </x:c>
      <x:c r="O292" t="n">
        <x:v>0</x:v>
      </x:c>
      <x:c r="P292" t="n">
        <x:v>1</x:v>
      </x:c>
      <x:c r="Q292" t="n">
        <x:v>1</x:v>
      </x:c>
      <x:c r="R292" t="n">
        <x:v>0</x:v>
      </x:c>
      <x:c r="S292" t="n">
        <x:v>1</x:v>
      </x:c>
      <x:c r="T292" t="n">
        <x:v>0</x:v>
      </x:c>
      <x:c r="U292" t="n">
        <x:v>0</x:v>
      </x:c>
      <x:c r="V292" t="n">
        <x:v>1</x:v>
      </x:c>
      <x:c r="W292" t="n">
        <x:v>0</x:v>
      </x:c>
      <x:c r="X292" t="n">
        <x:v>0</x:v>
      </x:c>
      <x:c r="Y292" t="n">
        <x:v>0</x:v>
      </x:c>
      <x:c r="Z292" t="n">
        <x:v>2</x:v>
      </x:c>
      <x:c r="AA292" t="n">
        <x:v>2</x:v>
      </x:c>
      <x:c r="AB292" t="str">
        <x:v>Pass</x:v>
      </x:c>
      <x:c r="AC292" t="str"/>
      <x:c r="AD292" t="str"/>
    </x:row>
    <x:row r="293">
      <x:c r="A293" t="str">
        <x:v>REC0292</x:v>
      </x:c>
      <x:c r="B293" t="n">
        <x:v>291</x:v>
      </x:c>
      <x:c r="C293" t="str">
        <x:v>St. John, USVI</x:v>
      </x:c>
      <x:c r="D293" t="str">
        <x:v>AA</x:v>
      </x:c>
      <x:c r="E293" t="str">
        <x:v>Accuracy Assessment</x:v>
      </x:c>
      <x:c r="F293" t="str">
        <x:v>HD Seaviewer Drop Camera</x:v>
      </x:c>
      <x:c r="G293" t="str">
        <x:v>AA2017_310</x:v>
      </x:c>
      <x:c r="H293" s="28" t="n">
        <x:v>42772</x:v>
      </x:c>
      <x:c r="I293" t="str">
        <x:v>10:48:07</x:v>
      </x:c>
      <x:c r="J293" t="n">
        <x:v>2017</x:v>
      </x:c>
      <x:c r="K293" t="n">
        <x:v>18.22978152</x:v>
      </x:c>
      <x:c r="L293" t="n">
        <x:v>-64.76216777</x:v>
      </x:c>
      <x:c r="M293" t="n">
        <x:v>52.508</x:v>
      </x:c>
      <x:c r="N293" t="str">
        <x:v>https://nccospublicstor.blob.core.windows.net/biomapper/usviinsularshelf2017/videos/low/AA2017_310.mp4</x:v>
      </x:c>
      <x:c r="O293" t="n">
        <x:v>0</x:v>
      </x:c>
      <x:c r="P293" t="n">
        <x:v>0</x:v>
      </x:c>
      <x:c r="Q293" t="n">
        <x:v>1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1</x:v>
      </x:c>
      <x:c r="AA293" t="n">
        <x:v>0</x:v>
      </x:c>
      <x:c r="AB293" t="str">
        <x:v>Pass</x:v>
      </x:c>
      <x:c r="AC293" t="str"/>
      <x:c r="AD293" t="str"/>
    </x:row>
    <x:row r="294">
      <x:c r="A294" t="str">
        <x:v>REC0293</x:v>
      </x:c>
      <x:c r="B294" t="n">
        <x:v>292</x:v>
      </x:c>
      <x:c r="C294" t="str">
        <x:v>St. John, USVI</x:v>
      </x:c>
      <x:c r="D294" t="str">
        <x:v>AA</x:v>
      </x:c>
      <x:c r="E294" t="str">
        <x:v>Accuracy Assessment</x:v>
      </x:c>
      <x:c r="F294" t="str">
        <x:v>HD Seaviewer Drop Camera</x:v>
      </x:c>
      <x:c r="G294" t="str">
        <x:v>AA2017_311</x:v>
      </x:c>
      <x:c r="H294" s="28" t="n">
        <x:v>42771</x:v>
      </x:c>
      <x:c r="I294" t="str">
        <x:v>14:19:26</x:v>
      </x:c>
      <x:c r="J294" t="n">
        <x:v>2017</x:v>
      </x:c>
      <x:c r="K294" t="n">
        <x:v>18.21221944</x:v>
      </x:c>
      <x:c r="L294" t="n">
        <x:v>-64.76035254</x:v>
      </x:c>
      <x:c r="M294" t="n">
        <x:v>51.919</x:v>
      </x:c>
      <x:c r="N294" t="str">
        <x:v>https://nccospublicstor.blob.core.windows.net/biomapper/usviinsularshelf2017/videos/low/AA2017_311.mp4</x:v>
      </x:c>
      <x:c r="O294" t="n">
        <x:v>0</x:v>
      </x:c>
      <x:c r="P294" t="n">
        <x:v>1</x:v>
      </x:c>
      <x:c r="Q294" t="n">
        <x:v>1</x:v>
      </x:c>
      <x:c r="R294" t="n">
        <x:v>0</x:v>
      </x:c>
      <x:c r="S294" t="n">
        <x:v>1</x:v>
      </x:c>
      <x:c r="T294" t="n">
        <x:v>0</x:v>
      </x:c>
      <x:c r="U294" t="n">
        <x:v>0</x:v>
      </x:c>
      <x:c r="V294" t="n">
        <x:v>1</x:v>
      </x:c>
      <x:c r="W294" t="n">
        <x:v>0</x:v>
      </x:c>
      <x:c r="X294" t="n">
        <x:v>0</x:v>
      </x:c>
      <x:c r="Y294" t="n">
        <x:v>0</x:v>
      </x:c>
      <x:c r="Z294" t="n">
        <x:v>2</x:v>
      </x:c>
      <x:c r="AA294" t="n">
        <x:v>2</x:v>
      </x:c>
      <x:c r="AB294" t="str">
        <x:v>Pass</x:v>
      </x:c>
      <x:c r="AC294" t="str"/>
      <x:c r="AD294" t="str"/>
    </x:row>
    <x:row r="295">
      <x:c r="A295" t="str">
        <x:v>REC0294</x:v>
      </x:c>
      <x:c r="B295" t="n">
        <x:v>293</x:v>
      </x:c>
      <x:c r="C295" t="str">
        <x:v>St. John, USVI</x:v>
      </x:c>
      <x:c r="D295" t="str">
        <x:v>AA</x:v>
      </x:c>
      <x:c r="E295" t="str">
        <x:v>Accuracy Assessment</x:v>
      </x:c>
      <x:c r="F295" t="str">
        <x:v>HD Seaviewer Drop Camera</x:v>
      </x:c>
      <x:c r="G295" t="str">
        <x:v>AA2017_312</x:v>
      </x:c>
      <x:c r="H295" s="28" t="n">
        <x:v>42772</x:v>
      </x:c>
      <x:c r="I295" t="str">
        <x:v>10:57:25</x:v>
      </x:c>
      <x:c r="J295" t="n">
        <x:v>2017</x:v>
      </x:c>
      <x:c r="K295" t="n">
        <x:v>18.22568679</x:v>
      </x:c>
      <x:c r="L295" t="n">
        <x:v>-64.76055145</x:v>
      </x:c>
      <x:c r="M295" t="n">
        <x:v>53.723</x:v>
      </x:c>
      <x:c r="N295" t="str">
        <x:v>https://nccospublicstor.blob.core.windows.net/biomapper/usviinsularshelf2017/videos/low/AA2017_312.mp4</x:v>
      </x:c>
      <x:c r="O295" t="n">
        <x:v>0</x:v>
      </x:c>
      <x:c r="P295" t="n">
        <x:v>0</x:v>
      </x:c>
      <x:c r="Q295" t="n">
        <x:v>1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1</x:v>
      </x:c>
      <x:c r="W295" t="n">
        <x:v>0</x:v>
      </x:c>
      <x:c r="X295" t="n">
        <x:v>0</x:v>
      </x:c>
      <x:c r="Y295" t="n">
        <x:v>0</x:v>
      </x:c>
      <x:c r="Z295" t="n">
        <x:v>1</x:v>
      </x:c>
      <x:c r="AA295" t="n">
        <x:v>1</x:v>
      </x:c>
      <x:c r="AB295" t="str">
        <x:v>Pass</x:v>
      </x:c>
      <x:c r="AC295" t="str"/>
      <x:c r="AD295" t="str"/>
    </x:row>
    <x:row r="296">
      <x:c r="A296" t="str">
        <x:v>REC0295</x:v>
      </x:c>
      <x:c r="B296" t="n">
        <x:v>294</x:v>
      </x:c>
      <x:c r="C296" t="str">
        <x:v>St. John, USVI</x:v>
      </x:c>
      <x:c r="D296" t="str">
        <x:v>AA</x:v>
      </x:c>
      <x:c r="E296" t="str">
        <x:v>Accuracy Assessment</x:v>
      </x:c>
      <x:c r="F296" t="str">
        <x:v>HD Seaviewer Drop Camera</x:v>
      </x:c>
      <x:c r="G296" t="str">
        <x:v>AA2017_314</x:v>
      </x:c>
      <x:c r="H296" s="28" t="n">
        <x:v>42772</x:v>
      </x:c>
      <x:c r="I296" t="str">
        <x:v>10:00:50</x:v>
      </x:c>
      <x:c r="J296" t="n">
        <x:v>2017</x:v>
      </x:c>
      <x:c r="K296" t="n">
        <x:v>18.2703032</x:v>
      </x:c>
      <x:c r="L296" t="n">
        <x:v>-64.75942217</x:v>
      </x:c>
      <x:c r="M296" t="n">
        <x:v>42.255</x:v>
      </x:c>
      <x:c r="N296" t="str">
        <x:v>https://nccospublicstor.blob.core.windows.net/biomapper/usviinsularshelf2017/videos/low/AA2017_314.mp4</x:v>
      </x:c>
      <x:c r="O296" t="n">
        <x:v>0</x:v>
      </x:c>
      <x:c r="P296" t="n">
        <x:v>0</x:v>
      </x:c>
      <x:c r="Q296" t="n">
        <x:v>1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1</x:v>
      </x:c>
      <x:c r="AA296" t="n">
        <x:v>0</x:v>
      </x:c>
      <x:c r="AB296" t="str">
        <x:v>Pass</x:v>
      </x:c>
      <x:c r="AC296" t="str"/>
      <x:c r="AD296" t="str">
        <x:v>cyanobacteria mats</x:v>
      </x:c>
    </x:row>
    <x:row r="297">
      <x:c r="A297" t="str">
        <x:v>REC0296</x:v>
      </x:c>
      <x:c r="B297" t="n">
        <x:v>295</x:v>
      </x:c>
      <x:c r="C297" t="str">
        <x:v>St. John, USVI</x:v>
      </x:c>
      <x:c r="D297" t="str">
        <x:v>AA</x:v>
      </x:c>
      <x:c r="E297" t="str">
        <x:v>Accuracy Assessment</x:v>
      </x:c>
      <x:c r="F297" t="str">
        <x:v>HD Seaviewer Drop Camera</x:v>
      </x:c>
      <x:c r="G297" t="str">
        <x:v>AA2017_315</x:v>
      </x:c>
      <x:c r="H297" s="28" t="n">
        <x:v>42772</x:v>
      </x:c>
      <x:c r="I297" t="str">
        <x:v>10:40:07</x:v>
      </x:c>
      <x:c r="J297" t="n">
        <x:v>2017</x:v>
      </x:c>
      <x:c r="K297" t="n">
        <x:v>18.23832782</x:v>
      </x:c>
      <x:c r="L297" t="n">
        <x:v>-64.75870764</x:v>
      </x:c>
      <x:c r="M297" t="n">
        <x:v>40.237</x:v>
      </x:c>
      <x:c r="N297" t="str">
        <x:v>https://nccospublicstor.blob.core.windows.net/biomapper/usviinsularshelf2017/videos/low/AA2017_315.mp4</x:v>
      </x:c>
      <x:c r="O297" t="n">
        <x:v>1</x:v>
      </x:c>
      <x:c r="P297" t="n">
        <x:v>0</x:v>
      </x:c>
      <x:c r="Q297" t="n">
        <x:v>0</x:v>
      </x:c>
      <x:c r="R297" t="n">
        <x:v>0</x:v>
      </x:c>
      <x:c r="S297" t="n">
        <x:v>1</x:v>
      </x:c>
      <x:c r="T297" t="n">
        <x:v>0</x:v>
      </x:c>
      <x:c r="U297" t="n">
        <x:v>1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1</x:v>
      </x:c>
      <x:c r="AA297" t="n">
        <x:v>2</x:v>
      </x:c>
      <x:c r="AB297" t="str">
        <x:v>Pass</x:v>
      </x:c>
      <x:c r="AC297" t="str"/>
      <x:c r="AD297" t="str"/>
    </x:row>
    <x:row r="298">
      <x:c r="A298" t="str">
        <x:v>REC0297</x:v>
      </x:c>
      <x:c r="B298" t="n">
        <x:v>296</x:v>
      </x:c>
      <x:c r="C298" t="str">
        <x:v>St. John, USVI</x:v>
      </x:c>
      <x:c r="D298" t="str">
        <x:v>AA</x:v>
      </x:c>
      <x:c r="E298" t="str">
        <x:v>Accuracy Assessment</x:v>
      </x:c>
      <x:c r="F298" t="str">
        <x:v>HD Seaviewer Drop Camera</x:v>
      </x:c>
      <x:c r="G298" t="str">
        <x:v>AA2017_316</x:v>
      </x:c>
      <x:c r="H298" s="28" t="n">
        <x:v>42771</x:v>
      </x:c>
      <x:c r="I298" t="str">
        <x:v>14:11:02</x:v>
      </x:c>
      <x:c r="J298" t="n">
        <x:v>2017</x:v>
      </x:c>
      <x:c r="K298" t="n">
        <x:v>18.2026488</x:v>
      </x:c>
      <x:c r="L298" t="n">
        <x:v>-64.756296</x:v>
      </x:c>
      <x:c r="M298" t="n">
        <x:v>53.688</x:v>
      </x:c>
      <x:c r="N298" t="str">
        <x:v>https://nccospublicstor.blob.core.windows.net/biomapper/usviinsularshelf2017/videos/low/AA2017_316.mp4</x:v>
      </x:c>
      <x:c r="O298" t="n">
        <x:v>0</x:v>
      </x:c>
      <x:c r="P298" t="n">
        <x:v>1</x:v>
      </x:c>
      <x:c r="Q298" t="n">
        <x:v>1</x:v>
      </x:c>
      <x:c r="R298" t="n">
        <x:v>0</x:v>
      </x:c>
      <x:c r="S298" t="n">
        <x:v>1</x:v>
      </x:c>
      <x:c r="T298" t="n">
        <x:v>0</x:v>
      </x:c>
      <x:c r="U298" t="n">
        <x:v>0</x:v>
      </x:c>
      <x:c r="V298" t="n">
        <x:v>1</x:v>
      </x:c>
      <x:c r="W298" t="n">
        <x:v>0</x:v>
      </x:c>
      <x:c r="X298" t="n">
        <x:v>0</x:v>
      </x:c>
      <x:c r="Y298" t="n">
        <x:v>0</x:v>
      </x:c>
      <x:c r="Z298" t="n">
        <x:v>2</x:v>
      </x:c>
      <x:c r="AA298" t="n">
        <x:v>2</x:v>
      </x:c>
      <x:c r="AB298" t="str">
        <x:v>Pass</x:v>
      </x:c>
      <x:c r="AC298" t="str"/>
      <x:c r="AD298" t="str"/>
    </x:row>
    <x:row r="299">
      <x:c r="A299" t="str">
        <x:v>REC0298</x:v>
      </x:c>
      <x:c r="B299" t="n">
        <x:v>297</x:v>
      </x:c>
      <x:c r="C299" t="str">
        <x:v>St. John, USVI</x:v>
      </x:c>
      <x:c r="D299" t="str">
        <x:v>AA</x:v>
      </x:c>
      <x:c r="E299" t="str">
        <x:v>Accuracy Assessment</x:v>
      </x:c>
      <x:c r="F299" t="str">
        <x:v>HD Seaviewer Drop Camera</x:v>
      </x:c>
      <x:c r="G299" t="str">
        <x:v>AA2017_317</x:v>
      </x:c>
      <x:c r="H299" s="28" t="n">
        <x:v>42771</x:v>
      </x:c>
      <x:c r="I299" t="str">
        <x:v>08:46:02</x:v>
      </x:c>
      <x:c r="J299" t="n">
        <x:v>2017</x:v>
      </x:c>
      <x:c r="K299" t="n">
        <x:v>18.29232827</x:v>
      </x:c>
      <x:c r="L299" t="n">
        <x:v>-64.75472312</x:v>
      </x:c>
      <x:c r="M299" t="n">
        <x:v>32.293</x:v>
      </x:c>
      <x:c r="N299" t="str">
        <x:v>https://nccospublicstor.blob.core.windows.net/biomapper/usviinsularshelf2017/videos/low/AA2017_317.mp4</x:v>
      </x:c>
      <x:c r="O299" t="n">
        <x:v>0</x:v>
      </x:c>
      <x:c r="P299" t="n">
        <x:v>0</x:v>
      </x:c>
      <x:c r="Q299" t="n">
        <x:v>0</x:v>
      </x:c>
      <x:c r="R299" t="n">
        <x:v>1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1</x:v>
      </x:c>
      <x:c r="AA299" t="n">
        <x:v>0</x:v>
      </x:c>
      <x:c r="AB299" t="str">
        <x:v>Pass</x:v>
      </x:c>
      <x:c r="AC299" t="str"/>
      <x:c r="AD299" t="str"/>
    </x:row>
    <x:row r="300">
      <x:c r="A300" t="str">
        <x:v>REC0299</x:v>
      </x:c>
      <x:c r="B300" t="n">
        <x:v>298</x:v>
      </x:c>
      <x:c r="C300" t="str">
        <x:v>St. John, USVI</x:v>
      </x:c>
      <x:c r="D300" t="str">
        <x:v>AA</x:v>
      </x:c>
      <x:c r="E300" t="str">
        <x:v>Accuracy Assessment</x:v>
      </x:c>
      <x:c r="F300" t="str">
        <x:v>HD Seaviewer Drop Camera</x:v>
      </x:c>
      <x:c r="G300" t="str">
        <x:v>AA2017_318</x:v>
      </x:c>
      <x:c r="H300" s="28" t="n">
        <x:v>42772</x:v>
      </x:c>
      <x:c r="I300" t="str">
        <x:v>09:52:55</x:v>
      </x:c>
      <x:c r="J300" t="n">
        <x:v>2017</x:v>
      </x:c>
      <x:c r="K300" t="n">
        <x:v>18.27697688</x:v>
      </x:c>
      <x:c r="L300" t="n">
        <x:v>-64.75267291</x:v>
      </x:c>
      <x:c r="M300" t="n">
        <x:v>32.735</x:v>
      </x:c>
      <x:c r="N300" t="str">
        <x:v>https://nccospublicstor.blob.core.windows.net/biomapper/usviinsularshelf2017/videos/low/AA2017_318.mp4</x:v>
      </x:c>
      <x:c r="O300" t="n">
        <x:v>0</x:v>
      </x:c>
      <x:c r="P300" t="n">
        <x:v>0</x:v>
      </x:c>
      <x:c r="Q300" t="n">
        <x:v>1</x:v>
      </x:c>
      <x:c r="R300" t="n">
        <x:v>1</x:v>
      </x:c>
      <x:c r="S300" t="n">
        <x:v>0</x:v>
      </x:c>
      <x:c r="T300" t="n">
        <x:v>0</x:v>
      </x:c>
      <x:c r="U300" t="n">
        <x:v>0</x:v>
      </x:c>
      <x:c r="V300" t="n">
        <x:v>1</x:v>
      </x:c>
      <x:c r="W300" t="n">
        <x:v>0</x:v>
      </x:c>
      <x:c r="X300" t="n">
        <x:v>0</x:v>
      </x:c>
      <x:c r="Y300" t="n">
        <x:v>0</x:v>
      </x:c>
      <x:c r="Z300" t="n">
        <x:v>2</x:v>
      </x:c>
      <x:c r="AA300" t="n">
        <x:v>1</x:v>
      </x:c>
      <x:c r="AB300" t="str">
        <x:v>Pass</x:v>
      </x:c>
      <x:c r="AC300" t="str"/>
      <x:c r="AD300" t="str">
        <x:v>location offset ~50 m east</x:v>
      </x:c>
    </x:row>
    <x:row r="301">
      <x:c r="A301" t="str">
        <x:v>REC0300</x:v>
      </x:c>
      <x:c r="B301" t="n">
        <x:v>299</x:v>
      </x:c>
      <x:c r="C301" t="str">
        <x:v>St. John, USVI</x:v>
      </x:c>
      <x:c r="D301" t="str">
        <x:v>AA</x:v>
      </x:c>
      <x:c r="E301" t="str">
        <x:v>Accuracy Assessment</x:v>
      </x:c>
      <x:c r="F301" t="str">
        <x:v>HD Seaviewer Drop Camera</x:v>
      </x:c>
      <x:c r="G301" t="str">
        <x:v>AA2017_319</x:v>
      </x:c>
      <x:c r="H301" s="28" t="n">
        <x:v>42771</x:v>
      </x:c>
      <x:c r="I301" t="str">
        <x:v>08:39:46</x:v>
      </x:c>
      <x:c r="J301" t="n">
        <x:v>2017</x:v>
      </x:c>
      <x:c r="K301" t="n">
        <x:v>18.29698737</x:v>
      </x:c>
      <x:c r="L301" t="n">
        <x:v>-64.75224076</x:v>
      </x:c>
      <x:c r="M301" t="n">
        <x:v>29.823</x:v>
      </x:c>
      <x:c r="N301" t="str">
        <x:v>https://nccospublicstor.blob.core.windows.net/biomapper/usviinsularshelf2017/videos/low/AA2017_319.mp4</x:v>
      </x:c>
      <x:c r="O301" t="n">
        <x:v>0</x:v>
      </x:c>
      <x:c r="P301" t="n">
        <x:v>0</x:v>
      </x:c>
      <x:c r="Q301" t="n">
        <x:v>1</x:v>
      </x:c>
      <x:c r="R301" t="n">
        <x:v>1</x:v>
      </x:c>
      <x:c r="S301" t="n">
        <x:v>0</x:v>
      </x:c>
      <x:c r="T301" t="n">
        <x:v>0</x:v>
      </x:c>
      <x:c r="U301" t="n">
        <x:v>1</x:v>
      </x:c>
      <x:c r="V301" t="n">
        <x:v>1</x:v>
      </x:c>
      <x:c r="W301" t="n">
        <x:v>0</x:v>
      </x:c>
      <x:c r="X301" t="n">
        <x:v>0</x:v>
      </x:c>
      <x:c r="Y301" t="n">
        <x:v>0</x:v>
      </x:c>
      <x:c r="Z301" t="n">
        <x:v>2</x:v>
      </x:c>
      <x:c r="AA301" t="n">
        <x:v>2</x:v>
      </x:c>
      <x:c r="AB301" t="str">
        <x:v>Pass</x:v>
      </x:c>
      <x:c r="AC301" t="str"/>
      <x:c r="AD301" t="str"/>
    </x:row>
    <x:row r="302">
      <x:c r="A302" t="str">
        <x:v>REC0301</x:v>
      </x:c>
      <x:c r="B302" t="n">
        <x:v>300</x:v>
      </x:c>
      <x:c r="C302" t="str">
        <x:v>St. John, USVI</x:v>
      </x:c>
      <x:c r="D302" t="str">
        <x:v>AA</x:v>
      </x:c>
      <x:c r="E302" t="str">
        <x:v>Accuracy Assessment</x:v>
      </x:c>
      <x:c r="F302" t="str">
        <x:v>HD Seaviewer Drop Camera</x:v>
      </x:c>
      <x:c r="G302" t="str">
        <x:v>AA2017_320</x:v>
      </x:c>
      <x:c r="H302" s="28" t="n">
        <x:v>42772</x:v>
      </x:c>
      <x:c r="I302" t="str">
        <x:v>09:45:13</x:v>
      </x:c>
      <x:c r="J302" t="n">
        <x:v>2017</x:v>
      </x:c>
      <x:c r="K302" t="n">
        <x:v>18.26981396</x:v>
      </x:c>
      <x:c r="L302" t="n">
        <x:v>-64.7516109</x:v>
      </x:c>
      <x:c r="M302" t="n">
        <x:v>42.318</x:v>
      </x:c>
      <x:c r="N302" t="str">
        <x:v>https://nccospublicstor.blob.core.windows.net/biomapper/usviinsularshelf2017/videos/low/AA2017_320.mp4</x:v>
      </x:c>
      <x:c r="O302" t="n">
        <x:v>0</x:v>
      </x:c>
      <x:c r="P302" t="n">
        <x:v>0</x:v>
      </x:c>
      <x:c r="Q302" t="n">
        <x:v>0</x:v>
      </x:c>
      <x:c r="R302" t="n">
        <x:v>1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1</x:v>
      </x:c>
      <x:c r="AA302" t="n">
        <x:v>0</x:v>
      </x:c>
      <x:c r="AB302" t="str">
        <x:v>Pass</x:v>
      </x:c>
      <x:c r="AC302" t="str"/>
      <x:c r="AD302" t="str"/>
    </x:row>
    <x:row r="303">
      <x:c r="A303" t="str">
        <x:v>REC0302</x:v>
      </x:c>
      <x:c r="B303" t="n">
        <x:v>301</x:v>
      </x:c>
      <x:c r="C303" t="str">
        <x:v>St. John, USVI</x:v>
      </x:c>
      <x:c r="D303" t="str">
        <x:v>AA</x:v>
      </x:c>
      <x:c r="E303" t="str">
        <x:v>Accuracy Assessment</x:v>
      </x:c>
      <x:c r="F303" t="str">
        <x:v>HD Seaviewer Drop Camera</x:v>
      </x:c>
      <x:c r="G303" t="str">
        <x:v>AA2017_321</x:v>
      </x:c>
      <x:c r="H303" s="28" t="n">
        <x:v>42772</x:v>
      </x:c>
      <x:c r="I303" t="str">
        <x:v>10:27:48</x:v>
      </x:c>
      <x:c r="J303" t="n">
        <x:v>2017</x:v>
      </x:c>
      <x:c r="K303" t="n">
        <x:v>18.25634315</x:v>
      </x:c>
      <x:c r="L303" t="n">
        <x:v>-64.75089037</x:v>
      </x:c>
      <x:c r="M303" t="n">
        <x:v>45.209</x:v>
      </x:c>
      <x:c r="N303" t="str">
        <x:v>https://nccospublicstor.blob.core.windows.net/biomapper/usviinsularshelf2017/videos/low/AA2017_321.mp4</x:v>
      </x:c>
      <x:c r="O303" t="n">
        <x:v>0</x:v>
      </x:c>
      <x:c r="P303" t="n">
        <x:v>0</x:v>
      </x:c>
      <x:c r="Q303" t="n">
        <x:v>1</x:v>
      </x:c>
      <x:c r="R303" t="n">
        <x:v>1</x:v>
      </x:c>
      <x:c r="S303" t="n">
        <x:v>0</x:v>
      </x:c>
      <x:c r="T303" t="n">
        <x:v>0</x:v>
      </x:c>
      <x:c r="U303" t="n">
        <x:v>1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2</x:v>
      </x:c>
      <x:c r="AA303" t="n">
        <x:v>1</x:v>
      </x:c>
      <x:c r="AB303" t="str">
        <x:v>Pass</x:v>
      </x:c>
      <x:c r="AC303" t="str"/>
      <x:c r="AD303" t="str"/>
    </x:row>
    <x:row r="304">
      <x:c r="A304" t="str">
        <x:v>REC0303</x:v>
      </x:c>
      <x:c r="B304" t="n">
        <x:v>302</x:v>
      </x:c>
      <x:c r="C304" t="str">
        <x:v>St. John, USVI</x:v>
      </x:c>
      <x:c r="D304" t="str">
        <x:v>AA</x:v>
      </x:c>
      <x:c r="E304" t="str">
        <x:v>Accuracy Assessment</x:v>
      </x:c>
      <x:c r="F304" t="str">
        <x:v>HD Seaviewer Drop Camera</x:v>
      </x:c>
      <x:c r="G304" t="str">
        <x:v>AA2017_322</x:v>
      </x:c>
      <x:c r="H304" s="28" t="n">
        <x:v>42771</x:v>
      </x:c>
      <x:c r="I304" t="str">
        <x:v>08:26:49</x:v>
      </x:c>
      <x:c r="J304" t="n">
        <x:v>2017</x:v>
      </x:c>
      <x:c r="K304" t="n">
        <x:v>18.31072573</x:v>
      </x:c>
      <x:c r="L304" t="n">
        <x:v>-64.74946859</x:v>
      </x:c>
      <x:c r="M304" t="n">
        <x:v>22.364</x:v>
      </x:c>
      <x:c r="N304" t="str">
        <x:v>https://nccospublicstor.blob.core.windows.net/biomapper/usviinsularshelf2017/videos/low/AA2017_322.mp4</x:v>
      </x:c>
      <x:c r="O304" t="n">
        <x:v>0</x:v>
      </x:c>
      <x:c r="P304" t="n">
        <x:v>0</x:v>
      </x:c>
      <x:c r="Q304" t="n">
        <x:v>1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1</x:v>
      </x:c>
      <x:c r="W304" t="n">
        <x:v>1</x:v>
      </x:c>
      <x:c r="X304" t="n">
        <x:v>0</x:v>
      </x:c>
      <x:c r="Y304" t="n">
        <x:v>0</x:v>
      </x:c>
      <x:c r="Z304" t="n">
        <x:v>1</x:v>
      </x:c>
      <x:c r="AA304" t="n">
        <x:v>1</x:v>
      </x:c>
      <x:c r="AB304" t="str">
        <x:v>Pass</x:v>
      </x:c>
      <x:c r="AC304" t="str"/>
      <x:c r="AD304" t="str">
        <x:v>filamentous algae</x:v>
      </x:c>
    </x:row>
    <x:row r="305">
      <x:c r="A305" t="str">
        <x:v>REC0304</x:v>
      </x:c>
      <x:c r="B305" t="n">
        <x:v>303</x:v>
      </x:c>
      <x:c r="C305" t="str">
        <x:v>St. John, USVI</x:v>
      </x:c>
      <x:c r="D305" t="str">
        <x:v>AA</x:v>
      </x:c>
      <x:c r="E305" t="str">
        <x:v>Accuracy Assessment</x:v>
      </x:c>
      <x:c r="F305" t="str">
        <x:v>HD Seaviewer Drop Camera</x:v>
      </x:c>
      <x:c r="G305" t="str">
        <x:v>AA2017_323</x:v>
      </x:c>
      <x:c r="H305" s="28" t="n">
        <x:v>42771</x:v>
      </x:c>
      <x:c r="I305" t="str">
        <x:v>14:02:40</x:v>
      </x:c>
      <x:c r="J305" t="n">
        <x:v>2017</x:v>
      </x:c>
      <x:c r="K305" t="n">
        <x:v>18.21233598</x:v>
      </x:c>
      <x:c r="L305" t="n">
        <x:v>-64.74816369</x:v>
      </x:c>
      <x:c r="M305" t="n">
        <x:v>53.887</x:v>
      </x:c>
      <x:c r="N305" t="str">
        <x:v>https://nccospublicstor.blob.core.windows.net/biomapper/usviinsularshelf2017/videos/low/AA2017_323.mp4</x:v>
      </x:c>
      <x:c r="O305" t="n">
        <x:v>0</x:v>
      </x:c>
      <x:c r="P305" t="n">
        <x:v>1</x:v>
      </x:c>
      <x:c r="Q305" t="n">
        <x:v>1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1</x:v>
      </x:c>
      <x:c r="W305" t="n">
        <x:v>0</x:v>
      </x:c>
      <x:c r="X305" t="n">
        <x:v>0</x:v>
      </x:c>
      <x:c r="Y305" t="n">
        <x:v>0</x:v>
      </x:c>
      <x:c r="Z305" t="n">
        <x:v>2</x:v>
      </x:c>
      <x:c r="AA305" t="n">
        <x:v>1</x:v>
      </x:c>
      <x:c r="AB305" t="str">
        <x:v>Pass</x:v>
      </x:c>
      <x:c r="AC305" t="str"/>
      <x:c r="AD305" t="str"/>
    </x:row>
    <x:row r="306">
      <x:c r="A306" t="str">
        <x:v>REC0305</x:v>
      </x:c>
      <x:c r="B306" t="n">
        <x:v>304</x:v>
      </x:c>
      <x:c r="C306" t="str">
        <x:v>St. John, USVI</x:v>
      </x:c>
      <x:c r="D306" t="str">
        <x:v>AA</x:v>
      </x:c>
      <x:c r="E306" t="str">
        <x:v>Accuracy Assessment</x:v>
      </x:c>
      <x:c r="F306" t="str">
        <x:v>HD Seaviewer Drop Camera</x:v>
      </x:c>
      <x:c r="G306" t="str">
        <x:v>AA2017_324</x:v>
      </x:c>
      <x:c r="H306" s="28" t="n">
        <x:v>42771</x:v>
      </x:c>
      <x:c r="I306" t="str">
        <x:v>08:33:39</x:v>
      </x:c>
      <x:c r="J306" t="n">
        <x:v>2017</x:v>
      </x:c>
      <x:c r="K306" t="n">
        <x:v>18.30164187</x:v>
      </x:c>
      <x:c r="L306" t="n">
        <x:v>-64.74750239</x:v>
      </x:c>
      <x:c r="M306" t="n">
        <x:v>27.927</x:v>
      </x:c>
      <x:c r="N306" t="str">
        <x:v>https://nccospublicstor.blob.core.windows.net/biomapper/usviinsularshelf2017/videos/low/AA2017_324.mp4</x:v>
      </x:c>
      <x:c r="O306" t="n">
        <x:v>0</x:v>
      </x:c>
      <x:c r="P306" t="n">
        <x:v>0</x:v>
      </x:c>
      <x:c r="Q306" t="n">
        <x:v>0</x:v>
      </x:c>
      <x:c r="R306" t="n">
        <x:v>1</x:v>
      </x:c>
      <x:c r="S306" t="n">
        <x:v>0</x:v>
      </x:c>
      <x:c r="T306" t="n">
        <x:v>0</x:v>
      </x:c>
      <x:c r="U306" t="n">
        <x:v>0</x:v>
      </x:c>
      <x:c r="V306" t="n">
        <x:v>1</x:v>
      </x:c>
      <x:c r="W306" t="n">
        <x:v>1</x:v>
      </x:c>
      <x:c r="X306" t="n">
        <x:v>0</x:v>
      </x:c>
      <x:c r="Y306" t="n">
        <x:v>0</x:v>
      </x:c>
      <x:c r="Z306" t="n">
        <x:v>1</x:v>
      </x:c>
      <x:c r="AA306" t="n">
        <x:v>1</x:v>
      </x:c>
      <x:c r="AB306" t="str">
        <x:v>Pass</x:v>
      </x:c>
      <x:c r="AC306" t="str"/>
      <x:c r="AD306" t="str"/>
    </x:row>
    <x:row r="307">
      <x:c r="A307" t="str">
        <x:v>REC0306</x:v>
      </x:c>
      <x:c r="B307" t="n">
        <x:v>305</x:v>
      </x:c>
      <x:c r="C307" t="str">
        <x:v>St. John, USVI</x:v>
      </x:c>
      <x:c r="D307" t="str">
        <x:v>AA</x:v>
      </x:c>
      <x:c r="E307" t="str">
        <x:v>Accuracy Assessment</x:v>
      </x:c>
      <x:c r="F307" t="str">
        <x:v>HD Seaviewer Drop Camera</x:v>
      </x:c>
      <x:c r="G307" t="str">
        <x:v>AA2017_325</x:v>
      </x:c>
      <x:c r="H307" s="28" t="n">
        <x:v>42771</x:v>
      </x:c>
      <x:c r="I307" t="str">
        <x:v>08:55:58</x:v>
      </x:c>
      <x:c r="J307" t="n">
        <x:v>2017</x:v>
      </x:c>
      <x:c r="K307" t="n">
        <x:v>18.284528</x:v>
      </x:c>
      <x:c r="L307" t="n">
        <x:v>-64.7438302</x:v>
      </x:c>
      <x:c r="M307" t="n">
        <x:v>30.24</x:v>
      </x:c>
      <x:c r="N307" t="str">
        <x:v>https://nccospublicstor.blob.core.windows.net/biomapper/usviinsularshelf2017/videos/low/AA2017_325.mp4</x:v>
      </x:c>
      <x:c r="O307" t="n">
        <x:v>0</x:v>
      </x:c>
      <x:c r="P307" t="n">
        <x:v>1</x:v>
      </x:c>
      <x:c r="Q307" t="n">
        <x:v>0</x:v>
      </x:c>
      <x:c r="R307" t="n">
        <x:v>1</x:v>
      </x:c>
      <x:c r="S307" t="n">
        <x:v>0</x:v>
      </x:c>
      <x:c r="T307" t="n">
        <x:v>1</x:v>
      </x:c>
      <x:c r="U307" t="n">
        <x:v>0</x:v>
      </x:c>
      <x:c r="V307" t="n">
        <x:v>1</x:v>
      </x:c>
      <x:c r="W307" t="n">
        <x:v>0</x:v>
      </x:c>
      <x:c r="X307" t="n">
        <x:v>0</x:v>
      </x:c>
      <x:c r="Y307" t="n">
        <x:v>0</x:v>
      </x:c>
      <x:c r="Z307" t="n">
        <x:v>2</x:v>
      </x:c>
      <x:c r="AA307" t="n">
        <x:v>2</x:v>
      </x:c>
      <x:c r="AB307" t="str">
        <x:v>Pass</x:v>
      </x:c>
      <x:c r="AC307" t="str"/>
      <x:c r="AD307" t="str"/>
    </x:row>
    <x:row r="308">
      <x:c r="A308" t="str">
        <x:v>REC0307</x:v>
      </x:c>
      <x:c r="B308" t="n">
        <x:v>306</x:v>
      </x:c>
      <x:c r="C308" t="str">
        <x:v>St. John, USVI</x:v>
      </x:c>
      <x:c r="D308" t="str">
        <x:v>AA</x:v>
      </x:c>
      <x:c r="E308" t="str">
        <x:v>Accuracy Assessment</x:v>
      </x:c>
      <x:c r="F308" t="str">
        <x:v>HD Seaviewer Drop Camera</x:v>
      </x:c>
      <x:c r="G308" t="str">
        <x:v>AA2017_326</x:v>
      </x:c>
      <x:c r="H308" s="28" t="n">
        <x:v>42771</x:v>
      </x:c>
      <x:c r="I308" t="str">
        <x:v>13:53:11</x:v>
      </x:c>
      <x:c r="J308" t="n">
        <x:v>2017</x:v>
      </x:c>
      <x:c r="K308" t="n">
        <x:v>18.199724</x:v>
      </x:c>
      <x:c r="L308" t="n">
        <x:v>-64.74252861</x:v>
      </x:c>
      <x:c r="M308" t="n">
        <x:v>54.612</x:v>
      </x:c>
      <x:c r="N308" t="str">
        <x:v>https://nccospublicstor.blob.core.windows.net/biomapper/usviinsularshelf2017/videos/low/AA2017_326.mp4</x:v>
      </x:c>
      <x:c r="O308" t="n">
        <x:v>0</x:v>
      </x:c>
      <x:c r="P308" t="n">
        <x:v>1</x:v>
      </x:c>
      <x:c r="Q308" t="n">
        <x:v>1</x:v>
      </x:c>
      <x:c r="R308" t="n">
        <x:v>0</x:v>
      </x:c>
      <x:c r="S308" t="n">
        <x:v>1</x:v>
      </x:c>
      <x:c r="T308" t="n">
        <x:v>0</x:v>
      </x:c>
      <x:c r="U308" t="n">
        <x:v>0</x:v>
      </x:c>
      <x:c r="V308" t="n">
        <x:v>1</x:v>
      </x:c>
      <x:c r="W308" t="n">
        <x:v>0</x:v>
      </x:c>
      <x:c r="X308" t="n">
        <x:v>0</x:v>
      </x:c>
      <x:c r="Y308" t="n">
        <x:v>0</x:v>
      </x:c>
      <x:c r="Z308" t="n">
        <x:v>2</x:v>
      </x:c>
      <x:c r="AA308" t="n">
        <x:v>2</x:v>
      </x:c>
      <x:c r="AB308" t="str">
        <x:v>Pass</x:v>
      </x:c>
      <x:c r="AC308" t="str"/>
      <x:c r="AD308" t="str"/>
    </x:row>
    <x:row r="309">
      <x:c r="A309" t="str">
        <x:v>REC0308</x:v>
      </x:c>
      <x:c r="B309" t="n">
        <x:v>307</x:v>
      </x:c>
      <x:c r="C309" t="str">
        <x:v>St. John, USVI</x:v>
      </x:c>
      <x:c r="D309" t="str">
        <x:v>AA</x:v>
      </x:c>
      <x:c r="E309" t="str">
        <x:v>Accuracy Assessment</x:v>
      </x:c>
      <x:c r="F309" t="str">
        <x:v>HD Seaviewer Drop Camera</x:v>
      </x:c>
      <x:c r="G309" t="str">
        <x:v>AA2017_327</x:v>
      </x:c>
      <x:c r="H309" s="28" t="n">
        <x:v>42772</x:v>
      </x:c>
      <x:c r="I309" t="str">
        <x:v>10:19:28</x:v>
      </x:c>
      <x:c r="J309" t="n">
        <x:v>2017</x:v>
      </x:c>
      <x:c r="K309" t="n">
        <x:v>18.25527636</x:v>
      </x:c>
      <x:c r="L309" t="n">
        <x:v>-64.7423448</x:v>
      </x:c>
      <x:c r="M309" t="n">
        <x:v>47.132</x:v>
      </x:c>
      <x:c r="N309" t="str">
        <x:v>https://nccospublicstor.blob.core.windows.net/biomapper/usviinsularshelf2017/videos/low/AA2017_327.mp4</x:v>
      </x:c>
      <x:c r="O309" t="n">
        <x:v>0</x:v>
      </x:c>
      <x:c r="P309" t="n">
        <x:v>0</x:v>
      </x:c>
      <x:c r="Q309" t="n">
        <x:v>1</x:v>
      </x:c>
      <x:c r="R309" t="n">
        <x:v>0</x:v>
      </x:c>
      <x:c r="S309" t="n">
        <x:v>0</x:v>
      </x:c>
      <x:c r="T309" t="n">
        <x:v>0</x:v>
      </x:c>
      <x:c r="U309" t="n">
        <x:v>1</x:v>
      </x:c>
      <x:c r="V309" t="n">
        <x:v>1</x:v>
      </x:c>
      <x:c r="W309" t="n">
        <x:v>0</x:v>
      </x:c>
      <x:c r="X309" t="n">
        <x:v>0</x:v>
      </x:c>
      <x:c r="Y309" t="n">
        <x:v>0</x:v>
      </x:c>
      <x:c r="Z309" t="n">
        <x:v>1</x:v>
      </x:c>
      <x:c r="AA309" t="n">
        <x:v>2</x:v>
      </x:c>
      <x:c r="AB309" t="str">
        <x:v>Pass</x:v>
      </x:c>
      <x:c r="AC309" t="str"/>
      <x:c r="AD309" t="str"/>
    </x:row>
    <x:row r="310">
      <x:c r="A310" t="str">
        <x:v>REC0309</x:v>
      </x:c>
      <x:c r="B310" t="n">
        <x:v>308</x:v>
      </x:c>
      <x:c r="C310" t="str">
        <x:v>St. John, USVI</x:v>
      </x:c>
      <x:c r="D310" t="str">
        <x:v>AA</x:v>
      </x:c>
      <x:c r="E310" t="str">
        <x:v>Accuracy Assessment</x:v>
      </x:c>
      <x:c r="F310" t="str">
        <x:v>HD Seaviewer Drop Camera</x:v>
      </x:c>
      <x:c r="G310" t="str">
        <x:v>AA2017_328</x:v>
      </x:c>
      <x:c r="H310" s="28" t="n">
        <x:v>42772</x:v>
      </x:c>
      <x:c r="I310" t="str">
        <x:v>08:24:42</x:v>
      </x:c>
      <x:c r="J310" t="n">
        <x:v>2017</x:v>
      </x:c>
      <x:c r="K310" t="n">
        <x:v>18.2216418</x:v>
      </x:c>
      <x:c r="L310" t="n">
        <x:v>-64.74053749</x:v>
      </x:c>
      <x:c r="M310" t="n">
        <x:v>52.334</x:v>
      </x:c>
      <x:c r="N310" t="str">
        <x:v>https://nccospublicstor.blob.core.windows.net/biomapper/usviinsularshelf2017/videos/low/AA2017_328.mp4</x:v>
      </x:c>
      <x:c r="O310" t="n">
        <x:v>0</x:v>
      </x:c>
      <x:c r="P310" t="n">
        <x:v>0</x:v>
      </x:c>
      <x:c r="Q310" t="n">
        <x:v>1</x:v>
      </x:c>
      <x:c r="R310" t="n">
        <x:v>0</x:v>
      </x:c>
      <x:c r="S310" t="n">
        <x:v>1</x:v>
      </x:c>
      <x:c r="T310" t="n">
        <x:v>0</x:v>
      </x:c>
      <x:c r="U310" t="n">
        <x:v>0</x:v>
      </x:c>
      <x:c r="V310" t="n">
        <x:v>1</x:v>
      </x:c>
      <x:c r="W310" t="n">
        <x:v>0</x:v>
      </x:c>
      <x:c r="X310" t="n">
        <x:v>0</x:v>
      </x:c>
      <x:c r="Y310" t="n">
        <x:v>0</x:v>
      </x:c>
      <x:c r="Z310" t="n">
        <x:v>1</x:v>
      </x:c>
      <x:c r="AA310" t="n">
        <x:v>2</x:v>
      </x:c>
      <x:c r="AB310" t="str">
        <x:v>Pass</x:v>
      </x:c>
      <x:c r="AC310" t="str"/>
      <x:c r="AD310" t="str"/>
    </x:row>
    <x:row r="311">
      <x:c r="A311" t="str">
        <x:v>REC0310</x:v>
      </x:c>
      <x:c r="B311" t="n">
        <x:v>309</x:v>
      </x:c>
      <x:c r="C311" t="str">
        <x:v>St. John, USVI</x:v>
      </x:c>
      <x:c r="D311" t="str">
        <x:v>AA</x:v>
      </x:c>
      <x:c r="E311" t="str">
        <x:v>Accuracy Assessment</x:v>
      </x:c>
      <x:c r="F311" t="str">
        <x:v>HD Seaviewer Drop Camera</x:v>
      </x:c>
      <x:c r="G311" t="str">
        <x:v>AA2017_329</x:v>
      </x:c>
      <x:c r="H311" s="28" t="n">
        <x:v>42771</x:v>
      </x:c>
      <x:c r="I311" t="str">
        <x:v>13:46:46</x:v>
      </x:c>
      <x:c r="J311" t="n">
        <x:v>2017</x:v>
      </x:c>
      <x:c r="K311" t="n">
        <x:v>18.19733247</x:v>
      </x:c>
      <x:c r="L311" t="n">
        <x:v>-64.73429586</x:v>
      </x:c>
      <x:c r="M311" t="n">
        <x:v>28.8</x:v>
      </x:c>
      <x:c r="N311" t="str">
        <x:v>https://nccospublicstor.blob.core.windows.net/biomapper/usviinsularshelf2017/videos/low/AA2017_329.mp4</x:v>
      </x:c>
      <x:c r="O311" t="n">
        <x:v>0</x:v>
      </x:c>
      <x:c r="P311" t="n">
        <x:v>1</x:v>
      </x:c>
      <x:c r="Q311" t="n">
        <x:v>0</x:v>
      </x:c>
      <x:c r="R311" t="n">
        <x:v>0</x:v>
      </x:c>
      <x:c r="S311" t="n">
        <x:v>1</x:v>
      </x:c>
      <x:c r="T311" t="n">
        <x:v>1</x:v>
      </x:c>
      <x:c r="U311" t="n">
        <x:v>0</x:v>
      </x:c>
      <x:c r="V311" t="n">
        <x:v>1</x:v>
      </x:c>
      <x:c r="W311" t="n">
        <x:v>0</x:v>
      </x:c>
      <x:c r="X311" t="n">
        <x:v>0</x:v>
      </x:c>
      <x:c r="Y311" t="n">
        <x:v>0</x:v>
      </x:c>
      <x:c r="Z311" t="n">
        <x:v>1</x:v>
      </x:c>
      <x:c r="AA311" t="n">
        <x:v>3</x:v>
      </x:c>
      <x:c r="AB311" t="str">
        <x:v>Pass</x:v>
      </x:c>
      <x:c r="AC311" t="str"/>
      <x:c r="AD311" t="str">
        <x:v>textbook pavement</x:v>
      </x:c>
    </x:row>
    <x:row r="312">
      <x:c r="A312" t="str">
        <x:v>REC0311</x:v>
      </x:c>
      <x:c r="B312" t="n">
        <x:v>310</x:v>
      </x:c>
      <x:c r="C312" t="str">
        <x:v>St. John, USVI</x:v>
      </x:c>
      <x:c r="D312" t="str">
        <x:v>AA</x:v>
      </x:c>
      <x:c r="E312" t="str">
        <x:v>Accuracy Assessment</x:v>
      </x:c>
      <x:c r="F312" t="str">
        <x:v>HD Seaviewer Drop Camera</x:v>
      </x:c>
      <x:c r="G312" t="str">
        <x:v>AA2017_330</x:v>
      </x:c>
      <x:c r="H312" s="28" t="n">
        <x:v>42772</x:v>
      </x:c>
      <x:c r="I312" t="str">
        <x:v>09:05:40</x:v>
      </x:c>
      <x:c r="J312" t="n">
        <x:v>2017</x:v>
      </x:c>
      <x:c r="K312" t="n">
        <x:v>18.26377964</x:v>
      </x:c>
      <x:c r="L312" t="n">
        <x:v>-64.73363552</x:v>
      </x:c>
      <x:c r="M312" t="n">
        <x:v>47.695</x:v>
      </x:c>
      <x:c r="N312" t="str">
        <x:v>https://nccospublicstor.blob.core.windows.net/biomapper/usviinsularshelf2017/videos/low/AA2017_330.mp4</x:v>
      </x:c>
      <x:c r="O312" t="n">
        <x:v>0</x:v>
      </x:c>
      <x:c r="P312" t="n">
        <x:v>0</x:v>
      </x:c>
      <x:c r="Q312" t="n">
        <x:v>1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1</x:v>
      </x:c>
      <x:c r="W312" t="n">
        <x:v>0</x:v>
      </x:c>
      <x:c r="X312" t="n">
        <x:v>0</x:v>
      </x:c>
      <x:c r="Y312" t="n">
        <x:v>0</x:v>
      </x:c>
      <x:c r="Z312" t="n">
        <x:v>1</x:v>
      </x:c>
      <x:c r="AA312" t="n">
        <x:v>1</x:v>
      </x:c>
      <x:c r="AB312" t="str">
        <x:v>Pass</x:v>
      </x:c>
      <x:c r="AC312" t="str"/>
      <x:c r="AD312" t="str"/>
    </x:row>
    <x:row r="313">
      <x:c r="A313" t="str">
        <x:v>REC0312</x:v>
      </x:c>
      <x:c r="B313" t="n">
        <x:v>311</x:v>
      </x:c>
      <x:c r="C313" t="str">
        <x:v>St. John, USVI</x:v>
      </x:c>
      <x:c r="D313" t="str">
        <x:v>AA</x:v>
      </x:c>
      <x:c r="E313" t="str">
        <x:v>Accuracy Assessment</x:v>
      </x:c>
      <x:c r="F313" t="str">
        <x:v>HD Seaviewer Drop Camera</x:v>
      </x:c>
      <x:c r="G313" t="str">
        <x:v>AA2017_331</x:v>
      </x:c>
      <x:c r="H313" s="28" t="n">
        <x:v>42772</x:v>
      </x:c>
      <x:c r="I313" t="str">
        <x:v>08:15:46</x:v>
      </x:c>
      <x:c r="J313" t="n">
        <x:v>2017</x:v>
      </x:c>
      <x:c r="K313" t="n">
        <x:v>18.23087902</x:v>
      </x:c>
      <x:c r="L313" t="n">
        <x:v>-64.73345425</x:v>
      </x:c>
      <x:c r="M313" t="n">
        <x:v>53.033</x:v>
      </x:c>
      <x:c r="N313" t="str">
        <x:v>https://nccospublicstor.blob.core.windows.net/biomapper/usviinsularshelf2017/videos/low/AA2017_331.mp4</x:v>
      </x:c>
      <x:c r="O313" t="n">
        <x:v>0</x:v>
      </x:c>
      <x:c r="P313" t="n">
        <x:v>1</x:v>
      </x:c>
      <x:c r="Q313" t="n">
        <x:v>1</x:v>
      </x:c>
      <x:c r="R313" t="n">
        <x:v>0</x:v>
      </x:c>
      <x:c r="S313" t="n">
        <x:v>1</x:v>
      </x:c>
      <x:c r="T313" t="n">
        <x:v>0</x:v>
      </x:c>
      <x:c r="U313" t="n">
        <x:v>0</x:v>
      </x:c>
      <x:c r="V313" t="n">
        <x:v>1</x:v>
      </x:c>
      <x:c r="W313" t="n">
        <x:v>0</x:v>
      </x:c>
      <x:c r="X313" t="n">
        <x:v>0</x:v>
      </x:c>
      <x:c r="Y313" t="n">
        <x:v>0</x:v>
      </x:c>
      <x:c r="Z313" t="n">
        <x:v>2</x:v>
      </x:c>
      <x:c r="AA313" t="n">
        <x:v>2</x:v>
      </x:c>
      <x:c r="AB313" t="str">
        <x:v>Pass</x:v>
      </x:c>
      <x:c r="AC313" t="str"/>
      <x:c r="AD313" t="str"/>
    </x:row>
    <x:row r="314">
      <x:c r="A314" t="str">
        <x:v>REC0313</x:v>
      </x:c>
      <x:c r="B314" t="n">
        <x:v>312</x:v>
      </x:c>
      <x:c r="C314" t="str">
        <x:v>St. John, USVI</x:v>
      </x:c>
      <x:c r="D314" t="str">
        <x:v>AA</x:v>
      </x:c>
      <x:c r="E314" t="str">
        <x:v>Accuracy Assessment</x:v>
      </x:c>
      <x:c r="F314" t="str">
        <x:v>HD Seaviewer Drop Camera</x:v>
      </x:c>
      <x:c r="G314" t="str">
        <x:v>AA2017_332</x:v>
      </x:c>
      <x:c r="H314" s="28" t="n">
        <x:v>42772</x:v>
      </x:c>
      <x:c r="I314" t="str">
        <x:v>09:34:48</x:v>
      </x:c>
      <x:c r="J314" t="n">
        <x:v>2017</x:v>
      </x:c>
      <x:c r="K314" t="n">
        <x:v>18.27667201</x:v>
      </x:c>
      <x:c r="L314" t="n">
        <x:v>-64.72948019</x:v>
      </x:c>
      <x:c r="M314" t="n">
        <x:v>37.002</x:v>
      </x:c>
      <x:c r="N314" t="str">
        <x:v>https://nccospublicstor.blob.core.windows.net/biomapper/usviinsularshelf2017/videos/low/AA2017_332.mp4</x:v>
      </x:c>
      <x:c r="O314" t="n">
        <x:v>0</x:v>
      </x:c>
      <x:c r="P314" t="n">
        <x:v>0</x:v>
      </x:c>
      <x:c r="Q314" t="n">
        <x:v>1</x:v>
      </x:c>
      <x:c r="R314" t="n">
        <x:v>0</x:v>
      </x:c>
      <x:c r="S314" t="n">
        <x:v>0</x:v>
      </x:c>
      <x:c r="T314" t="n">
        <x:v>0</x:v>
      </x:c>
      <x:c r="U314" t="n">
        <x:v>1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1</x:v>
      </x:c>
      <x:c r="AA314" t="n">
        <x:v>1</x:v>
      </x:c>
      <x:c r="AB314" t="str">
        <x:v>Pass</x:v>
      </x:c>
      <x:c r="AC314" t="str"/>
      <x:c r="AD314" t="str"/>
    </x:row>
    <x:row r="315">
      <x:c r="A315" t="str">
        <x:v>REC0314</x:v>
      </x:c>
      <x:c r="B315" t="n">
        <x:v>313</x:v>
      </x:c>
      <x:c r="C315" t="str">
        <x:v>St. John, USVI</x:v>
      </x:c>
      <x:c r="D315" t="str">
        <x:v>AA</x:v>
      </x:c>
      <x:c r="E315" t="str">
        <x:v>Accuracy Assessment</x:v>
      </x:c>
      <x:c r="F315" t="str">
        <x:v>HD Seaviewer Drop Camera</x:v>
      </x:c>
      <x:c r="G315" t="str">
        <x:v>AA2017_333</x:v>
      </x:c>
      <x:c r="H315" s="28" t="n">
        <x:v>42772</x:v>
      </x:c>
      <x:c r="I315" t="str">
        <x:v>08:47:30</x:v>
      </x:c>
      <x:c r="J315" t="n">
        <x:v>2017</x:v>
      </x:c>
      <x:c r="K315" t="n">
        <x:v>18.25047119</x:v>
      </x:c>
      <x:c r="L315" t="n">
        <x:v>-64.72967799</x:v>
      </x:c>
      <x:c r="M315" t="n">
        <x:v>48.226</x:v>
      </x:c>
      <x:c r="N315" t="str">
        <x:v>https://nccospublicstor.blob.core.windows.net/biomapper/usviinsularshelf2017/videos/low/AA2017_333.mp4</x:v>
      </x:c>
      <x:c r="O315" t="n">
        <x:v>0</x:v>
      </x:c>
      <x:c r="P315" t="n">
        <x:v>0</x:v>
      </x:c>
      <x:c r="Q315" t="n">
        <x:v>1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1</x:v>
      </x:c>
      <x:c r="W315" t="n">
        <x:v>0</x:v>
      </x:c>
      <x:c r="X315" t="n">
        <x:v>0</x:v>
      </x:c>
      <x:c r="Y315" t="n">
        <x:v>0</x:v>
      </x:c>
      <x:c r="Z315" t="n">
        <x:v>1</x:v>
      </x:c>
      <x:c r="AA315" t="n">
        <x:v>1</x:v>
      </x:c>
      <x:c r="AB315" t="str">
        <x:v>Pass</x:v>
      </x:c>
      <x:c r="AC315" t="str"/>
      <x:c r="AD315" t="str"/>
    </x:row>
    <x:row r="316">
      <x:c r="A316" t="str">
        <x:v>REC0315</x:v>
      </x:c>
      <x:c r="B316" t="n">
        <x:v>314</x:v>
      </x:c>
      <x:c r="C316" t="str">
        <x:v>St. John, USVI</x:v>
      </x:c>
      <x:c r="D316" t="str">
        <x:v>AA</x:v>
      </x:c>
      <x:c r="E316" t="str">
        <x:v>Accuracy Assessment</x:v>
      </x:c>
      <x:c r="F316" t="str">
        <x:v>HD Seaviewer Drop Camera</x:v>
      </x:c>
      <x:c r="G316" t="str">
        <x:v>AA2017_334</x:v>
      </x:c>
      <x:c r="H316" s="28" t="n">
        <x:v>42771</x:v>
      </x:c>
      <x:c r="I316" t="str">
        <x:v>09:14:13</x:v>
      </x:c>
      <x:c r="J316" t="n">
        <x:v>2017</x:v>
      </x:c>
      <x:c r="K316" t="n">
        <x:v>18.29663297</x:v>
      </x:c>
      <x:c r="L316" t="n">
        <x:v>-64.72826274</x:v>
      </x:c>
      <x:c r="M316" t="n">
        <x:v>29.6</x:v>
      </x:c>
      <x:c r="N316" t="str">
        <x:v>https://nccospublicstor.blob.core.windows.net/biomapper/usviinsularshelf2017/videos/low/AA2017_334.mp4</x:v>
      </x:c>
      <x:c r="O316" t="n">
        <x:v>0</x:v>
      </x:c>
      <x:c r="P316" t="n">
        <x:v>0</x:v>
      </x:c>
      <x:c r="Q316" t="n">
        <x:v>0</x:v>
      </x:c>
      <x:c r="R316" t="n">
        <x:v>1</x:v>
      </x:c>
      <x:c r="S316" t="n">
        <x:v>0</x:v>
      </x:c>
      <x:c r="T316" t="n">
        <x:v>0</x:v>
      </x:c>
      <x:c r="U316" t="n">
        <x:v>1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1</x:v>
      </x:c>
      <x:c r="AA316" t="n">
        <x:v>1</x:v>
      </x:c>
      <x:c r="AB316" t="str">
        <x:v>Pass</x:v>
      </x:c>
      <x:c r="AC316" t="str"/>
      <x:c r="AD316" t="str">
        <x:v>macroalgae extremly patchy. Some seagrass present &lt;20%</x:v>
      </x:c>
    </x:row>
    <x:row r="317">
      <x:c r="A317" t="str">
        <x:v>REC0316</x:v>
      </x:c>
      <x:c r="B317" t="n">
        <x:v>315</x:v>
      </x:c>
      <x:c r="C317" t="str">
        <x:v>St. John, USVI</x:v>
      </x:c>
      <x:c r="D317" t="str">
        <x:v>AA</x:v>
      </x:c>
      <x:c r="E317" t="str">
        <x:v>Accuracy Assessment</x:v>
      </x:c>
      <x:c r="F317" t="str">
        <x:v>HD Seaviewer Drop Camera</x:v>
      </x:c>
      <x:c r="G317" t="str">
        <x:v>AA2017_335</x:v>
      </x:c>
      <x:c r="H317" s="28" t="n">
        <x:v>42771</x:v>
      </x:c>
      <x:c r="I317" t="str">
        <x:v>09:06:29</x:v>
      </x:c>
      <x:c r="J317" t="n">
        <x:v>2017</x:v>
      </x:c>
      <x:c r="K317" t="n">
        <x:v>18.2918802</x:v>
      </x:c>
      <x:c r="L317" t="n">
        <x:v>-64.72595345</x:v>
      </x:c>
      <x:c r="M317" t="n">
        <x:v>31.968</x:v>
      </x:c>
      <x:c r="N317" t="str">
        <x:v>https://nccospublicstor.blob.core.windows.net/biomapper/usviinsularshelf2017/videos/low/AA2017_335.mp4</x:v>
      </x:c>
      <x:c r="O317" t="n">
        <x:v>0</x:v>
      </x:c>
      <x:c r="P317" t="n">
        <x:v>0</x:v>
      </x:c>
      <x:c r="Q317" t="n">
        <x:v>1</x:v>
      </x:c>
      <x:c r="R317" t="n">
        <x:v>0</x:v>
      </x:c>
      <x:c r="S317" t="n">
        <x:v>0</x:v>
      </x:c>
      <x:c r="T317" t="n">
        <x:v>0</x:v>
      </x:c>
      <x:c r="U317" t="n">
        <x:v>1</x:v>
      </x:c>
      <x:c r="V317" t="n">
        <x:v>1</x:v>
      </x:c>
      <x:c r="W317" t="n">
        <x:v>0</x:v>
      </x:c>
      <x:c r="X317" t="n">
        <x:v>0</x:v>
      </x:c>
      <x:c r="Y317" t="n">
        <x:v>0</x:v>
      </x:c>
      <x:c r="Z317" t="n">
        <x:v>1</x:v>
      </x:c>
      <x:c r="AA317" t="n">
        <x:v>2</x:v>
      </x:c>
      <x:c r="AB317" t="str">
        <x:v>Pass</x:v>
      </x:c>
      <x:c r="AC317" t="str"/>
      <x:c r="AD317" t="str"/>
    </x:row>
    <x:row r="318">
      <x:c r="A318" t="str">
        <x:v>REC0317</x:v>
      </x:c>
      <x:c r="B318" t="n">
        <x:v>316</x:v>
      </x:c>
      <x:c r="C318" t="str">
        <x:v>St. John, USVI</x:v>
      </x:c>
      <x:c r="D318" t="str">
        <x:v>AA</x:v>
      </x:c>
      <x:c r="E318" t="str">
        <x:v>Accuracy Assessment</x:v>
      </x:c>
      <x:c r="F318" t="str">
        <x:v>HD Seaviewer Drop Camera</x:v>
      </x:c>
      <x:c r="G318" t="str">
        <x:v>AA2017_336</x:v>
      </x:c>
      <x:c r="H318" s="28" t="n">
        <x:v>42772</x:v>
      </x:c>
      <x:c r="I318" t="str">
        <x:v>08:06:10</x:v>
      </x:c>
      <x:c r="J318" t="n">
        <x:v>2017</x:v>
      </x:c>
      <x:c r="K318" t="n">
        <x:v>18.21776592</x:v>
      </x:c>
      <x:c r="L318" t="n">
        <x:v>-64.72518348</x:v>
      </x:c>
      <x:c r="M318" t="n">
        <x:v>52.645</x:v>
      </x:c>
      <x:c r="N318" t="str">
        <x:v>https://nccospublicstor.blob.core.windows.net/biomapper/usviinsularshelf2017/videos/low/AA2017_336.mp4</x:v>
      </x:c>
      <x:c r="O318" t="n">
        <x:v>0</x:v>
      </x:c>
      <x:c r="P318" t="n">
        <x:v>1</x:v>
      </x:c>
      <x:c r="Q318" t="n">
        <x:v>1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1</x:v>
      </x:c>
      <x:c r="W318" t="n">
        <x:v>0</x:v>
      </x:c>
      <x:c r="X318" t="n">
        <x:v>0</x:v>
      </x:c>
      <x:c r="Y318" t="n">
        <x:v>0</x:v>
      </x:c>
      <x:c r="Z318" t="n">
        <x:v>2</x:v>
      </x:c>
      <x:c r="AA318" t="n">
        <x:v>1</x:v>
      </x:c>
      <x:c r="AB318" t="str">
        <x:v>Pass</x:v>
      </x:c>
      <x:c r="AC318" t="str"/>
      <x:c r="AD318" t="str"/>
    </x:row>
    <x:row r="319">
      <x:c r="A319" t="str">
        <x:v>REC0318</x:v>
      </x:c>
      <x:c r="B319" t="n">
        <x:v>317</x:v>
      </x:c>
      <x:c r="C319" t="str">
        <x:v>St. John, USVI</x:v>
      </x:c>
      <x:c r="D319" t="str">
        <x:v>AA</x:v>
      </x:c>
      <x:c r="E319" t="str">
        <x:v>Accuracy Assessment</x:v>
      </x:c>
      <x:c r="F319" t="str">
        <x:v>HD Seaviewer Drop Camera</x:v>
      </x:c>
      <x:c r="G319" t="str">
        <x:v>AA2017_337</x:v>
      </x:c>
      <x:c r="H319" s="28" t="n">
        <x:v>42772</x:v>
      </x:c>
      <x:c r="I319" t="str">
        <x:v>08:57:49</x:v>
      </x:c>
      <x:c r="J319" t="n">
        <x:v>2017</x:v>
      </x:c>
      <x:c r="K319" t="n">
        <x:v>18.26454924</x:v>
      </x:c>
      <x:c r="L319" t="n">
        <x:v>-64.72483174</x:v>
      </x:c>
      <x:c r="M319" t="n">
        <x:v>47.867</x:v>
      </x:c>
      <x:c r="N319" t="str">
        <x:v>https://nccospublicstor.blob.core.windows.net/biomapper/usviinsularshelf2017/videos/low/AA2017_337.mp4</x:v>
      </x:c>
      <x:c r="O319" t="n">
        <x:v>0</x:v>
      </x:c>
      <x:c r="P319" t="n">
        <x:v>0</x:v>
      </x:c>
      <x:c r="Q319" t="n">
        <x:v>1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1</x:v>
      </x:c>
      <x:c r="W319" t="n">
        <x:v>0</x:v>
      </x:c>
      <x:c r="X319" t="n">
        <x:v>0</x:v>
      </x:c>
      <x:c r="Y319" t="n">
        <x:v>0</x:v>
      </x:c>
      <x:c r="Z319" t="n">
        <x:v>1</x:v>
      </x:c>
      <x:c r="AA319" t="n">
        <x:v>1</x:v>
      </x:c>
      <x:c r="AB319" t="str">
        <x:v>Pass</x:v>
      </x:c>
      <x:c r="AC319" t="str"/>
      <x:c r="AD319" t="str"/>
    </x:row>
    <x:row r="320">
      <x:c r="A320" t="str">
        <x:v>REC0319</x:v>
      </x:c>
      <x:c r="B320" t="n">
        <x:v>318</x:v>
      </x:c>
      <x:c r="C320" t="str">
        <x:v>St. John, USVI</x:v>
      </x:c>
      <x:c r="D320" t="str">
        <x:v>AA</x:v>
      </x:c>
      <x:c r="E320" t="str">
        <x:v>Accuracy Assessment</x:v>
      </x:c>
      <x:c r="F320" t="str">
        <x:v>HD Seaviewer Drop Camera</x:v>
      </x:c>
      <x:c r="G320" t="str">
        <x:v>AA2017_338</x:v>
      </x:c>
      <x:c r="H320" s="28" t="n">
        <x:v>42772</x:v>
      </x:c>
      <x:c r="I320" t="str">
        <x:v>08:39:56</x:v>
      </x:c>
      <x:c r="J320" t="n">
        <x:v>2017</x:v>
      </x:c>
      <x:c r="K320" t="n">
        <x:v>18.25127496</x:v>
      </x:c>
      <x:c r="L320" t="n">
        <x:v>-64.72450383</x:v>
      </x:c>
      <x:c r="M320" t="n">
        <x:v>48.391</x:v>
      </x:c>
      <x:c r="N320" t="str">
        <x:v>https://nccospublicstor.blob.core.windows.net/biomapper/usviinsularshelf2017/videos/low/AA2017_338.mp4</x:v>
      </x:c>
      <x:c r="O320" t="n">
        <x:v>0</x:v>
      </x:c>
      <x:c r="P320" t="n">
        <x:v>0</x:v>
      </x:c>
      <x:c r="Q320" t="n">
        <x:v>0</x:v>
      </x:c>
      <x:c r="R320" t="n">
        <x:v>1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1</x:v>
      </x:c>
      <x:c r="AA320" t="n">
        <x:v>0</x:v>
      </x:c>
      <x:c r="AB320" t="str">
        <x:v>Pass</x:v>
      </x:c>
      <x:c r="AC320" t="str"/>
      <x:c r="AD320" t="str">
        <x:v>filamentous algae</x:v>
      </x:c>
    </x:row>
    <x:row r="321">
      <x:c r="A321" t="str">
        <x:v>REC0320</x:v>
      </x:c>
      <x:c r="B321" t="n">
        <x:v>319</x:v>
      </x:c>
      <x:c r="C321" t="str">
        <x:v>St. John, USVI</x:v>
      </x:c>
      <x:c r="D321" t="str">
        <x:v>AA</x:v>
      </x:c>
      <x:c r="E321" t="str">
        <x:v>Accuracy Assessment</x:v>
      </x:c>
      <x:c r="F321" t="str">
        <x:v>HD Seaviewer Drop Camera</x:v>
      </x:c>
      <x:c r="G321" t="str">
        <x:v>AA2017_339</x:v>
      </x:c>
      <x:c r="H321" s="28" t="n">
        <x:v>42772</x:v>
      </x:c>
      <x:c r="I321" t="str">
        <x:v>07:56:38</x:v>
      </x:c>
      <x:c r="J321" t="n">
        <x:v>2017</x:v>
      </x:c>
      <x:c r="K321" t="n">
        <x:v>18.22816476</x:v>
      </x:c>
      <x:c r="L321" t="n">
        <x:v>-64.72272291</x:v>
      </x:c>
      <x:c r="M321" t="n">
        <x:v>54.056</x:v>
      </x:c>
      <x:c r="N321" t="str">
        <x:v>https://nccospublicstor.blob.core.windows.net/biomapper/usviinsularshelf2017/videos/low/AA2017_339.mp4</x:v>
      </x:c>
      <x:c r="O321" t="n">
        <x:v>0</x:v>
      </x:c>
      <x:c r="P321" t="n">
        <x:v>1</x:v>
      </x:c>
      <x:c r="Q321" t="n">
        <x:v>1</x:v>
      </x:c>
      <x:c r="R321" t="n">
        <x:v>0</x:v>
      </x:c>
      <x:c r="S321" t="n">
        <x:v>1</x:v>
      </x:c>
      <x:c r="T321" t="n">
        <x:v>0</x:v>
      </x:c>
      <x:c r="U321" t="n">
        <x:v>0</x:v>
      </x:c>
      <x:c r="V321" t="n">
        <x:v>1</x:v>
      </x:c>
      <x:c r="W321" t="n">
        <x:v>0</x:v>
      </x:c>
      <x:c r="X321" t="n">
        <x:v>0</x:v>
      </x:c>
      <x:c r="Y321" t="n">
        <x:v>0</x:v>
      </x:c>
      <x:c r="Z321" t="n">
        <x:v>2</x:v>
      </x:c>
      <x:c r="AA321" t="n">
        <x:v>2</x:v>
      </x:c>
      <x:c r="AB321" t="str">
        <x:v>Pass</x:v>
      </x:c>
      <x:c r="AC321" t="str"/>
      <x:c r="AD321" t="str"/>
    </x:row>
    <x:row r="322">
      <x:c r="A322" t="str">
        <x:v>REC0321</x:v>
      </x:c>
      <x:c r="B322" t="n">
        <x:v>320</x:v>
      </x:c>
      <x:c r="C322" t="str">
        <x:v>St. John, USVI</x:v>
      </x:c>
      <x:c r="D322" t="str">
        <x:v>AA</x:v>
      </x:c>
      <x:c r="E322" t="str">
        <x:v>Accuracy Assessment</x:v>
      </x:c>
      <x:c r="F322" t="str">
        <x:v>HD Seaviewer Drop Camera</x:v>
      </x:c>
      <x:c r="G322" t="str">
        <x:v>AA2017_340</x:v>
      </x:c>
      <x:c r="H322" s="28" t="n">
        <x:v>42771</x:v>
      </x:c>
      <x:c r="I322" t="str">
        <x:v>13:27:22</x:v>
      </x:c>
      <x:c r="J322" t="n">
        <x:v>2017</x:v>
      </x:c>
      <x:c r="K322" t="n">
        <x:v>18.20906318</x:v>
      </x:c>
      <x:c r="L322" t="n">
        <x:v>-64.72135955</x:v>
      </x:c>
      <x:c r="M322" t="n">
        <x:v>53.367</x:v>
      </x:c>
      <x:c r="N322" t="str">
        <x:v>https://nccospublicstor.blob.core.windows.net/biomapper/usviinsularshelf2017/videos/low/AA2017_340.mp4</x:v>
      </x:c>
      <x:c r="O322" t="n">
        <x:v>0</x:v>
      </x:c>
      <x:c r="P322" t="n">
        <x:v>0</x:v>
      </x:c>
      <x:c r="Q322" t="n">
        <x:v>1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1</x:v>
      </x:c>
      <x:c r="W322" t="n">
        <x:v>0</x:v>
      </x:c>
      <x:c r="X322" t="n">
        <x:v>0</x:v>
      </x:c>
      <x:c r="Y322" t="n">
        <x:v>0</x:v>
      </x:c>
      <x:c r="Z322" t="n">
        <x:v>1</x:v>
      </x:c>
      <x:c r="AA322" t="n">
        <x:v>1</x:v>
      </x:c>
      <x:c r="AB322" t="str">
        <x:v>Pass</x:v>
      </x:c>
      <x:c r="AC322" t="str"/>
      <x:c r="AD322" t="str">
        <x:v>trunkfish (well camoflauged)</x:v>
      </x:c>
    </x:row>
    <x:row r="323">
      <x:c r="A323" t="str">
        <x:v>REC0322</x:v>
      </x:c>
      <x:c r="B323" t="n">
        <x:v>321</x:v>
      </x:c>
      <x:c r="C323" t="str">
        <x:v>St. John, USVI</x:v>
      </x:c>
      <x:c r="D323" t="str">
        <x:v>AA</x:v>
      </x:c>
      <x:c r="E323" t="str">
        <x:v>Accuracy Assessment</x:v>
      </x:c>
      <x:c r="F323" t="str">
        <x:v>HD Seaviewer Drop Camera</x:v>
      </x:c>
      <x:c r="G323" t="str">
        <x:v>AA2017_341</x:v>
      </x:c>
      <x:c r="H323" s="28" t="n">
        <x:v>42771</x:v>
      </x:c>
      <x:c r="I323" t="str">
        <x:v>13:35:13</x:v>
      </x:c>
      <x:c r="J323" t="n">
        <x:v>2017</x:v>
      </x:c>
      <x:c r="K323" t="n">
        <x:v>18.21269931</x:v>
      </x:c>
      <x:c r="L323" t="n">
        <x:v>-64.72091219</x:v>
      </x:c>
      <x:c r="M323" t="n">
        <x:v>56.913</x:v>
      </x:c>
      <x:c r="N323" t="str">
        <x:v>https://nccospublicstor.blob.core.windows.net/biomapper/usviinsularshelf2017/videos/low/AA2017_341.mp4</x:v>
      </x:c>
      <x:c r="O323" t="n">
        <x:v>0</x:v>
      </x:c>
      <x:c r="P323" t="n">
        <x:v>1</x:v>
      </x:c>
      <x:c r="Q323" t="n">
        <x:v>1</x:v>
      </x:c>
      <x:c r="R323" t="n">
        <x:v>0</x:v>
      </x:c>
      <x:c r="S323" t="n">
        <x:v>1</x:v>
      </x:c>
      <x:c r="T323" t="n">
        <x:v>0</x:v>
      </x:c>
      <x:c r="U323" t="n">
        <x:v>0</x:v>
      </x:c>
      <x:c r="V323" t="n">
        <x:v>1</x:v>
      </x:c>
      <x:c r="W323" t="n">
        <x:v>0</x:v>
      </x:c>
      <x:c r="X323" t="n">
        <x:v>0</x:v>
      </x:c>
      <x:c r="Y323" t="n">
        <x:v>0</x:v>
      </x:c>
      <x:c r="Z323" t="n">
        <x:v>2</x:v>
      </x:c>
      <x:c r="AA323" t="n">
        <x:v>2</x:v>
      </x:c>
      <x:c r="AB323" t="str">
        <x:v>Pass</x:v>
      </x:c>
      <x:c r="AC323" t="str"/>
      <x:c r="AD323" t="str"/>
    </x:row>
    <x:row r="324">
      <x:c r="A324" t="str">
        <x:v>REC0323</x:v>
      </x:c>
      <x:c r="B324" t="n">
        <x:v>322</x:v>
      </x:c>
      <x:c r="C324" t="str">
        <x:v>St. John, USVI</x:v>
      </x:c>
      <x:c r="D324" t="str">
        <x:v>AA</x:v>
      </x:c>
      <x:c r="E324" t="str">
        <x:v>Accuracy Assessment</x:v>
      </x:c>
      <x:c r="F324" t="str">
        <x:v>HD Seaviewer Drop Camera</x:v>
      </x:c>
      <x:c r="G324" t="str">
        <x:v>AA2017_342</x:v>
      </x:c>
      <x:c r="H324" s="28" t="n">
        <x:v>42772</x:v>
      </x:c>
      <x:c r="I324" t="str">
        <x:v>09:27:05</x:v>
      </x:c>
      <x:c r="J324" t="n">
        <x:v>2017</x:v>
      </x:c>
      <x:c r="K324" t="n">
        <x:v>18.26985142</x:v>
      </x:c>
      <x:c r="L324" t="n">
        <x:v>-64.7208459</x:v>
      </x:c>
      <x:c r="M324" t="n">
        <x:v>33.896</x:v>
      </x:c>
      <x:c r="N324" t="str">
        <x:v>https://nccospublicstor.blob.core.windows.net/biomapper/usviinsularshelf2017/videos/low/AA2017_342.mp4</x:v>
      </x:c>
      <x:c r="O324" t="n">
        <x:v>0</x:v>
      </x:c>
      <x:c r="P324" t="n">
        <x:v>1</x:v>
      </x:c>
      <x:c r="Q324" t="n">
        <x:v>0</x:v>
      </x:c>
      <x:c r="R324" t="n">
        <x:v>0</x:v>
      </x:c>
      <x:c r="S324" t="n">
        <x:v>1</x:v>
      </x:c>
      <x:c r="T324" t="n">
        <x:v>0</x:v>
      </x:c>
      <x:c r="U324" t="n">
        <x:v>1</x:v>
      </x:c>
      <x:c r="V324" t="n">
        <x:v>1</x:v>
      </x:c>
      <x:c r="W324" t="n">
        <x:v>0</x:v>
      </x:c>
      <x:c r="X324" t="n">
        <x:v>0</x:v>
      </x:c>
      <x:c r="Y324" t="n">
        <x:v>0</x:v>
      </x:c>
      <x:c r="Z324" t="n">
        <x:v>1</x:v>
      </x:c>
      <x:c r="AA324" t="n">
        <x:v>3</x:v>
      </x:c>
      <x:c r="AB324" t="str">
        <x:v>Pass</x:v>
      </x:c>
      <x:c r="AC324" t="str"/>
      <x:c r="AD324" t="str"/>
    </x:row>
    <x:row r="325">
      <x:c r="A325" t="str">
        <x:v>REC0324</x:v>
      </x:c>
      <x:c r="B325" t="n">
        <x:v>323</x:v>
      </x:c>
      <x:c r="C325" t="str">
        <x:v>St. John, USVI</x:v>
      </x:c>
      <x:c r="D325" t="str">
        <x:v>AA</x:v>
      </x:c>
      <x:c r="E325" t="str">
        <x:v>Accuracy Assessment</x:v>
      </x:c>
      <x:c r="F325" t="str">
        <x:v>HD Seaviewer Drop Camera</x:v>
      </x:c>
      <x:c r="G325" t="str">
        <x:v>AA2017_343</x:v>
      </x:c>
      <x:c r="H325" s="28" t="n">
        <x:v>42771</x:v>
      </x:c>
      <x:c r="I325" t="str">
        <x:v>09:22:01</x:v>
      </x:c>
      <x:c r="J325" t="n">
        <x:v>2017</x:v>
      </x:c>
      <x:c r="K325" t="n">
        <x:v>18.30367288</x:v>
      </x:c>
      <x:c r="L325" t="n">
        <x:v>-64.71996531</x:v>
      </x:c>
      <x:c r="M325" t="n">
        <x:v>22.771</x:v>
      </x:c>
      <x:c r="N325" t="str">
        <x:v>https://nccospublicstor.blob.core.windows.net/biomapper/usviinsularshelf2017/videos/low/AA2017_343.mp4</x:v>
      </x:c>
      <x:c r="O325" t="n">
        <x:v>0</x:v>
      </x:c>
      <x:c r="P325" t="n">
        <x:v>0</x:v>
      </x:c>
      <x:c r="Q325" t="n">
        <x:v>0</x:v>
      </x:c>
      <x:c r="R325" t="n">
        <x:v>1</x:v>
      </x:c>
      <x:c r="S325" t="n">
        <x:v>0</x:v>
      </x:c>
      <x:c r="T325" t="n">
        <x:v>0</x:v>
      </x:c>
      <x:c r="U325" t="n">
        <x:v>0</x:v>
      </x:c>
      <x:c r="V325" t="n">
        <x:v>1</x:v>
      </x:c>
      <x:c r="W325" t="n">
        <x:v>1</x:v>
      </x:c>
      <x:c r="X325" t="n">
        <x:v>0</x:v>
      </x:c>
      <x:c r="Y325" t="n">
        <x:v>0</x:v>
      </x:c>
      <x:c r="Z325" t="n">
        <x:v>1</x:v>
      </x:c>
      <x:c r="AA325" t="n">
        <x:v>1</x:v>
      </x:c>
      <x:c r="AB325" t="str">
        <x:v>Pass</x:v>
      </x:c>
      <x:c r="AC325" t="str"/>
      <x:c r="AD325" t="str">
        <x:v>trunkfish</x:v>
      </x:c>
    </x:row>
    <x:row r="326">
      <x:c r="A326" t="str">
        <x:v>REC0325</x:v>
      </x:c>
      <x:c r="B326" t="n">
        <x:v>324</x:v>
      </x:c>
      <x:c r="C326" t="str">
        <x:v>St. John, USVI</x:v>
      </x:c>
      <x:c r="D326" t="str">
        <x:v>AA</x:v>
      </x:c>
      <x:c r="E326" t="str">
        <x:v>Accuracy Assessment</x:v>
      </x:c>
      <x:c r="F326" t="str">
        <x:v>HD Seaviewer Drop Camera</x:v>
      </x:c>
      <x:c r="G326" t="str">
        <x:v>AA2017_344</x:v>
      </x:c>
      <x:c r="H326" s="28" t="n">
        <x:v>42772</x:v>
      </x:c>
      <x:c r="I326" t="str">
        <x:v>09:18:34</x:v>
      </x:c>
      <x:c r="J326" t="n">
        <x:v>2017</x:v>
      </x:c>
      <x:c r="K326" t="n">
        <x:v>18.28100312</x:v>
      </x:c>
      <x:c r="L326" t="n">
        <x:v>-64.71783244</x:v>
      </x:c>
      <x:c r="M326" t="n">
        <x:v>36.968</x:v>
      </x:c>
      <x:c r="N326" t="str">
        <x:v>https://nccospublicstor.blob.core.windows.net/biomapper/usviinsularshelf2017/videos/low/AA2017_344.mp4</x:v>
      </x:c>
      <x:c r="O326" t="n">
        <x:v>0</x:v>
      </x:c>
      <x:c r="P326" t="n">
        <x:v>0</x:v>
      </x:c>
      <x:c r="Q326" t="n">
        <x:v>1</x:v>
      </x:c>
      <x:c r="R326" t="n">
        <x:v>0</x:v>
      </x:c>
      <x:c r="S326" t="n">
        <x:v>0</x:v>
      </x:c>
      <x:c r="T326" t="n">
        <x:v>0</x:v>
      </x:c>
      <x:c r="U326" t="n">
        <x:v>1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1</x:v>
      </x:c>
      <x:c r="AA326" t="n">
        <x:v>1</x:v>
      </x:c>
      <x:c r="AB326" t="str">
        <x:v>Pass</x:v>
      </x:c>
      <x:c r="AC326" t="str"/>
      <x:c r="AD326" t="str"/>
    </x:row>
    <x:row r="327">
      <x:c r="A327" t="str">
        <x:v>REC0326</x:v>
      </x:c>
      <x:c r="B327" t="n">
        <x:v>325</x:v>
      </x:c>
      <x:c r="C327" t="str">
        <x:v>St. John, USVI</x:v>
      </x:c>
      <x:c r="D327" t="str">
        <x:v>AA</x:v>
      </x:c>
      <x:c r="E327" t="str">
        <x:v>Accuracy Assessment</x:v>
      </x:c>
      <x:c r="F327" t="str">
        <x:v>HD Seaviewer Drop Camera</x:v>
      </x:c>
      <x:c r="G327" t="str">
        <x:v>AA2017_345</x:v>
      </x:c>
      <x:c r="H327" s="28" t="n">
        <x:v>42771</x:v>
      </x:c>
      <x:c r="I327" t="str">
        <x:v>13:15:29</x:v>
      </x:c>
      <x:c r="J327" t="n">
        <x:v>2017</x:v>
      </x:c>
      <x:c r="K327" t="n">
        <x:v>18.22178403</x:v>
      </x:c>
      <x:c r="L327" t="n">
        <x:v>-64.71556042</x:v>
      </x:c>
      <x:c r="M327" t="n">
        <x:v>51.884</x:v>
      </x:c>
      <x:c r="N327" t="str">
        <x:v>https://nccospublicstor.blob.core.windows.net/biomapper/usviinsularshelf2017/videos/low/AA2017_345.mp4</x:v>
      </x:c>
      <x:c r="O327" t="n">
        <x:v>0</x:v>
      </x:c>
      <x:c r="P327" t="n">
        <x:v>0</x:v>
      </x:c>
      <x:c r="Q327" t="n">
        <x:v>1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1</x:v>
      </x:c>
      <x:c r="AA327" t="n">
        <x:v>0</x:v>
      </x:c>
      <x:c r="AB327" t="str">
        <x:v>Pass</x:v>
      </x:c>
      <x:c r="AC327" t="str"/>
      <x:c r="AD327" t="str"/>
    </x:row>
    <x:row r="328">
      <x:c r="A328" t="str">
        <x:v>REC0327</x:v>
      </x:c>
      <x:c r="B328" t="n">
        <x:v>326</x:v>
      </x:c>
      <x:c r="C328" t="str">
        <x:v>St. John, USVI</x:v>
      </x:c>
      <x:c r="D328" t="str">
        <x:v>AA</x:v>
      </x:c>
      <x:c r="E328" t="str">
        <x:v>Accuracy Assessment</x:v>
      </x:c>
      <x:c r="F328" t="str">
        <x:v>HD Seaviewer Drop Camera</x:v>
      </x:c>
      <x:c r="G328" t="str">
        <x:v>AA2017_346</x:v>
      </x:c>
      <x:c r="H328" s="28" t="n">
        <x:v>42771</x:v>
      </x:c>
      <x:c r="I328" t="str">
        <x:v>13:06:02</x:v>
      </x:c>
      <x:c r="J328" t="n">
        <x:v>2017</x:v>
      </x:c>
      <x:c r="K328" t="n">
        <x:v>18.23557732</x:v>
      </x:c>
      <x:c r="L328" t="n">
        <x:v>-64.71257138</x:v>
      </x:c>
      <x:c r="M328" t="n">
        <x:v>51.695</x:v>
      </x:c>
      <x:c r="N328" t="str">
        <x:v>https://nccospublicstor.blob.core.windows.net/biomapper/usviinsularshelf2017/videos/low/AA2017_346.mp4</x:v>
      </x:c>
      <x:c r="O328" t="n">
        <x:v>0</x:v>
      </x:c>
      <x:c r="P328" t="n">
        <x:v>0</x:v>
      </x:c>
      <x:c r="Q328" t="n">
        <x:v>1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1</x:v>
      </x:c>
      <x:c r="W328" t="n">
        <x:v>0</x:v>
      </x:c>
      <x:c r="X328" t="n">
        <x:v>0</x:v>
      </x:c>
      <x:c r="Y328" t="n">
        <x:v>0</x:v>
      </x:c>
      <x:c r="Z328" t="n">
        <x:v>1</x:v>
      </x:c>
      <x:c r="AA328" t="n">
        <x:v>1</x:v>
      </x:c>
      <x:c r="AB328" t="str">
        <x:v>Pass</x:v>
      </x:c>
      <x:c r="AC328" t="str"/>
      <x:c r="AD328" t="str"/>
    </x:row>
    <x:row r="329">
      <x:c r="A329" t="str">
        <x:v>REC0328</x:v>
      </x:c>
      <x:c r="B329" t="n">
        <x:v>327</x:v>
      </x:c>
      <x:c r="C329" t="str">
        <x:v>St. John, USVI</x:v>
      </x:c>
      <x:c r="D329" t="str">
        <x:v>AA</x:v>
      </x:c>
      <x:c r="E329" t="str">
        <x:v>Accuracy Assessment</x:v>
      </x:c>
      <x:c r="F329" t="str">
        <x:v>HD Seaviewer Drop Camera</x:v>
      </x:c>
      <x:c r="G329" t="str">
        <x:v>AA2017_347</x:v>
      </x:c>
      <x:c r="H329" s="28" t="n">
        <x:v>42771</x:v>
      </x:c>
      <x:c r="I329" t="str">
        <x:v>09:33:33</x:v>
      </x:c>
      <x:c r="J329" t="n">
        <x:v>2017</x:v>
      </x:c>
      <x:c r="K329" t="n">
        <x:v>18.29141653</x:v>
      </x:c>
      <x:c r="L329" t="n">
        <x:v>-64.71169685</x:v>
      </x:c>
      <x:c r="M329" t="n">
        <x:v>32.195</x:v>
      </x:c>
      <x:c r="N329" t="str">
        <x:v>https://nccospublicstor.blob.core.windows.net/biomapper/usviinsularshelf2017/videos/low/AA2017_347.mp4</x:v>
      </x:c>
      <x:c r="O329" t="n">
        <x:v>0</x:v>
      </x:c>
      <x:c r="P329" t="n">
        <x:v>0</x:v>
      </x:c>
      <x:c r="Q329" t="n">
        <x:v>1</x:v>
      </x:c>
      <x:c r="R329" t="n">
        <x:v>0</x:v>
      </x:c>
      <x:c r="S329" t="n">
        <x:v>0</x:v>
      </x:c>
      <x:c r="T329" t="n">
        <x:v>0</x:v>
      </x:c>
      <x:c r="U329" t="n">
        <x:v>1</x:v>
      </x:c>
      <x:c r="V329" t="n">
        <x:v>1</x:v>
      </x:c>
      <x:c r="W329" t="n">
        <x:v>0</x:v>
      </x:c>
      <x:c r="X329" t="n">
        <x:v>0</x:v>
      </x:c>
      <x:c r="Y329" t="n">
        <x:v>0</x:v>
      </x:c>
      <x:c r="Z329" t="n">
        <x:v>1</x:v>
      </x:c>
      <x:c r="AA329" t="n">
        <x:v>2</x:v>
      </x:c>
      <x:c r="AB329" t="str">
        <x:v>Pass</x:v>
      </x:c>
      <x:c r="AC329" t="str"/>
      <x:c r="AD329" t="str"/>
    </x:row>
    <x:row r="330">
      <x:c r="A330" t="str">
        <x:v>REC0329</x:v>
      </x:c>
      <x:c r="B330" t="n">
        <x:v>328</x:v>
      </x:c>
      <x:c r="C330" t="str">
        <x:v>St. John, USVI</x:v>
      </x:c>
      <x:c r="D330" t="str">
        <x:v>AA</x:v>
      </x:c>
      <x:c r="E330" t="str">
        <x:v>Accuracy Assessment</x:v>
      </x:c>
      <x:c r="F330" t="str">
        <x:v>HD Seaviewer Drop Camera</x:v>
      </x:c>
      <x:c r="G330" t="str">
        <x:v>AA2017_348</x:v>
      </x:c>
      <x:c r="H330" s="28" t="n">
        <x:v>42771</x:v>
      </x:c>
      <x:c r="I330" t="str">
        <x:v>09:40:02</x:v>
      </x:c>
      <x:c r="J330" t="n">
        <x:v>2017</x:v>
      </x:c>
      <x:c r="K330" t="n">
        <x:v>18.29466267</x:v>
      </x:c>
      <x:c r="L330" t="n">
        <x:v>-64.71067398</x:v>
      </x:c>
      <x:c r="M330" t="n">
        <x:v>28.493</x:v>
      </x:c>
      <x:c r="N330" t="str">
        <x:v>https://nccospublicstor.blob.core.windows.net/biomapper/usviinsularshelf2017/videos/low/AA2017_348.mp4</x:v>
      </x:c>
      <x:c r="O330" t="n">
        <x:v>0</x:v>
      </x:c>
      <x:c r="P330" t="n">
        <x:v>0</x:v>
      </x:c>
      <x:c r="Q330" t="n">
        <x:v>1</x:v>
      </x:c>
      <x:c r="R330" t="n">
        <x:v>0</x:v>
      </x:c>
      <x:c r="S330" t="n">
        <x:v>0</x:v>
      </x:c>
      <x:c r="T330" t="n">
        <x:v>0</x:v>
      </x:c>
      <x:c r="U330" t="n">
        <x:v>1</x:v>
      </x:c>
      <x:c r="V330" t="n">
        <x:v>1</x:v>
      </x:c>
      <x:c r="W330" t="n">
        <x:v>0</x:v>
      </x:c>
      <x:c r="X330" t="n">
        <x:v>0</x:v>
      </x:c>
      <x:c r="Y330" t="n">
        <x:v>0</x:v>
      </x:c>
      <x:c r="Z330" t="n">
        <x:v>1</x:v>
      </x:c>
      <x:c r="AA330" t="n">
        <x:v>2</x:v>
      </x:c>
      <x:c r="AB330" t="str">
        <x:v>Pass</x:v>
      </x:c>
      <x:c r="AC330" t="str"/>
      <x:c r="AD330" t="str">
        <x:v>Sand clost to &gt;20%</x:v>
      </x:c>
    </x:row>
    <x:row r="331">
      <x:c r="A331" t="str">
        <x:v>REC0330</x:v>
      </x:c>
      <x:c r="B331" t="n">
        <x:v>329</x:v>
      </x:c>
      <x:c r="C331" t="str">
        <x:v>St. John, USVI</x:v>
      </x:c>
      <x:c r="D331" t="str">
        <x:v>AA</x:v>
      </x:c>
      <x:c r="E331" t="str">
        <x:v>Accuracy Assessment</x:v>
      </x:c>
      <x:c r="F331" t="str">
        <x:v>HD Seaviewer Drop Camera</x:v>
      </x:c>
      <x:c r="G331" t="str">
        <x:v>AA2017_349</x:v>
      </x:c>
      <x:c r="H331" s="28" t="n">
        <x:v>42771</x:v>
      </x:c>
      <x:c r="I331" t="str">
        <x:v>12:57:40</x:v>
      </x:c>
      <x:c r="J331" t="n">
        <x:v>2017</x:v>
      </x:c>
      <x:c r="K331" t="n">
        <x:v>18.24748011</x:v>
      </x:c>
      <x:c r="L331" t="n">
        <x:v>-64.70605074</x:v>
      </x:c>
      <x:c r="M331" t="n">
        <x:v>48.521</x:v>
      </x:c>
      <x:c r="N331" t="str">
        <x:v>https://nccospublicstor.blob.core.windows.net/biomapper/usviinsularshelf2017/videos/low/AA2017_349.mp4</x:v>
      </x:c>
      <x:c r="O331" t="n">
        <x:v>0</x:v>
      </x:c>
      <x:c r="P331" t="n">
        <x:v>1</x:v>
      </x:c>
      <x:c r="Q331" t="n">
        <x:v>1</x:v>
      </x:c>
      <x:c r="R331" t="n">
        <x:v>0</x:v>
      </x:c>
      <x:c r="S331" t="n">
        <x:v>1</x:v>
      </x:c>
      <x:c r="T331" t="n">
        <x:v>0</x:v>
      </x:c>
      <x:c r="U331" t="n">
        <x:v>1</x:v>
      </x:c>
      <x:c r="V331" t="n">
        <x:v>1</x:v>
      </x:c>
      <x:c r="W331" t="n">
        <x:v>0</x:v>
      </x:c>
      <x:c r="X331" t="n">
        <x:v>0</x:v>
      </x:c>
      <x:c r="Y331" t="n">
        <x:v>0</x:v>
      </x:c>
      <x:c r="Z331" t="n">
        <x:v>2</x:v>
      </x:c>
      <x:c r="AA331" t="n">
        <x:v>3</x:v>
      </x:c>
      <x:c r="AB331" t="str">
        <x:v>Pass</x:v>
      </x:c>
      <x:c r="AC331" t="str"/>
      <x:c r="AD331" t="str"/>
    </x:row>
    <x:row r="332">
      <x:c r="A332" t="str">
        <x:v>REC0331</x:v>
      </x:c>
      <x:c r="B332" t="n">
        <x:v>330</x:v>
      </x:c>
      <x:c r="C332" t="str">
        <x:v>St. John, USVI</x:v>
      </x:c>
      <x:c r="D332" t="str">
        <x:v>AA</x:v>
      </x:c>
      <x:c r="E332" t="str">
        <x:v>Accuracy Assessment</x:v>
      </x:c>
      <x:c r="F332" t="str">
        <x:v>HD Seaviewer Drop Camera</x:v>
      </x:c>
      <x:c r="G332" t="str">
        <x:v>AA2017_350</x:v>
      </x:c>
      <x:c r="H332" s="28" t="n">
        <x:v>42771</x:v>
      </x:c>
      <x:c r="I332" t="str">
        <x:v>09:47:01</x:v>
      </x:c>
      <x:c r="J332" t="n">
        <x:v>2017</x:v>
      </x:c>
      <x:c r="K332" t="n">
        <x:v>18.29006523</x:v>
      </x:c>
      <x:c r="L332" t="n">
        <x:v>-64.70547871</x:v>
      </x:c>
      <x:c r="M332" t="n">
        <x:v>32.724</x:v>
      </x:c>
      <x:c r="N332" t="str">
        <x:v>https://nccospublicstor.blob.core.windows.net/biomapper/usviinsularshelf2017/videos/low/AA2017_350.mp4</x:v>
      </x:c>
      <x:c r="O332" t="n">
        <x:v>0</x:v>
      </x:c>
      <x:c r="P332" t="n">
        <x:v>0</x:v>
      </x:c>
      <x:c r="Q332" t="n">
        <x:v>1</x:v>
      </x:c>
      <x:c r="R332" t="n">
        <x:v>0</x:v>
      </x:c>
      <x:c r="S332" t="n">
        <x:v>0</x:v>
      </x:c>
      <x:c r="T332" t="n">
        <x:v>0</x:v>
      </x:c>
      <x:c r="U332" t="n">
        <x:v>1</x:v>
      </x:c>
      <x:c r="V332" t="n">
        <x:v>1</x:v>
      </x:c>
      <x:c r="W332" t="n">
        <x:v>0</x:v>
      </x:c>
      <x:c r="X332" t="n">
        <x:v>0</x:v>
      </x:c>
      <x:c r="Y332" t="n">
        <x:v>0</x:v>
      </x:c>
      <x:c r="Z332" t="n">
        <x:v>1</x:v>
      </x:c>
      <x:c r="AA332" t="n">
        <x:v>2</x:v>
      </x:c>
      <x:c r="AB332" t="str">
        <x:v>Pass</x:v>
      </x:c>
      <x:c r="AC332" t="str"/>
      <x:c r="AD332" t="str"/>
    </x:row>
    <x:row r="333">
      <x:c r="A333" t="str">
        <x:v>REC0332</x:v>
      </x:c>
      <x:c r="B333" t="n">
        <x:v>331</x:v>
      </x:c>
      <x:c r="C333" t="str">
        <x:v>St. John, USVI</x:v>
      </x:c>
      <x:c r="D333" t="str">
        <x:v>AA</x:v>
      </x:c>
      <x:c r="E333" t="str">
        <x:v>Accuracy Assessment</x:v>
      </x:c>
      <x:c r="F333" t="str">
        <x:v>HD Seaviewer Drop Camera</x:v>
      </x:c>
      <x:c r="G333" t="str">
        <x:v>AA2017_352</x:v>
      </x:c>
      <x:c r="H333" s="28" t="n">
        <x:v>42771</x:v>
      </x:c>
      <x:c r="I333" t="str">
        <x:v>12:41:20</x:v>
      </x:c>
      <x:c r="J333" t="n">
        <x:v>2017</x:v>
      </x:c>
      <x:c r="K333" t="n">
        <x:v>18.21380375</x:v>
      </x:c>
      <x:c r="L333" t="n">
        <x:v>-64.70101916</x:v>
      </x:c>
      <x:c r="M333" t="n">
        <x:v>55.026</x:v>
      </x:c>
      <x:c r="N333" t="str">
        <x:v>https://nccospublicstor.blob.core.windows.net/biomapper/usviinsularshelf2017/videos/low/AA2017_352.mp4</x:v>
      </x:c>
      <x:c r="O333" t="n">
        <x:v>0</x:v>
      </x:c>
      <x:c r="P333" t="n">
        <x:v>1</x:v>
      </x:c>
      <x:c r="Q333" t="n">
        <x:v>1</x:v>
      </x:c>
      <x:c r="R333" t="n">
        <x:v>0</x:v>
      </x:c>
      <x:c r="S333" t="n">
        <x:v>1</x:v>
      </x:c>
      <x:c r="T333" t="n">
        <x:v>0</x:v>
      </x:c>
      <x:c r="U333" t="n">
        <x:v>0</x:v>
      </x:c>
      <x:c r="V333" t="n">
        <x:v>1</x:v>
      </x:c>
      <x:c r="W333" t="n">
        <x:v>0</x:v>
      </x:c>
      <x:c r="X333" t="n">
        <x:v>0</x:v>
      </x:c>
      <x:c r="Y333" t="n">
        <x:v>0</x:v>
      </x:c>
      <x:c r="Z333" t="n">
        <x:v>2</x:v>
      </x:c>
      <x:c r="AA333" t="n">
        <x:v>2</x:v>
      </x:c>
      <x:c r="AB333" t="str">
        <x:v>Pass</x:v>
      </x:c>
      <x:c r="AC333" t="str"/>
      <x:c r="AD333" t="str">
        <x:v>macroalgae just &gt;20%, mostly uncolonized rhodo</x:v>
      </x:c>
    </x:row>
    <x:row r="334">
      <x:c r="A334" t="str">
        <x:v>REC0333</x:v>
      </x:c>
      <x:c r="B334" t="n">
        <x:v>332</x:v>
      </x:c>
      <x:c r="C334" t="str">
        <x:v>St. John, USVI</x:v>
      </x:c>
      <x:c r="D334" t="str">
        <x:v>AA</x:v>
      </x:c>
      <x:c r="E334" t="str">
        <x:v>Accuracy Assessment</x:v>
      </x:c>
      <x:c r="F334" t="str">
        <x:v>HD Seaviewer Drop Camera</x:v>
      </x:c>
      <x:c r="G334" t="str">
        <x:v>AA2017_353</x:v>
      </x:c>
      <x:c r="H334" s="28" t="n">
        <x:v>42771</x:v>
      </x:c>
      <x:c r="I334" t="str">
        <x:v>11:53:09</x:v>
      </x:c>
      <x:c r="J334" t="n">
        <x:v>2017</x:v>
      </x:c>
      <x:c r="K334" t="n">
        <x:v>18.25868944</x:v>
      </x:c>
      <x:c r="L334" t="n">
        <x:v>-64.70048342</x:v>
      </x:c>
      <x:c r="M334" t="n">
        <x:v>47.479</x:v>
      </x:c>
      <x:c r="N334" t="str">
        <x:v>https://nccospublicstor.blob.core.windows.net/biomapper/usviinsularshelf2017/videos/low/AA2017_353.mp4</x:v>
      </x:c>
      <x:c r="O334" t="n">
        <x:v>0</x:v>
      </x:c>
      <x:c r="P334" t="n">
        <x:v>0</x:v>
      </x:c>
      <x:c r="Q334" t="n">
        <x:v>1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1</x:v>
      </x:c>
      <x:c r="AA334" t="n">
        <x:v>0</x:v>
      </x:c>
      <x:c r="AB334" t="str">
        <x:v>Pass</x:v>
      </x:c>
      <x:c r="AC334" t="str"/>
      <x:c r="AD334" t="str"/>
    </x:row>
    <x:row r="335">
      <x:c r="A335" t="str">
        <x:v>REC0334</x:v>
      </x:c>
      <x:c r="B335" t="n">
        <x:v>333</x:v>
      </x:c>
      <x:c r="C335" t="str">
        <x:v>St. John, USVI</x:v>
      </x:c>
      <x:c r="D335" t="str">
        <x:v>AA</x:v>
      </x:c>
      <x:c r="E335" t="str">
        <x:v>Accuracy Assessment</x:v>
      </x:c>
      <x:c r="F335" t="str">
        <x:v>HD Seaviewer Drop Camera</x:v>
      </x:c>
      <x:c r="G335" t="str">
        <x:v>AA2017_354</x:v>
      </x:c>
      <x:c r="H335" s="28" t="n">
        <x:v>42771</x:v>
      </x:c>
      <x:c r="I335" t="str">
        <x:v>09:55:51</x:v>
      </x:c>
      <x:c r="J335" t="n">
        <x:v>2017</x:v>
      </x:c>
      <x:c r="K335" t="n">
        <x:v>18.28832253</x:v>
      </x:c>
      <x:c r="L335" t="n">
        <x:v>-64.69957004</x:v>
      </x:c>
      <x:c r="M335" t="n">
        <x:v>33.226</x:v>
      </x:c>
      <x:c r="N335" t="str">
        <x:v>https://nccospublicstor.blob.core.windows.net/biomapper/usviinsularshelf2017/videos/low/AA2017_354.mp4</x:v>
      </x:c>
      <x:c r="O335" t="n">
        <x:v>0</x:v>
      </x:c>
      <x:c r="P335" t="n">
        <x:v>0</x:v>
      </x:c>
      <x:c r="Q335" t="n">
        <x:v>1</x:v>
      </x:c>
      <x:c r="R335" t="n">
        <x:v>0</x:v>
      </x:c>
      <x:c r="S335" t="n">
        <x:v>0</x:v>
      </x:c>
      <x:c r="T335" t="n">
        <x:v>0</x:v>
      </x:c>
      <x:c r="U335" t="n">
        <x:v>1</x:v>
      </x:c>
      <x:c r="V335" t="n">
        <x:v>1</x:v>
      </x:c>
      <x:c r="W335" t="n">
        <x:v>0</x:v>
      </x:c>
      <x:c r="X335" t="n">
        <x:v>0</x:v>
      </x:c>
      <x:c r="Y335" t="n">
        <x:v>0</x:v>
      </x:c>
      <x:c r="Z335" t="n">
        <x:v>1</x:v>
      </x:c>
      <x:c r="AA335" t="n">
        <x:v>2</x:v>
      </x:c>
      <x:c r="AB335" t="str">
        <x:v>Pass</x:v>
      </x:c>
      <x:c r="AC335" t="str"/>
      <x:c r="AD335" t="str"/>
    </x:row>
    <x:row r="336">
      <x:c r="A336" t="str">
        <x:v>REC0335</x:v>
      </x:c>
      <x:c r="B336" t="n">
        <x:v>334</x:v>
      </x:c>
      <x:c r="C336" t="str">
        <x:v>St. John, USVI</x:v>
      </x:c>
      <x:c r="D336" t="str">
        <x:v>AA</x:v>
      </x:c>
      <x:c r="E336" t="str">
        <x:v>Accuracy Assessment</x:v>
      </x:c>
      <x:c r="F336" t="str">
        <x:v>HD Seaviewer Drop Camera</x:v>
      </x:c>
      <x:c r="G336" t="str">
        <x:v>AA2017_355</x:v>
      </x:c>
      <x:c r="H336" s="28" t="n">
        <x:v>42771</x:v>
      </x:c>
      <x:c r="I336" t="str">
        <x:v>11:40:36</x:v>
      </x:c>
      <x:c r="J336" t="n">
        <x:v>2017</x:v>
      </x:c>
      <x:c r="K336" t="n">
        <x:v>18.27285988</x:v>
      </x:c>
      <x:c r="L336" t="n">
        <x:v>-64.69705218</x:v>
      </x:c>
      <x:c r="M336" t="n">
        <x:v>45.672</x:v>
      </x:c>
      <x:c r="N336" t="str">
        <x:v>https://nccospublicstor.blob.core.windows.net/biomapper/usviinsularshelf2017/videos/low/AA2017_355.mp4</x:v>
      </x:c>
      <x:c r="O336" t="n">
        <x:v>0</x:v>
      </x:c>
      <x:c r="P336" t="n">
        <x:v>0</x:v>
      </x:c>
      <x:c r="Q336" t="n">
        <x:v>1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1</x:v>
      </x:c>
      <x:c r="AA336" t="n">
        <x:v>0</x:v>
      </x:c>
      <x:c r="AB336" t="str">
        <x:v>Pass</x:v>
      </x:c>
      <x:c r="AC336" t="str"/>
      <x:c r="AD336" t="str"/>
    </x:row>
    <x:row r="337">
      <x:c r="A337" t="str">
        <x:v>REC0336</x:v>
      </x:c>
      <x:c r="B337" t="n">
        <x:v>335</x:v>
      </x:c>
      <x:c r="C337" t="str">
        <x:v>St. John, USVI</x:v>
      </x:c>
      <x:c r="D337" t="str">
        <x:v>AA</x:v>
      </x:c>
      <x:c r="E337" t="str">
        <x:v>Accuracy Assessment</x:v>
      </x:c>
      <x:c r="F337" t="str">
        <x:v>HD Seaviewer Drop Camera</x:v>
      </x:c>
      <x:c r="G337" t="str">
        <x:v>AA2017_356</x:v>
      </x:c>
      <x:c r="H337" s="28" t="n">
        <x:v>42771</x:v>
      </x:c>
      <x:c r="I337" t="str">
        <x:v>10:05:08</x:v>
      </x:c>
      <x:c r="J337" t="n">
        <x:v>2017</x:v>
      </x:c>
      <x:c r="K337" t="n">
        <x:v>18.29628012</x:v>
      </x:c>
      <x:c r="L337" t="n">
        <x:v>-64.69686537</x:v>
      </x:c>
      <x:c r="M337" t="n">
        <x:v>27.734</x:v>
      </x:c>
      <x:c r="N337" t="str">
        <x:v>https://nccospublicstor.blob.core.windows.net/biomapper/usviinsularshelf2017/videos/low/AA2017_356.mp4</x:v>
      </x:c>
      <x:c r="O337" t="n">
        <x:v>0</x:v>
      </x:c>
      <x:c r="P337" t="n">
        <x:v>1</x:v>
      </x:c>
      <x:c r="Q337" t="n">
        <x:v>0</x:v>
      </x:c>
      <x:c r="R337" t="n">
        <x:v>0</x:v>
      </x:c>
      <x:c r="S337" t="n">
        <x:v>1</x:v>
      </x:c>
      <x:c r="T337" t="n">
        <x:v>0</x:v>
      </x:c>
      <x:c r="U337" t="n">
        <x:v>1</x:v>
      </x:c>
      <x:c r="V337" t="n">
        <x:v>1</x:v>
      </x:c>
      <x:c r="W337" t="n">
        <x:v>0</x:v>
      </x:c>
      <x:c r="X337" t="n">
        <x:v>0</x:v>
      </x:c>
      <x:c r="Y337" t="n">
        <x:v>0</x:v>
      </x:c>
      <x:c r="Z337" t="n">
        <x:v>1</x:v>
      </x:c>
      <x:c r="AA337" t="n">
        <x:v>3</x:v>
      </x:c>
      <x:c r="AB337" t="str">
        <x:v>Pass</x:v>
      </x:c>
      <x:c r="AC337" t="str"/>
      <x:c r="AD337" t="str"/>
    </x:row>
    <x:row r="338">
      <x:c r="A338" t="str">
        <x:v>REC0337</x:v>
      </x:c>
      <x:c r="B338" t="n">
        <x:v>336</x:v>
      </x:c>
      <x:c r="C338" t="str">
        <x:v>St. John, USVI</x:v>
      </x:c>
      <x:c r="D338" t="str">
        <x:v>AA</x:v>
      </x:c>
      <x:c r="E338" t="str">
        <x:v>Accuracy Assessment</x:v>
      </x:c>
      <x:c r="F338" t="str">
        <x:v>HD Seaviewer Drop Camera</x:v>
      </x:c>
      <x:c r="G338" t="str">
        <x:v>AA2017_357</x:v>
      </x:c>
      <x:c r="H338" s="28" t="n">
        <x:v>42771</x:v>
      </x:c>
      <x:c r="I338" t="str">
        <x:v>12:26:50</x:v>
      </x:c>
      <x:c r="J338" t="n">
        <x:v>2017</x:v>
      </x:c>
      <x:c r="K338" t="n">
        <x:v>18.22667177</x:v>
      </x:c>
      <x:c r="L338" t="n">
        <x:v>-64.69250339</x:v>
      </x:c>
      <x:c r="M338" t="n">
        <x:v>51.162</x:v>
      </x:c>
      <x:c r="N338" t="str">
        <x:v>https://nccospublicstor.blob.core.windows.net/biomapper/usviinsularshelf2017/videos/low/AA2017_357.mp4</x:v>
      </x:c>
      <x:c r="O338" t="n">
        <x:v>0</x:v>
      </x:c>
      <x:c r="P338" t="n">
        <x:v>1</x:v>
      </x:c>
      <x:c r="Q338" t="n">
        <x:v>1</x:v>
      </x:c>
      <x:c r="R338" t="n">
        <x:v>0</x:v>
      </x:c>
      <x:c r="S338" t="n">
        <x:v>1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2</x:v>
      </x:c>
      <x:c r="AA338" t="n">
        <x:v>1</x:v>
      </x:c>
      <x:c r="AB338" t="str">
        <x:v>Pass</x:v>
      </x:c>
      <x:c r="AC338" t="str"/>
      <x:c r="AD338" t="str">
        <x:v>macroalgae just &gt;20%, mostly uncolonized rhodo</x:v>
      </x:c>
    </x:row>
    <x:row r="339">
      <x:c r="A339" t="str">
        <x:v>REC0338</x:v>
      </x:c>
      <x:c r="B339" t="n">
        <x:v>337</x:v>
      </x:c>
      <x:c r="C339" t="str">
        <x:v>St. John, USVI</x:v>
      </x:c>
      <x:c r="D339" t="str">
        <x:v>AA</x:v>
      </x:c>
      <x:c r="E339" t="str">
        <x:v>Accuracy Assessment</x:v>
      </x:c>
      <x:c r="F339" t="str">
        <x:v>HD Seaviewer Drop Camera</x:v>
      </x:c>
      <x:c r="G339" t="str">
        <x:v>AA2017_359</x:v>
      </x:c>
      <x:c r="H339" s="28" t="n">
        <x:v>42771</x:v>
      </x:c>
      <x:c r="I339" t="str">
        <x:v>12:04:14</x:v>
      </x:c>
      <x:c r="J339" t="n">
        <x:v>2017</x:v>
      </x:c>
      <x:c r="K339" t="n">
        <x:v>18.25546065</x:v>
      </x:c>
      <x:c r="L339" t="n">
        <x:v>-64.68779613</x:v>
      </x:c>
      <x:c r="M339" t="n">
        <x:v>48.135</x:v>
      </x:c>
      <x:c r="N339" t="str">
        <x:v>https://nccospublicstor.blob.core.windows.net/biomapper/usviinsularshelf2017/videos/low/AA2017_359.mp4</x:v>
      </x:c>
      <x:c r="O339" t="n">
        <x:v>0</x:v>
      </x:c>
      <x:c r="P339" t="n">
        <x:v>0</x:v>
      </x:c>
      <x:c r="Q339" t="n">
        <x:v>1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1</x:v>
      </x:c>
      <x:c r="AA339" t="n">
        <x:v>0</x:v>
      </x:c>
      <x:c r="AB339" t="str">
        <x:v>Pass</x:v>
      </x:c>
      <x:c r="AC339" t="str"/>
      <x:c r="AD339" t="str"/>
    </x:row>
    <x:row r="340">
      <x:c r="A340" t="str">
        <x:v>REC0339</x:v>
      </x:c>
      <x:c r="B340" t="n">
        <x:v>338</x:v>
      </x:c>
      <x:c r="C340" t="str">
        <x:v>St. John, USVI</x:v>
      </x:c>
      <x:c r="D340" t="str">
        <x:v>AA</x:v>
      </x:c>
      <x:c r="E340" t="str">
        <x:v>Accuracy Assessment</x:v>
      </x:c>
      <x:c r="F340" t="str">
        <x:v>HD Seaviewer Drop Camera</x:v>
      </x:c>
      <x:c r="G340" t="str">
        <x:v>AA2017_361</x:v>
      </x:c>
      <x:c r="H340" s="28" t="n">
        <x:v>42771</x:v>
      </x:c>
      <x:c r="I340" t="str">
        <x:v>12:16:46</x:v>
      </x:c>
      <x:c r="J340" t="n">
        <x:v>2017</x:v>
      </x:c>
      <x:c r="K340" t="n">
        <x:v>18.24720772</x:v>
      </x:c>
      <x:c r="L340" t="n">
        <x:v>-64.683627</x:v>
      </x:c>
      <x:c r="M340" t="n">
        <x:v>42.092</x:v>
      </x:c>
      <x:c r="N340" t="str">
        <x:v>https://nccospublicstor.blob.core.windows.net/biomapper/usviinsularshelf2017/videos/low/AA2017_361.mp4</x:v>
      </x:c>
      <x:c r="O340" t="n">
        <x:v>1</x:v>
      </x:c>
      <x:c r="P340" t="n">
        <x:v>0</x:v>
      </x:c>
      <x:c r="Q340" t="n">
        <x:v>0</x:v>
      </x:c>
      <x:c r="R340" t="n">
        <x:v>1</x:v>
      </x:c>
      <x:c r="S340" t="n">
        <x:v>1</x:v>
      </x:c>
      <x:c r="T340" t="n">
        <x:v>0</x:v>
      </x:c>
      <x:c r="U340" t="n">
        <x:v>1</x:v>
      </x:c>
      <x:c r="V340" t="n">
        <x:v>1</x:v>
      </x:c>
      <x:c r="W340" t="n">
        <x:v>0</x:v>
      </x:c>
      <x:c r="X340" t="n">
        <x:v>0</x:v>
      </x:c>
      <x:c r="Y340" t="n">
        <x:v>0</x:v>
      </x:c>
      <x:c r="Z340" t="n">
        <x:v>2</x:v>
      </x:c>
      <x:c r="AA340" t="n">
        <x:v>3</x:v>
      </x:c>
      <x:c r="AB340" t="str">
        <x:v>Pass</x:v>
      </x:c>
      <x:c r="AC340" t="str"/>
      <x:c r="AD340" t="str"/>
    </x:row>
    <x:row r="341">
      <x:c r="A341" t="str">
        <x:v>REC0340</x:v>
      </x:c>
      <x:c r="B341" t="n">
        <x:v>339</x:v>
      </x:c>
      <x:c r="C341" t="str">
        <x:v>St. John, USVI</x:v>
      </x:c>
      <x:c r="D341" t="str">
        <x:v>AA</x:v>
      </x:c>
      <x:c r="E341" t="str">
        <x:v>Accuracy Assessment</x:v>
      </x:c>
      <x:c r="F341" t="str">
        <x:v>HD Seaviewer Drop Camera</x:v>
      </x:c>
      <x:c r="G341" t="str">
        <x:v>AA2017_363</x:v>
      </x:c>
      <x:c r="H341" s="28" t="n">
        <x:v>42771</x:v>
      </x:c>
      <x:c r="I341" t="str">
        <x:v>10:15:39</x:v>
      </x:c>
      <x:c r="J341" t="n">
        <x:v>2017</x:v>
      </x:c>
      <x:c r="K341" t="n">
        <x:v>18.29164468</x:v>
      </x:c>
      <x:c r="L341" t="n">
        <x:v>-64.68024344</x:v>
      </x:c>
      <x:c r="M341" t="n">
        <x:v>32.592</x:v>
      </x:c>
      <x:c r="N341" t="str">
        <x:v>https://nccospublicstor.blob.core.windows.net/biomapper/usviinsularshelf2017/videos/low/AA2017_363.mp4</x:v>
      </x:c>
      <x:c r="O341" t="n">
        <x:v>0</x:v>
      </x:c>
      <x:c r="P341" t="n">
        <x:v>0</x:v>
      </x:c>
      <x:c r="Q341" t="n">
        <x:v>1</x:v>
      </x:c>
      <x:c r="R341" t="n">
        <x:v>1</x:v>
      </x:c>
      <x:c r="S341" t="n">
        <x:v>0</x:v>
      </x:c>
      <x:c r="T341" t="n">
        <x:v>0</x:v>
      </x:c>
      <x:c r="U341" t="n">
        <x:v>1</x:v>
      </x:c>
      <x:c r="V341" t="n">
        <x:v>1</x:v>
      </x:c>
      <x:c r="W341" t="n">
        <x:v>0</x:v>
      </x:c>
      <x:c r="X341" t="n">
        <x:v>0</x:v>
      </x:c>
      <x:c r="Y341" t="n">
        <x:v>0</x:v>
      </x:c>
      <x:c r="Z341" t="n">
        <x:v>2</x:v>
      </x:c>
      <x:c r="AA341" t="n">
        <x:v>2</x:v>
      </x:c>
      <x:c r="AB341" t="str">
        <x:v>Pass</x:v>
      </x:c>
      <x:c r="AC341" t="str"/>
      <x:c r="AD341" t="str"/>
    </x:row>
    <x:row r="342">
      <x:c r="A342" t="str">
        <x:v>REC0341</x:v>
      </x:c>
      <x:c r="B342" t="n">
        <x:v>340</x:v>
      </x:c>
      <x:c r="C342" t="str">
        <x:v>St. John, USVI</x:v>
      </x:c>
      <x:c r="D342" t="str">
        <x:v>AA</x:v>
      </x:c>
      <x:c r="E342" t="str">
        <x:v>Accuracy Assessment</x:v>
      </x:c>
      <x:c r="F342" t="str">
        <x:v>HD Seaviewer Drop Camera</x:v>
      </x:c>
      <x:c r="G342" t="str">
        <x:v>AA2017_364</x:v>
      </x:c>
      <x:c r="H342" s="28" t="n">
        <x:v>42771</x:v>
      </x:c>
      <x:c r="I342" t="str">
        <x:v>10:51:14</x:v>
      </x:c>
      <x:c r="J342" t="n">
        <x:v>2017</x:v>
      </x:c>
      <x:c r="K342" t="n">
        <x:v>18.28390863</x:v>
      </x:c>
      <x:c r="L342" t="n">
        <x:v>-64.67745905</x:v>
      </x:c>
      <x:c r="M342" t="n">
        <x:v>38.592</x:v>
      </x:c>
      <x:c r="N342" t="str">
        <x:v>https://nccospublicstor.blob.core.windows.net/biomapper/usviinsularshelf2017/videos/low/AA2017_364.mp4</x:v>
      </x:c>
      <x:c r="O342" t="n">
        <x:v>0</x:v>
      </x:c>
      <x:c r="P342" t="n">
        <x:v>0</x:v>
      </x:c>
      <x:c r="Q342" t="n">
        <x:v>1</x:v>
      </x:c>
      <x:c r="R342" t="n">
        <x:v>0</x:v>
      </x:c>
      <x:c r="S342" t="n">
        <x:v>0</x:v>
      </x:c>
      <x:c r="T342" t="n">
        <x:v>0</x:v>
      </x:c>
      <x:c r="U342" t="n">
        <x:v>1</x:v>
      </x:c>
      <x:c r="V342" t="n">
        <x:v>1</x:v>
      </x:c>
      <x:c r="W342" t="n">
        <x:v>0</x:v>
      </x:c>
      <x:c r="X342" t="n">
        <x:v>0</x:v>
      </x:c>
      <x:c r="Y342" t="n">
        <x:v>0</x:v>
      </x:c>
      <x:c r="Z342" t="n">
        <x:v>1</x:v>
      </x:c>
      <x:c r="AA342" t="n">
        <x:v>2</x:v>
      </x:c>
      <x:c r="AB342" t="str">
        <x:v>Pass</x:v>
      </x:c>
      <x:c r="AC342" t="str"/>
      <x:c r="AD342" t="str"/>
    </x:row>
    <x:row r="343">
      <x:c r="A343" t="str">
        <x:v>REC0342</x:v>
      </x:c>
      <x:c r="B343" t="n">
        <x:v>341</x:v>
      </x:c>
      <x:c r="C343" t="str">
        <x:v>St. John, USVI</x:v>
      </x:c>
      <x:c r="D343" t="str">
        <x:v>AA</x:v>
      </x:c>
      <x:c r="E343" t="str">
        <x:v>Accuracy Assessment</x:v>
      </x:c>
      <x:c r="F343" t="str">
        <x:v>HD Seaviewer Drop Camera</x:v>
      </x:c>
      <x:c r="G343" t="str">
        <x:v>AA2017_366</x:v>
      </x:c>
      <x:c r="H343" s="28" t="n">
        <x:v>42771</x:v>
      </x:c>
      <x:c r="I343" t="str">
        <x:v>11:19:09</x:v>
      </x:c>
      <x:c r="J343" t="n">
        <x:v>2017</x:v>
      </x:c>
      <x:c r="K343" t="n">
        <x:v>18.27032868</x:v>
      </x:c>
      <x:c r="L343" t="n">
        <x:v>-64.67424372</x:v>
      </x:c>
      <x:c r="M343" t="n">
        <x:v>43.832</x:v>
      </x:c>
      <x:c r="N343" t="str">
        <x:v>https://nccospublicstor.blob.core.windows.net/biomapper/usviinsularshelf2017/videos/low/AA2017_366.mp4</x:v>
      </x:c>
      <x:c r="O343" t="n">
        <x:v>0</x:v>
      </x:c>
      <x:c r="P343" t="n">
        <x:v>0</x:v>
      </x:c>
      <x:c r="Q343" t="n">
        <x:v>1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1</x:v>
      </x:c>
      <x:c r="W343" t="n">
        <x:v>0</x:v>
      </x:c>
      <x:c r="X343" t="n">
        <x:v>0</x:v>
      </x:c>
      <x:c r="Y343" t="n">
        <x:v>0</x:v>
      </x:c>
      <x:c r="Z343" t="n">
        <x:v>1</x:v>
      </x:c>
      <x:c r="AA343" t="n">
        <x:v>1</x:v>
      </x:c>
      <x:c r="AB343" t="str">
        <x:v>Pass</x:v>
      </x:c>
      <x:c r="AC343" t="str"/>
      <x:c r="AD343" t="str">
        <x:v>macroalgae close to  &gt;20%</x:v>
      </x:c>
    </x:row>
    <x:row r="344">
      <x:c r="A344" t="str">
        <x:v>REC0343</x:v>
      </x:c>
      <x:c r="B344" t="n">
        <x:v>342</x:v>
      </x:c>
      <x:c r="C344" t="str">
        <x:v>St. John, USVI</x:v>
      </x:c>
      <x:c r="D344" t="str">
        <x:v>AA</x:v>
      </x:c>
      <x:c r="E344" t="str">
        <x:v>Accuracy Assessment</x:v>
      </x:c>
      <x:c r="F344" t="str">
        <x:v>HD Seaviewer Drop Camera</x:v>
      </x:c>
      <x:c r="G344" t="str">
        <x:v>AA2017_367</x:v>
      </x:c>
      <x:c r="H344" s="28" t="n">
        <x:v>42771</x:v>
      </x:c>
      <x:c r="I344" t="str">
        <x:v>10:43:34</x:v>
      </x:c>
      <x:c r="J344" t="n">
        <x:v>2017</x:v>
      </x:c>
      <x:c r="K344" t="n">
        <x:v>18.28513842</x:v>
      </x:c>
      <x:c r="L344" t="n">
        <x:v>-64.67208278</x:v>
      </x:c>
      <x:c r="M344" t="n">
        <x:v>36.27</x:v>
      </x:c>
      <x:c r="N344" t="str">
        <x:v>https://nccospublicstor.blob.core.windows.net/biomapper/usviinsularshelf2017/videos/low/AA2017_367.mp4</x:v>
      </x:c>
      <x:c r="O344" t="n">
        <x:v>0</x:v>
      </x:c>
      <x:c r="P344" t="n">
        <x:v>0</x:v>
      </x:c>
      <x:c r="Q344" t="n">
        <x:v>1</x:v>
      </x:c>
      <x:c r="R344" t="n">
        <x:v>1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2</x:v>
      </x:c>
      <x:c r="AA344" t="n">
        <x:v>0</x:v>
      </x:c>
      <x:c r="AB344" t="str">
        <x:v>Pass</x:v>
      </x:c>
      <x:c r="AC344" t="str"/>
      <x:c r="AD344" t="str">
        <x:v>macroalgae close to  &gt;20%</x:v>
      </x:c>
    </x:row>
    <x:row r="345">
      <x:c r="A345" t="str">
        <x:v>REC0344</x:v>
      </x:c>
      <x:c r="B345" t="n">
        <x:v>343</x:v>
      </x:c>
      <x:c r="C345" t="str">
        <x:v>St. John, USVI</x:v>
      </x:c>
      <x:c r="D345" t="str">
        <x:v>AA</x:v>
      </x:c>
      <x:c r="E345" t="str">
        <x:v>Accuracy Assessment</x:v>
      </x:c>
      <x:c r="F345" t="str">
        <x:v>HD Seaviewer Drop Camera</x:v>
      </x:c>
      <x:c r="G345" t="str">
        <x:v>AA2017_368</x:v>
      </x:c>
      <x:c r="H345" s="28" t="n">
        <x:v>42771</x:v>
      </x:c>
      <x:c r="I345" t="str">
        <x:v>11:27:51</x:v>
      </x:c>
      <x:c r="J345" t="n">
        <x:v>2017</x:v>
      </x:c>
      <x:c r="K345" t="n">
        <x:v>18.2684178</x:v>
      </x:c>
      <x:c r="L345" t="n">
        <x:v>-64.67126447</x:v>
      </x:c>
      <x:c r="M345" t="n">
        <x:v>44.112</x:v>
      </x:c>
      <x:c r="N345" t="str">
        <x:v>https://nccospublicstor.blob.core.windows.net/biomapper/usviinsularshelf2017/videos/low/AA2017_368.mp4</x:v>
      </x:c>
      <x:c r="O345" t="n">
        <x:v>0</x:v>
      </x:c>
      <x:c r="P345" t="n">
        <x:v>0</x:v>
      </x:c>
      <x:c r="Q345" t="n">
        <x:v>1</x:v>
      </x:c>
      <x:c r="R345" t="n">
        <x:v>0</x:v>
      </x:c>
      <x:c r="S345" t="n">
        <x:v>0</x:v>
      </x:c>
      <x:c r="T345" t="n">
        <x:v>0</x:v>
      </x:c>
      <x:c r="U345" t="n">
        <x:v>1</x:v>
      </x:c>
      <x:c r="V345" t="n">
        <x:v>1</x:v>
      </x:c>
      <x:c r="W345" t="n">
        <x:v>0</x:v>
      </x:c>
      <x:c r="X345" t="n">
        <x:v>0</x:v>
      </x:c>
      <x:c r="Y345" t="n">
        <x:v>0</x:v>
      </x:c>
      <x:c r="Z345" t="n">
        <x:v>1</x:v>
      </x:c>
      <x:c r="AA345" t="n">
        <x:v>2</x:v>
      </x:c>
      <x:c r="AB345" t="str">
        <x:v>Pass</x:v>
      </x:c>
      <x:c r="AC345" t="str"/>
      <x:c r="AD345" t="str">
        <x:v>macroalgae just &gt;20%, mostly uncolonized rhodo</x:v>
      </x:c>
    </x:row>
    <x:row r="346">
      <x:c r="A346" t="str">
        <x:v>REC0345</x:v>
      </x:c>
      <x:c r="B346" t="n">
        <x:v>344</x:v>
      </x:c>
      <x:c r="C346" t="str">
        <x:v>St. John, USVI</x:v>
      </x:c>
      <x:c r="D346" t="str">
        <x:v>AA</x:v>
      </x:c>
      <x:c r="E346" t="str">
        <x:v>Accuracy Assessment</x:v>
      </x:c>
      <x:c r="F346" t="str">
        <x:v>HD Seaviewer Drop Camera</x:v>
      </x:c>
      <x:c r="G346" t="str">
        <x:v>AA2017_369</x:v>
      </x:c>
      <x:c r="H346" s="28" t="n">
        <x:v>42771</x:v>
      </x:c>
      <x:c r="I346" t="str">
        <x:v>11:12:50</x:v>
      </x:c>
      <x:c r="J346" t="n">
        <x:v>2017</x:v>
      </x:c>
      <x:c r="K346" t="n">
        <x:v>18.27591152</x:v>
      </x:c>
      <x:c r="L346" t="n">
        <x:v>-64.67215402</x:v>
      </x:c>
      <x:c r="M346" t="n">
        <x:v>43.875</x:v>
      </x:c>
      <x:c r="N346" t="str">
        <x:v>https://nccospublicstor.blob.core.windows.net/biomapper/usviinsularshelf2017/videos/low/AA2017_369.mp4</x:v>
      </x:c>
      <x:c r="O346" t="n">
        <x:v>0</x:v>
      </x:c>
      <x:c r="P346" t="n">
        <x:v>0</x:v>
      </x:c>
      <x:c r="Q346" t="n">
        <x:v>1</x:v>
      </x:c>
      <x:c r="R346" t="n">
        <x:v>0</x:v>
      </x:c>
      <x:c r="S346" t="n">
        <x:v>0</x:v>
      </x:c>
      <x:c r="T346" t="n">
        <x:v>0</x:v>
      </x:c>
      <x:c r="U346" t="n">
        <x:v>1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1</x:v>
      </x:c>
      <x:c r="AA346" t="n">
        <x:v>1</x:v>
      </x:c>
      <x:c r="AB346" t="str">
        <x:v>Pass</x:v>
      </x:c>
      <x:c r="AC346" t="str"/>
      <x:c r="AD346" t="str">
        <x:v>sand close to &gt;20%</x:v>
      </x:c>
    </x:row>
    <x:row r="347">
      <x:c r="A347" t="str">
        <x:v>REC0346</x:v>
      </x:c>
      <x:c r="B347" t="n">
        <x:v>345</x:v>
      </x:c>
      <x:c r="C347" t="str">
        <x:v>St. John, USVI</x:v>
      </x:c>
      <x:c r="D347" t="str">
        <x:v>AA</x:v>
      </x:c>
      <x:c r="E347" t="str">
        <x:v>Accuracy Assessment</x:v>
      </x:c>
      <x:c r="F347" t="str">
        <x:v>HD Seaviewer Drop Camera</x:v>
      </x:c>
      <x:c r="G347" t="str">
        <x:v>AA2017_370</x:v>
      </x:c>
      <x:c r="H347" s="28" t="n">
        <x:v>42771</x:v>
      </x:c>
      <x:c r="I347" t="str">
        <x:v>10:24:58</x:v>
      </x:c>
      <x:c r="J347" t="n">
        <x:v>2017</x:v>
      </x:c>
      <x:c r="K347" t="n">
        <x:v>18.29030917</x:v>
      </x:c>
      <x:c r="L347" t="n">
        <x:v>-64.67022612</x:v>
      </x:c>
      <x:c r="M347" t="n">
        <x:v>32.025</x:v>
      </x:c>
      <x:c r="N347" t="str">
        <x:v>https://nccospublicstor.blob.core.windows.net/biomapper/usviinsularshelf2017/videos/low/AA2017_370.mp4</x:v>
      </x:c>
      <x:c r="O347" t="n">
        <x:v>0</x:v>
      </x:c>
      <x:c r="P347" t="n">
        <x:v>0</x:v>
      </x:c>
      <x:c r="Q347" t="n">
        <x:v>0</x:v>
      </x:c>
      <x:c r="R347" t="n">
        <x:v>1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1</x:v>
      </x:c>
      <x:c r="AA347" t="n">
        <x:v>0</x:v>
      </x:c>
      <x:c r="AB347" t="str">
        <x:v>Pass</x:v>
      </x:c>
      <x:c r="AC347" t="str"/>
      <x:c r="AD347" t="str"/>
    </x:row>
    <x:row r="348">
      <x:c r="A348" t="str">
        <x:v>REC0347</x:v>
      </x:c>
      <x:c r="B348" t="n">
        <x:v>346</x:v>
      </x:c>
      <x:c r="C348" t="str">
        <x:v>St. John, USVI</x:v>
      </x:c>
      <x:c r="D348" t="str">
        <x:v>AA</x:v>
      </x:c>
      <x:c r="E348" t="str">
        <x:v>Accuracy Assessment</x:v>
      </x:c>
      <x:c r="F348" t="str">
        <x:v>HD Seaviewer Drop Camera</x:v>
      </x:c>
      <x:c r="G348" t="str">
        <x:v>AA2017_373</x:v>
      </x:c>
      <x:c r="H348" s="28" t="n">
        <x:v>42771</x:v>
      </x:c>
      <x:c r="I348" t="str">
        <x:v>10:34:54</x:v>
      </x:c>
      <x:c r="J348" t="n">
        <x:v>2017</x:v>
      </x:c>
      <x:c r="K348" t="n">
        <x:v>18.28835796</x:v>
      </x:c>
      <x:c r="L348" t="n">
        <x:v>-64.6630196</x:v>
      </x:c>
      <x:c r="M348" t="n">
        <x:v>35.431</x:v>
      </x:c>
      <x:c r="N348" t="str">
        <x:v>https://nccospublicstor.blob.core.windows.net/biomapper/usviinsularshelf2017/videos/low/AA2017_373.mp4</x:v>
      </x:c>
      <x:c r="O348" t="n">
        <x:v>0</x:v>
      </x:c>
      <x:c r="P348" t="n">
        <x:v>0</x:v>
      </x:c>
      <x:c r="Q348" t="n">
        <x:v>1</x:v>
      </x:c>
      <x:c r="R348" t="n">
        <x:v>1</x:v>
      </x:c>
      <x:c r="S348" t="n">
        <x:v>0</x:v>
      </x:c>
      <x:c r="T348" t="n">
        <x:v>0</x:v>
      </x:c>
      <x:c r="U348" t="n">
        <x:v>1</x:v>
      </x:c>
      <x:c r="V348" t="n">
        <x:v>1</x:v>
      </x:c>
      <x:c r="W348" t="n">
        <x:v>0</x:v>
      </x:c>
      <x:c r="X348" t="n">
        <x:v>0</x:v>
      </x:c>
      <x:c r="Y348" t="n">
        <x:v>0</x:v>
      </x:c>
      <x:c r="Z348" t="n">
        <x:v>2</x:v>
      </x:c>
      <x:c r="AA348" t="n">
        <x:v>2</x:v>
      </x:c>
      <x:c r="AB348" t="str">
        <x:v>Pass</x:v>
      </x:c>
      <x:c r="AC348" t="str"/>
      <x:c r="AD348" t="str"/>
    </x:row>
    <x:row r="349">
      <x:c r="A349" t="str">
        <x:v>REC0348</x:v>
      </x:c>
      <x:c r="B349" t="n">
        <x:v>347</x:v>
      </x:c>
      <x:c r="C349" t="str">
        <x:v>St. Thomas, USVI</x:v>
      </x:c>
      <x:c r="D349" t="str">
        <x:v>AA</x:v>
      </x:c>
      <x:c r="E349" t="str">
        <x:v>Accuracy Assessment</x:v>
      </x:c>
      <x:c r="F349" t="str">
        <x:v>HD Seaviewer Drop Camera</x:v>
      </x:c>
      <x:c r="G349" t="str">
        <x:v>AA2017_950</x:v>
      </x:c>
      <x:c r="H349" s="28" t="n">
        <x:v>42770</x:v>
      </x:c>
      <x:c r="I349" t="str">
        <x:v>08:49:09</x:v>
      </x:c>
      <x:c r="J349" t="n">
        <x:v>2017</x:v>
      </x:c>
      <x:c r="K349" t="n">
        <x:v>18.18896052</x:v>
      </x:c>
      <x:c r="L349" t="n">
        <x:v>-64.95982451</x:v>
      </x:c>
      <x:c r="M349" t="n">
        <x:v>43.592</x:v>
      </x:c>
      <x:c r="N349" t="str">
        <x:v>https://nccospublicstor.blob.core.windows.net/biomapper/usviinsularshelf2017/videos/low/AA2017_950.mp4</x:v>
      </x:c>
      <x:c r="O349" t="n">
        <x:v>1</x:v>
      </x:c>
      <x:c r="P349" t="n">
        <x:v>0</x:v>
      </x:c>
      <x:c r="Q349" t="n">
        <x:v>0</x:v>
      </x:c>
      <x:c r="R349" t="n">
        <x:v>1</x:v>
      </x:c>
      <x:c r="S349" t="n">
        <x:v>1</x:v>
      </x:c>
      <x:c r="T349" t="n">
        <x:v>1</x:v>
      </x:c>
      <x:c r="U349" t="n">
        <x:v>1</x:v>
      </x:c>
      <x:c r="V349" t="n">
        <x:v>1</x:v>
      </x:c>
      <x:c r="W349" t="n">
        <x:v>0</x:v>
      </x:c>
      <x:c r="X349" t="n">
        <x:v>0</x:v>
      </x:c>
      <x:c r="Y349" t="n">
        <x:v>0</x:v>
      </x:c>
      <x:c r="Z349" t="n">
        <x:v>2</x:v>
      </x:c>
      <x:c r="AA349" t="n">
        <x:v>4</x:v>
      </x:c>
      <x:c r="AB349" t="str">
        <x:v>Pass</x:v>
      </x:c>
      <x:c r="AC349" t="str"/>
      <x:c r="AD349" t="str">
        <x:v>big snapper in video</x:v>
      </x:c>
    </x:row>
    <x:row r="350">
      <x:c r="A350" t="str">
        <x:v>REC0349</x:v>
      </x:c>
      <x:c r="B350" t="n">
        <x:v>348</x:v>
      </x:c>
      <x:c r="C350" t="str">
        <x:v>Puerto Rico</x:v>
      </x:c>
      <x:c r="D350" t="str">
        <x:v>GV</x:v>
      </x:c>
      <x:c r="E350" t="str">
        <x:v>Ground Validation</x:v>
      </x:c>
      <x:c r="F350" t="str">
        <x:v>Seaviewer Drop Camera</x:v>
      </x:c>
      <x:c r="G350" t="str">
        <x:v>GV2010_003</x:v>
      </x:c>
      <x:c r="H350" s="28" t="n">
        <x:v>40258</x:v>
      </x:c>
      <x:c r="I350" t="str">
        <x:v>09:12:53</x:v>
      </x:c>
      <x:c r="J350" t="n">
        <x:v>2010</x:v>
      </x:c>
      <x:c r="K350" t="n">
        <x:v>18.16352465</x:v>
      </x:c>
      <x:c r="L350" t="n">
        <x:v>-65.25917381</x:v>
      </x:c>
      <x:c r="M350" t="n">
        <x:v>28.655</x:v>
      </x:c>
      <x:c r="N350" t="str">
        <x:v>https://nccospublicstor.blob.core.windows.net/biomapper/usviinsularshelf2017/videos/low/GV2010_003.mp4</x:v>
      </x:c>
      <x:c r="O350" t="n">
        <x:v>0</x:v>
      </x:c>
      <x:c r="P350" t="n">
        <x:v>0</x:v>
      </x:c>
      <x:c r="Q350" t="n">
        <x:v>1</x:v>
      </x:c>
      <x:c r="R350" t="n">
        <x:v>0</x:v>
      </x:c>
      <x:c r="S350" t="n">
        <x:v>1</x:v>
      </x:c>
      <x:c r="T350" t="n">
        <x:v>0</x:v>
      </x:c>
      <x:c r="U350" t="n">
        <x:v>1</x:v>
      </x:c>
      <x:c r="V350" t="n">
        <x:v>1</x:v>
      </x:c>
      <x:c r="W350" t="n">
        <x:v>0</x:v>
      </x:c>
      <x:c r="X350" t="n">
        <x:v>0</x:v>
      </x:c>
      <x:c r="Y350" t="n">
        <x:v>0</x:v>
      </x:c>
      <x:c r="Z350" t="n">
        <x:v>1</x:v>
      </x:c>
      <x:c r="AA350" t="n">
        <x:v>3</x:v>
      </x:c>
      <x:c r="AB350" t="str">
        <x:v>Pass</x:v>
      </x:c>
      <x:c r="AC350" t="str"/>
      <x:c r="AD350" t="str"/>
    </x:row>
    <x:row r="351">
      <x:c r="A351" t="str">
        <x:v>REC0350</x:v>
      </x:c>
      <x:c r="B351" t="n">
        <x:v>349</x:v>
      </x:c>
      <x:c r="C351" t="str">
        <x:v>Puerto Rico</x:v>
      </x:c>
      <x:c r="D351" t="str">
        <x:v>GV</x:v>
      </x:c>
      <x:c r="E351" t="str">
        <x:v>Ground Validation</x:v>
      </x:c>
      <x:c r="F351" t="str">
        <x:v>Seaviewer Drop Camera</x:v>
      </x:c>
      <x:c r="G351" t="str">
        <x:v>GV2010_004</x:v>
      </x:c>
      <x:c r="H351" s="28" t="n">
        <x:v>40258</x:v>
      </x:c>
      <x:c r="I351" t="str">
        <x:v>09:42:24</x:v>
      </x:c>
      <x:c r="J351" t="n">
        <x:v>2010</x:v>
      </x:c>
      <x:c r="K351" t="n">
        <x:v>18.15104315</x:v>
      </x:c>
      <x:c r="L351" t="n">
        <x:v>-65.25681088</x:v>
      </x:c>
      <x:c r="M351" t="n">
        <x:v>23.79</x:v>
      </x:c>
      <x:c r="N351" t="str">
        <x:v>https://nccospublicstor.blob.core.windows.net/biomapper/usviinsularshelf2017/videos/low/GV2010_004.mp4</x:v>
      </x:c>
      <x:c r="O351" t="n">
        <x:v>0</x:v>
      </x:c>
      <x:c r="P351" t="n">
        <x:v>1</x:v>
      </x:c>
      <x:c r="Q351" t="n">
        <x:v>0</x:v>
      </x:c>
      <x:c r="R351" t="n">
        <x:v>0</x:v>
      </x:c>
      <x:c r="S351" t="n">
        <x:v>1</x:v>
      </x:c>
      <x:c r="T351" t="n">
        <x:v>1</x:v>
      </x:c>
      <x:c r="U351" t="n">
        <x:v>1</x:v>
      </x:c>
      <x:c r="V351" t="n">
        <x:v>1</x:v>
      </x:c>
      <x:c r="W351" t="n">
        <x:v>0</x:v>
      </x:c>
      <x:c r="X351" t="n">
        <x:v>0</x:v>
      </x:c>
      <x:c r="Y351" t="n">
        <x:v>0</x:v>
      </x:c>
      <x:c r="Z351" t="n">
        <x:v>1</x:v>
      </x:c>
      <x:c r="AA351" t="n">
        <x:v>4</x:v>
      </x:c>
      <x:c r="AB351" t="str">
        <x:v>Pass</x:v>
      </x:c>
      <x:c r="AC351" t="str"/>
      <x:c r="AD351" t="str"/>
    </x:row>
    <x:row r="352">
      <x:c r="A352" t="str">
        <x:v>REC0351</x:v>
      </x:c>
      <x:c r="B352" t="n">
        <x:v>350</x:v>
      </x:c>
      <x:c r="C352" t="str">
        <x:v>Puerto Rico</x:v>
      </x:c>
      <x:c r="D352" t="str">
        <x:v>GV</x:v>
      </x:c>
      <x:c r="E352" t="str">
        <x:v>Ground Validation</x:v>
      </x:c>
      <x:c r="F352" t="str">
        <x:v>Seaviewer Drop Camera</x:v>
      </x:c>
      <x:c r="G352" t="str">
        <x:v>GV2010_005</x:v>
      </x:c>
      <x:c r="H352" s="28" t="n">
        <x:v>40258</x:v>
      </x:c>
      <x:c r="I352" t="str">
        <x:v>10:10:18</x:v>
      </x:c>
      <x:c r="J352" t="n">
        <x:v>2010</x:v>
      </x:c>
      <x:c r="K352" t="n">
        <x:v>18.13829983</x:v>
      </x:c>
      <x:c r="L352" t="n">
        <x:v>-65.25664266</x:v>
      </x:c>
      <x:c r="M352" t="n">
        <x:v>33.004</x:v>
      </x:c>
      <x:c r="N352" t="str">
        <x:v>https://nccospublicstor.blob.core.windows.net/biomapper/usviinsularshelf2017/videos/low/GV2010_005.mp4</x:v>
      </x:c>
      <x:c r="O352" t="n">
        <x:v>0</x:v>
      </x:c>
      <x:c r="P352" t="n">
        <x:v>0</x:v>
      </x:c>
      <x:c r="Q352" t="n">
        <x:v>1</x:v>
      </x:c>
      <x:c r="R352" t="n">
        <x:v>0</x:v>
      </x:c>
      <x:c r="S352" t="n">
        <x:v>0</x:v>
      </x:c>
      <x:c r="T352" t="n">
        <x:v>0</x:v>
      </x:c>
      <x:c r="U352" t="n">
        <x:v>1</x:v>
      </x:c>
      <x:c r="V352" t="n">
        <x:v>1</x:v>
      </x:c>
      <x:c r="W352" t="n">
        <x:v>0</x:v>
      </x:c>
      <x:c r="X352" t="n">
        <x:v>0</x:v>
      </x:c>
      <x:c r="Y352" t="n">
        <x:v>0</x:v>
      </x:c>
      <x:c r="Z352" t="n">
        <x:v>1</x:v>
      </x:c>
      <x:c r="AA352" t="n">
        <x:v>2</x:v>
      </x:c>
      <x:c r="AB352" t="str">
        <x:v>Pass</x:v>
      </x:c>
      <x:c r="AC352" t="str"/>
      <x:c r="AD352" t="str"/>
    </x:row>
    <x:row r="353">
      <x:c r="A353" t="str">
        <x:v>REC0352</x:v>
      </x:c>
      <x:c r="B353" t="n">
        <x:v>351</x:v>
      </x:c>
      <x:c r="C353" t="str">
        <x:v>Puerto Rico</x:v>
      </x:c>
      <x:c r="D353" t="str">
        <x:v>GV</x:v>
      </x:c>
      <x:c r="E353" t="str">
        <x:v>Ground Validation</x:v>
      </x:c>
      <x:c r="F353" t="str">
        <x:v>Seaviewer Drop Camera</x:v>
      </x:c>
      <x:c r="G353" t="str">
        <x:v>GV2010_009</x:v>
      </x:c>
      <x:c r="H353" s="28" t="n">
        <x:v>40258</x:v>
      </x:c>
      <x:c r="I353" t="str">
        <x:v>08:00:29</x:v>
      </x:c>
      <x:c r="J353" t="n">
        <x:v>2010</x:v>
      </x:c>
      <x:c r="K353" t="n">
        <x:v>18.17165412</x:v>
      </x:c>
      <x:c r="L353" t="n">
        <x:v>-65.24221245</x:v>
      </x:c>
      <x:c r="M353" t="n">
        <x:v>31.903</x:v>
      </x:c>
      <x:c r="N353" t="str">
        <x:v>https://nccospublicstor.blob.core.windows.net/biomapper/usviinsularshelf2017/videos/low/GV2010_009.mp4</x:v>
      </x:c>
      <x:c r="O353" t="n">
        <x:v>0</x:v>
      </x:c>
      <x:c r="P353" t="n">
        <x:v>0</x:v>
      </x:c>
      <x:c r="Q353" t="n">
        <x:v>1</x:v>
      </x:c>
      <x:c r="R353" t="n">
        <x:v>0</x:v>
      </x:c>
      <x:c r="S353" t="n">
        <x:v>0</x:v>
      </x:c>
      <x:c r="T353" t="n">
        <x:v>0</x:v>
      </x:c>
      <x:c r="U353" t="n">
        <x:v>1</x:v>
      </x:c>
      <x:c r="V353" t="n">
        <x:v>1</x:v>
      </x:c>
      <x:c r="W353" t="n">
        <x:v>0</x:v>
      </x:c>
      <x:c r="X353" t="n">
        <x:v>0</x:v>
      </x:c>
      <x:c r="Y353" t="n">
        <x:v>0</x:v>
      </x:c>
      <x:c r="Z353" t="n">
        <x:v>1</x:v>
      </x:c>
      <x:c r="AA353" t="n">
        <x:v>2</x:v>
      </x:c>
      <x:c r="AB353" t="str">
        <x:v>Pass</x:v>
      </x:c>
      <x:c r="AC353" t="str"/>
      <x:c r="AD353" t="str"/>
    </x:row>
    <x:row r="354">
      <x:c r="A354" t="str">
        <x:v>REC0353</x:v>
      </x:c>
      <x:c r="B354" t="n">
        <x:v>352</x:v>
      </x:c>
      <x:c r="C354" t="str">
        <x:v>Puerto Rico</x:v>
      </x:c>
      <x:c r="D354" t="str">
        <x:v>GV</x:v>
      </x:c>
      <x:c r="E354" t="str">
        <x:v>Ground Validation</x:v>
      </x:c>
      <x:c r="F354" t="str">
        <x:v>Seaviewer Drop Camera</x:v>
      </x:c>
      <x:c r="G354" t="str">
        <x:v>GV2010_010</x:v>
      </x:c>
      <x:c r="H354" s="28" t="n">
        <x:v>40258</x:v>
      </x:c>
      <x:c r="I354" t="str">
        <x:v>08:16:25</x:v>
      </x:c>
      <x:c r="J354" t="n">
        <x:v>2010</x:v>
      </x:c>
      <x:c r="K354" t="n">
        <x:v>18.1752989</x:v>
      </x:c>
      <x:c r="L354" t="n">
        <x:v>-65.2428473</x:v>
      </x:c>
      <x:c r="M354" t="n">
        <x:v>33.044</x:v>
      </x:c>
      <x:c r="N354" t="str">
        <x:v>https://nccospublicstor.blob.core.windows.net/biomapper/usviinsularshelf2017/videos/low/GV2010_010.mp4</x:v>
      </x:c>
      <x:c r="O354" t="n">
        <x:v>1</x:v>
      </x:c>
      <x:c r="P354" t="n">
        <x:v>0</x:v>
      </x:c>
      <x:c r="Q354" t="n">
        <x:v>0</x:v>
      </x:c>
      <x:c r="R354" t="n">
        <x:v>1</x:v>
      </x:c>
      <x:c r="S354" t="n">
        <x:v>1</x:v>
      </x:c>
      <x:c r="T354" t="n">
        <x:v>0</x:v>
      </x:c>
      <x:c r="U354" t="n">
        <x:v>1</x:v>
      </x:c>
      <x:c r="V354" t="n">
        <x:v>1</x:v>
      </x:c>
      <x:c r="W354" t="n">
        <x:v>0</x:v>
      </x:c>
      <x:c r="X354" t="n">
        <x:v>0</x:v>
      </x:c>
      <x:c r="Y354" t="n">
        <x:v>0</x:v>
      </x:c>
      <x:c r="Z354" t="n">
        <x:v>2</x:v>
      </x:c>
      <x:c r="AA354" t="n">
        <x:v>3</x:v>
      </x:c>
      <x:c r="AB354" t="str">
        <x:v>Pass</x:v>
      </x:c>
      <x:c r="AC354" t="str"/>
      <x:c r="AD354" t="str"/>
    </x:row>
    <x:row r="355">
      <x:c r="A355" t="str">
        <x:v>REC0354</x:v>
      </x:c>
      <x:c r="B355" t="n">
        <x:v>353</x:v>
      </x:c>
      <x:c r="C355" t="str">
        <x:v>Puerto Rico</x:v>
      </x:c>
      <x:c r="D355" t="str">
        <x:v>GV</x:v>
      </x:c>
      <x:c r="E355" t="str">
        <x:v>Ground Validation</x:v>
      </x:c>
      <x:c r="F355" t="str">
        <x:v>Seaviewer Drop Camera</x:v>
      </x:c>
      <x:c r="G355" t="str">
        <x:v>GV2010_033</x:v>
      </x:c>
      <x:c r="H355" s="28" t="n">
        <x:v>40258</x:v>
      </x:c>
      <x:c r="I355" t="str">
        <x:v>09:52:31</x:v>
      </x:c>
      <x:c r="J355" t="n">
        <x:v>2010</x:v>
      </x:c>
      <x:c r="K355" t="n">
        <x:v>18.14725437</x:v>
      </x:c>
      <x:c r="L355" t="n">
        <x:v>-65.25699605</x:v>
      </x:c>
      <x:c r="M355" t="n">
        <x:v>26.64</x:v>
      </x:c>
      <x:c r="N355" t="str">
        <x:v>https://nccospublicstor.blob.core.windows.net/biomapper/usviinsularshelf2017/videos/low/GV2010_033.mp4</x:v>
      </x:c>
      <x:c r="O355" t="n">
        <x:v>0</x:v>
      </x:c>
      <x:c r="P355" t="n">
        <x:v>1</x:v>
      </x:c>
      <x:c r="Q355" t="n">
        <x:v>0</x:v>
      </x:c>
      <x:c r="R355" t="n">
        <x:v>0</x:v>
      </x:c>
      <x:c r="S355" t="n">
        <x:v>1</x:v>
      </x:c>
      <x:c r="T355" t="n">
        <x:v>0</x:v>
      </x:c>
      <x:c r="U355" t="n">
        <x:v>1</x:v>
      </x:c>
      <x:c r="V355" t="n">
        <x:v>1</x:v>
      </x:c>
      <x:c r="W355" t="n">
        <x:v>0</x:v>
      </x:c>
      <x:c r="X355" t="n">
        <x:v>0</x:v>
      </x:c>
      <x:c r="Y355" t="n">
        <x:v>0</x:v>
      </x:c>
      <x:c r="Z355" t="n">
        <x:v>1</x:v>
      </x:c>
      <x:c r="AA355" t="n">
        <x:v>3</x:v>
      </x:c>
      <x:c r="AB355" t="str">
        <x:v>Pass</x:v>
      </x:c>
      <x:c r="AC355" t="str"/>
      <x:c r="AD355" t="str"/>
    </x:row>
    <x:row r="356">
      <x:c r="A356" t="str">
        <x:v>REC0355</x:v>
      </x:c>
      <x:c r="B356" t="n">
        <x:v>354</x:v>
      </x:c>
      <x:c r="C356" t="str">
        <x:v>Puerto Rico</x:v>
      </x:c>
      <x:c r="D356" t="str">
        <x:v>GV</x:v>
      </x:c>
      <x:c r="E356" t="str">
        <x:v>Ground Validation</x:v>
      </x:c>
      <x:c r="F356" t="str">
        <x:v>Seaviewer Drop Camera</x:v>
      </x:c>
      <x:c r="G356" t="str">
        <x:v>GV2010_034</x:v>
      </x:c>
      <x:c r="H356" s="28" t="n">
        <x:v>40258</x:v>
      </x:c>
      <x:c r="I356" t="str">
        <x:v>09:59:21</x:v>
      </x:c>
      <x:c r="J356" t="n">
        <x:v>2010</x:v>
      </x:c>
      <x:c r="K356" t="n">
        <x:v>18.14634556</x:v>
      </x:c>
      <x:c r="L356" t="n">
        <x:v>-65.25791038</x:v>
      </x:c>
      <x:c r="M356" t="n">
        <x:v>25.031</x:v>
      </x:c>
      <x:c r="N356" t="str">
        <x:v>https://nccospublicstor.blob.core.windows.net/biomapper/usviinsularshelf2017/videos/low/GV2010_034.mp4</x:v>
      </x:c>
      <x:c r="O356" t="n">
        <x:v>0</x:v>
      </x:c>
      <x:c r="P356" t="n">
        <x:v>1</x:v>
      </x:c>
      <x:c r="Q356" t="n">
        <x:v>0</x:v>
      </x:c>
      <x:c r="R356" t="n">
        <x:v>0</x:v>
      </x:c>
      <x:c r="S356" t="n">
        <x:v>1</x:v>
      </x:c>
      <x:c r="T356" t="n">
        <x:v>0</x:v>
      </x:c>
      <x:c r="U356" t="n">
        <x:v>1</x:v>
      </x:c>
      <x:c r="V356" t="n">
        <x:v>1</x:v>
      </x:c>
      <x:c r="W356" t="n">
        <x:v>0</x:v>
      </x:c>
      <x:c r="X356" t="n">
        <x:v>0</x:v>
      </x:c>
      <x:c r="Y356" t="n">
        <x:v>0</x:v>
      </x:c>
      <x:c r="Z356" t="n">
        <x:v>1</x:v>
      </x:c>
      <x:c r="AA356" t="n">
        <x:v>3</x:v>
      </x:c>
      <x:c r="AB356" t="str">
        <x:v>Pass</x:v>
      </x:c>
      <x:c r="AC356" t="str"/>
      <x:c r="AD356" t="str"/>
    </x:row>
    <x:row r="357">
      <x:c r="A357" t="str">
        <x:v>REC0356</x:v>
      </x:c>
      <x:c r="B357" t="n">
        <x:v>355</x:v>
      </x:c>
      <x:c r="C357" t="str">
        <x:v>Puerto Rico</x:v>
      </x:c>
      <x:c r="D357" t="str">
        <x:v>GV</x:v>
      </x:c>
      <x:c r="E357" t="str">
        <x:v>Ground Validation</x:v>
      </x:c>
      <x:c r="F357" t="str">
        <x:v>Seaviewer Drop Camera</x:v>
      </x:c>
      <x:c r="G357" t="str">
        <x:v>GV2010_039</x:v>
      </x:c>
      <x:c r="H357" s="28" t="n">
        <x:v>40258</x:v>
      </x:c>
      <x:c r="I357" t="str">
        <x:v>09:01:39</x:v>
      </x:c>
      <x:c r="J357" t="n">
        <x:v>2010</x:v>
      </x:c>
      <x:c r="K357" t="n">
        <x:v>18.17238565</x:v>
      </x:c>
      <x:c r="L357" t="n">
        <x:v>-65.25143859</x:v>
      </x:c>
      <x:c r="M357" t="n">
        <x:v>29.66</x:v>
      </x:c>
      <x:c r="N357" t="str">
        <x:v>https://nccospublicstor.blob.core.windows.net/biomapper/usviinsularshelf2017/videos/low/GV2010_039.mp4</x:v>
      </x:c>
      <x:c r="O357" t="n">
        <x:v>0</x:v>
      </x:c>
      <x:c r="P357" t="n">
        <x:v>0</x:v>
      </x:c>
      <x:c r="Q357" t="n">
        <x:v>1</x:v>
      </x:c>
      <x:c r="R357" t="n">
        <x:v>0</x:v>
      </x:c>
      <x:c r="S357" t="n">
        <x:v>1</x:v>
      </x:c>
      <x:c r="T357" t="n">
        <x:v>0</x:v>
      </x:c>
      <x:c r="U357" t="n">
        <x:v>1</x:v>
      </x:c>
      <x:c r="V357" t="n">
        <x:v>1</x:v>
      </x:c>
      <x:c r="W357" t="n">
        <x:v>0</x:v>
      </x:c>
      <x:c r="X357" t="n">
        <x:v>0</x:v>
      </x:c>
      <x:c r="Y357" t="n">
        <x:v>0</x:v>
      </x:c>
      <x:c r="Z357" t="n">
        <x:v>1</x:v>
      </x:c>
      <x:c r="AA357" t="n">
        <x:v>3</x:v>
      </x:c>
      <x:c r="AB357" t="str">
        <x:v>Pass</x:v>
      </x:c>
      <x:c r="AC357" t="str"/>
      <x:c r="AD357" t="str"/>
    </x:row>
    <x:row r="358">
      <x:c r="A358" t="str">
        <x:v>REC0357</x:v>
      </x:c>
      <x:c r="B358" t="n">
        <x:v>356</x:v>
      </x:c>
      <x:c r="C358" t="str">
        <x:v>Puerto Rico</x:v>
      </x:c>
      <x:c r="D358" t="str">
        <x:v>GV</x:v>
      </x:c>
      <x:c r="E358" t="str">
        <x:v>Ground Validation</x:v>
      </x:c>
      <x:c r="F358" t="str">
        <x:v>Seaviewer Drop Camera</x:v>
      </x:c>
      <x:c r="G358" t="str">
        <x:v>GV2010_040</x:v>
      </x:c>
      <x:c r="H358" s="28" t="n">
        <x:v>40258</x:v>
      </x:c>
      <x:c r="I358" t="str">
        <x:v>10:28:00</x:v>
      </x:c>
      <x:c r="J358" t="n">
        <x:v>2010</x:v>
      </x:c>
      <x:c r="K358" t="n">
        <x:v>18.1445337</x:v>
      </x:c>
      <x:c r="L358" t="n">
        <x:v>-65.24881528</x:v>
      </x:c>
      <x:c r="M358" t="n">
        <x:v>32.825</x:v>
      </x:c>
      <x:c r="N358" t="str">
        <x:v>https://nccospublicstor.blob.core.windows.net/biomapper/usviinsularshelf2017/videos/low/GV2010_040.mp4</x:v>
      </x:c>
      <x:c r="O358" t="n">
        <x:v>0</x:v>
      </x:c>
      <x:c r="P358" t="n">
        <x:v>0</x:v>
      </x:c>
      <x:c r="Q358" t="n">
        <x:v>1</x:v>
      </x:c>
      <x:c r="R358" t="n">
        <x:v>0</x:v>
      </x:c>
      <x:c r="S358" t="n">
        <x:v>1</x:v>
      </x:c>
      <x:c r="T358" t="n">
        <x:v>0</x:v>
      </x:c>
      <x:c r="U358" t="n">
        <x:v>1</x:v>
      </x:c>
      <x:c r="V358" t="n">
        <x:v>1</x:v>
      </x:c>
      <x:c r="W358" t="n">
        <x:v>0</x:v>
      </x:c>
      <x:c r="X358" t="n">
        <x:v>0</x:v>
      </x:c>
      <x:c r="Y358" t="n">
        <x:v>0</x:v>
      </x:c>
      <x:c r="Z358" t="n">
        <x:v>1</x:v>
      </x:c>
      <x:c r="AA358" t="n">
        <x:v>3</x:v>
      </x:c>
      <x:c r="AB358" t="str">
        <x:v>Pass</x:v>
      </x:c>
      <x:c r="AC358" t="str"/>
      <x:c r="AD358" t="str"/>
    </x:row>
    <x:row r="359">
      <x:c r="A359" t="str">
        <x:v>REC0358</x:v>
      </x:c>
      <x:c r="B359" t="n">
        <x:v>357</x:v>
      </x:c>
      <x:c r="C359" t="str">
        <x:v>Puerto Rico</x:v>
      </x:c>
      <x:c r="D359" t="str">
        <x:v>GV</x:v>
      </x:c>
      <x:c r="E359" t="str">
        <x:v>Ground Validation</x:v>
      </x:c>
      <x:c r="F359" t="str">
        <x:v>Seaviewer Drop Camera</x:v>
      </x:c>
      <x:c r="G359" t="str">
        <x:v>GV2010_044</x:v>
      </x:c>
      <x:c r="H359" s="28" t="n">
        <x:v>40258</x:v>
      </x:c>
      <x:c r="I359" t="str">
        <x:v>09:31:47</x:v>
      </x:c>
      <x:c r="J359" t="n">
        <x:v>2010</x:v>
      </x:c>
      <x:c r="K359" t="n">
        <x:v>18.15868916</x:v>
      </x:c>
      <x:c r="L359" t="n">
        <x:v>-65.24995219</x:v>
      </x:c>
      <x:c r="M359" t="n">
        <x:v>30.442</x:v>
      </x:c>
      <x:c r="N359" t="str">
        <x:v>https://nccospublicstor.blob.core.windows.net/biomapper/usviinsularshelf2017/videos/low/GV2010_044.mp4</x:v>
      </x:c>
      <x:c r="O359" t="n">
        <x:v>0</x:v>
      </x:c>
      <x:c r="P359" t="n">
        <x:v>1</x:v>
      </x:c>
      <x:c r="Q359" t="n">
        <x:v>0</x:v>
      </x:c>
      <x:c r="R359" t="n">
        <x:v>0</x:v>
      </x:c>
      <x:c r="S359" t="n">
        <x:v>1</x:v>
      </x:c>
      <x:c r="T359" t="n">
        <x:v>0</x:v>
      </x:c>
      <x:c r="U359" t="n">
        <x:v>1</x:v>
      </x:c>
      <x:c r="V359" t="n">
        <x:v>1</x:v>
      </x:c>
      <x:c r="W359" t="n">
        <x:v>0</x:v>
      </x:c>
      <x:c r="X359" t="n">
        <x:v>0</x:v>
      </x:c>
      <x:c r="Y359" t="n">
        <x:v>0</x:v>
      </x:c>
      <x:c r="Z359" t="n">
        <x:v>1</x:v>
      </x:c>
      <x:c r="AA359" t="n">
        <x:v>3</x:v>
      </x:c>
      <x:c r="AB359" t="str">
        <x:v>Pass</x:v>
      </x:c>
      <x:c r="AC359" t="str"/>
      <x:c r="AD359" t="str"/>
    </x:row>
    <x:row r="360">
      <x:c r="A360" t="str">
        <x:v>REC0359</x:v>
      </x:c>
      <x:c r="B360" t="n">
        <x:v>358</x:v>
      </x:c>
      <x:c r="C360" t="str">
        <x:v>Puerto Rico</x:v>
      </x:c>
      <x:c r="D360" t="str">
        <x:v>GV</x:v>
      </x:c>
      <x:c r="E360" t="str">
        <x:v>Ground Validation</x:v>
      </x:c>
      <x:c r="F360" t="str">
        <x:v>Seaviewer Drop Camera</x:v>
      </x:c>
      <x:c r="G360" t="str">
        <x:v>GV2010_045</x:v>
      </x:c>
      <x:c r="H360" s="28" t="n">
        <x:v>40258</x:v>
      </x:c>
      <x:c r="I360" t="str">
        <x:v>08:25:45</x:v>
      </x:c>
      <x:c r="J360" t="n">
        <x:v>2010</x:v>
      </x:c>
      <x:c r="K360" t="n">
        <x:v>18.17951382</x:v>
      </x:c>
      <x:c r="L360" t="n">
        <x:v>-65.25035237</x:v>
      </x:c>
      <x:c r="M360" t="n">
        <x:v>29.818</x:v>
      </x:c>
      <x:c r="N360" t="str">
        <x:v>https://nccospublicstor.blob.core.windows.net/biomapper/usviinsularshelf2017/videos/low/GV2010_045.mp4</x:v>
      </x:c>
      <x:c r="O360" t="n">
        <x:v>0</x:v>
      </x:c>
      <x:c r="P360" t="n">
        <x:v>0</x:v>
      </x:c>
      <x:c r="Q360" t="n">
        <x:v>1</x:v>
      </x:c>
      <x:c r="R360" t="n">
        <x:v>0</x:v>
      </x:c>
      <x:c r="S360" t="n">
        <x:v>0</x:v>
      </x:c>
      <x:c r="T360" t="n">
        <x:v>0</x:v>
      </x:c>
      <x:c r="U360" t="n">
        <x:v>1</x:v>
      </x:c>
      <x:c r="V360" t="n">
        <x:v>1</x:v>
      </x:c>
      <x:c r="W360" t="n">
        <x:v>0</x:v>
      </x:c>
      <x:c r="X360" t="n">
        <x:v>0</x:v>
      </x:c>
      <x:c r="Y360" t="n">
        <x:v>0</x:v>
      </x:c>
      <x:c r="Z360" t="n">
        <x:v>1</x:v>
      </x:c>
      <x:c r="AA360" t="n">
        <x:v>2</x:v>
      </x:c>
      <x:c r="AB360" t="str">
        <x:v>Pass</x:v>
      </x:c>
      <x:c r="AC360" t="str"/>
      <x:c r="AD360" t="str"/>
    </x:row>
    <x:row r="361">
      <x:c r="A361" t="str">
        <x:v>REC0360</x:v>
      </x:c>
      <x:c r="B361" t="n">
        <x:v>359</x:v>
      </x:c>
      <x:c r="C361" t="str">
        <x:v>St. Thomas, USVI</x:v>
      </x:c>
      <x:c r="D361" t="str">
        <x:v>GV</x:v>
      </x:c>
      <x:c r="E361" t="str">
        <x:v>Ground Validation</x:v>
      </x:c>
      <x:c r="F361" t="str">
        <x:v>Seaviewer Drop Camera</x:v>
      </x:c>
      <x:c r="G361" t="str">
        <x:v>GV2010_073</x:v>
      </x:c>
      <x:c r="H361" s="28" t="n">
        <x:v>40257</x:v>
      </x:c>
      <x:c r="I361" t="str">
        <x:v>09:53:43</x:v>
      </x:c>
      <x:c r="J361" t="n">
        <x:v>2010</x:v>
      </x:c>
      <x:c r="K361" t="n">
        <x:v>18.25626955</x:v>
      </x:c>
      <x:c r="L361" t="n">
        <x:v>-65.04044426</x:v>
      </x:c>
      <x:c r="M361" t="n">
        <x:v>34.699</x:v>
      </x:c>
      <x:c r="N361" t="str">
        <x:v>https://nccospublicstor.blob.core.windows.net/biomapper/usviinsularshelf2017/videos/low/GV2010_073.mp4</x:v>
      </x:c>
      <x:c r="O361" t="n">
        <x:v>0</x:v>
      </x:c>
      <x:c r="P361" t="n">
        <x:v>0</x:v>
      </x:c>
      <x:c r="Q361" t="n">
        <x:v>1</x:v>
      </x:c>
      <x:c r="R361" t="n">
        <x:v>1</x:v>
      </x:c>
      <x:c r="S361" t="n">
        <x:v>0</x:v>
      </x:c>
      <x:c r="T361" t="n">
        <x:v>0</x:v>
      </x:c>
      <x:c r="U361" t="n">
        <x:v>1</x:v>
      </x:c>
      <x:c r="V361" t="n">
        <x:v>1</x:v>
      </x:c>
      <x:c r="W361" t="n">
        <x:v>0</x:v>
      </x:c>
      <x:c r="X361" t="n">
        <x:v>0</x:v>
      </x:c>
      <x:c r="Y361" t="n">
        <x:v>0</x:v>
      </x:c>
      <x:c r="Z361" t="n">
        <x:v>2</x:v>
      </x:c>
      <x:c r="AA361" t="n">
        <x:v>2</x:v>
      </x:c>
      <x:c r="AB361" t="str">
        <x:v>Pass</x:v>
      </x:c>
      <x:c r="AC361" t="str"/>
      <x:c r="AD361" t="str"/>
    </x:row>
    <x:row r="362">
      <x:c r="A362" t="str">
        <x:v>REC0361</x:v>
      </x:c>
      <x:c r="B362" t="n">
        <x:v>360</x:v>
      </x:c>
      <x:c r="C362" t="str">
        <x:v>St. Thomas, USVI</x:v>
      </x:c>
      <x:c r="D362" t="str">
        <x:v>GV</x:v>
      </x:c>
      <x:c r="E362" t="str">
        <x:v>Ground Validation</x:v>
      </x:c>
      <x:c r="F362" t="str">
        <x:v>Seaviewer Drop Camera</x:v>
      </x:c>
      <x:c r="G362" t="str">
        <x:v>GV2010_094</x:v>
      </x:c>
      <x:c r="H362" s="28" t="n">
        <x:v>40257</x:v>
      </x:c>
      <x:c r="I362" t="str">
        <x:v>10:11:29</x:v>
      </x:c>
      <x:c r="J362" t="n">
        <x:v>2010</x:v>
      </x:c>
      <x:c r="K362" t="n">
        <x:v>18.25628349</x:v>
      </x:c>
      <x:c r="L362" t="n">
        <x:v>-65.05641357</x:v>
      </x:c>
      <x:c r="M362" t="n">
        <x:v>35.089</x:v>
      </x:c>
      <x:c r="N362" t="str">
        <x:v>https://nccospublicstor.blob.core.windows.net/biomapper/usviinsularshelf2017/videos/low/GV2010_094.mp4</x:v>
      </x:c>
      <x:c r="O362" t="n">
        <x:v>0</x:v>
      </x:c>
      <x:c r="P362" t="n">
        <x:v>0</x:v>
      </x:c>
      <x:c r="Q362" t="n">
        <x:v>1</x:v>
      </x:c>
      <x:c r="R362" t="n">
        <x:v>1</x:v>
      </x:c>
      <x:c r="S362" t="n">
        <x:v>0</x:v>
      </x:c>
      <x:c r="T362" t="n">
        <x:v>0</x:v>
      </x:c>
      <x:c r="U362" t="n">
        <x:v>1</x:v>
      </x:c>
      <x:c r="V362" t="n">
        <x:v>1</x:v>
      </x:c>
      <x:c r="W362" t="n">
        <x:v>0</x:v>
      </x:c>
      <x:c r="X362" t="n">
        <x:v>0</x:v>
      </x:c>
      <x:c r="Y362" t="n">
        <x:v>0</x:v>
      </x:c>
      <x:c r="Z362" t="n">
        <x:v>2</x:v>
      </x:c>
      <x:c r="AA362" t="n">
        <x:v>2</x:v>
      </x:c>
      <x:c r="AB362" t="str">
        <x:v>Pass</x:v>
      </x:c>
      <x:c r="AC362" t="str"/>
      <x:c r="AD362" t="str"/>
    </x:row>
    <x:row r="363">
      <x:c r="A363" t="str">
        <x:v>REC0362</x:v>
      </x:c>
      <x:c r="B363" t="n">
        <x:v>361</x:v>
      </x:c>
      <x:c r="C363" t="str">
        <x:v>Puerto Rico</x:v>
      </x:c>
      <x:c r="D363" t="str">
        <x:v>GV</x:v>
      </x:c>
      <x:c r="E363" t="str">
        <x:v>Ground Validation</x:v>
      </x:c>
      <x:c r="F363" t="str">
        <x:v>Seaviewer Drop Camera</x:v>
      </x:c>
      <x:c r="G363" t="str">
        <x:v>GV2010_271</x:v>
      </x:c>
      <x:c r="H363" s="28" t="n">
        <x:v>40258</x:v>
      </x:c>
      <x:c r="I363" t="str">
        <x:v>08:32:18</x:v>
      </x:c>
      <x:c r="J363" t="n">
        <x:v>2010</x:v>
      </x:c>
      <x:c r="K363" t="n">
        <x:v>18.17935368</x:v>
      </x:c>
      <x:c r="L363" t="n">
        <x:v>-65.25168427</x:v>
      </x:c>
      <x:c r="M363" t="n">
        <x:v>26.078</x:v>
      </x:c>
      <x:c r="N363" t="str">
        <x:v>https://nccospublicstor.blob.core.windows.net/biomapper/usviinsularshelf2017/videos/low/GV2010_271.mp4</x:v>
      </x:c>
      <x:c r="O363" t="n">
        <x:v>0</x:v>
      </x:c>
      <x:c r="P363" t="n">
        <x:v>1</x:v>
      </x:c>
      <x:c r="Q363" t="n">
        <x:v>0</x:v>
      </x:c>
      <x:c r="R363" t="n">
        <x:v>0</x:v>
      </x:c>
      <x:c r="S363" t="n">
        <x:v>1</x:v>
      </x:c>
      <x:c r="T363" t="n">
        <x:v>0</x:v>
      </x:c>
      <x:c r="U363" t="n">
        <x:v>1</x:v>
      </x:c>
      <x:c r="V363" t="n">
        <x:v>1</x:v>
      </x:c>
      <x:c r="W363" t="n">
        <x:v>0</x:v>
      </x:c>
      <x:c r="X363" t="n">
        <x:v>0</x:v>
      </x:c>
      <x:c r="Y363" t="n">
        <x:v>0</x:v>
      </x:c>
      <x:c r="Z363" t="n">
        <x:v>1</x:v>
      </x:c>
      <x:c r="AA363" t="n">
        <x:v>3</x:v>
      </x:c>
      <x:c r="AB363" t="str">
        <x:v>Pass</x:v>
      </x:c>
      <x:c r="AC363" t="str"/>
      <x:c r="AD363" t="str"/>
    </x:row>
    <x:row r="364">
      <x:c r="A364" t="str">
        <x:v>REC0363</x:v>
      </x:c>
      <x:c r="B364" t="n">
        <x:v>362</x:v>
      </x:c>
      <x:c r="C364" t="str">
        <x:v>Puerto Rico</x:v>
      </x:c>
      <x:c r="D364" t="str">
        <x:v>GV</x:v>
      </x:c>
      <x:c r="E364" t="str">
        <x:v>Ground Validation</x:v>
      </x:c>
      <x:c r="F364" t="str">
        <x:v>Seaviewer Drop Camera</x:v>
      </x:c>
      <x:c r="G364" t="str">
        <x:v>GV2010_272</x:v>
      </x:c>
      <x:c r="H364" s="28" t="n">
        <x:v>40258</x:v>
      </x:c>
      <x:c r="I364" t="str">
        <x:v>08:44:17</x:v>
      </x:c>
      <x:c r="J364" t="n">
        <x:v>2010</x:v>
      </x:c>
      <x:c r="K364" t="n">
        <x:v>18.17894474</x:v>
      </x:c>
      <x:c r="L364" t="n">
        <x:v>-65.25985419</x:v>
      </x:c>
      <x:c r="M364" t="n">
        <x:v>29.639</x:v>
      </x:c>
      <x:c r="N364" t="str">
        <x:v>https://nccospublicstor.blob.core.windows.net/biomapper/usviinsularshelf2017/videos/low/GV2010_272.mp4</x:v>
      </x:c>
      <x:c r="O364" t="n">
        <x:v>0</x:v>
      </x:c>
      <x:c r="P364" t="n">
        <x:v>0</x:v>
      </x:c>
      <x:c r="Q364" t="n">
        <x:v>1</x:v>
      </x:c>
      <x:c r="R364" t="n">
        <x:v>0</x:v>
      </x:c>
      <x:c r="S364" t="n">
        <x:v>0</x:v>
      </x:c>
      <x:c r="T364" t="n">
        <x:v>0</x:v>
      </x:c>
      <x:c r="U364" t="n">
        <x:v>1</x:v>
      </x:c>
      <x:c r="V364" t="n">
        <x:v>1</x:v>
      </x:c>
      <x:c r="W364" t="n">
        <x:v>0</x:v>
      </x:c>
      <x:c r="X364" t="n">
        <x:v>0</x:v>
      </x:c>
      <x:c r="Y364" t="n">
        <x:v>0</x:v>
      </x:c>
      <x:c r="Z364" t="n">
        <x:v>1</x:v>
      </x:c>
      <x:c r="AA364" t="n">
        <x:v>2</x:v>
      </x:c>
      <x:c r="AB364" t="str">
        <x:v>Pass</x:v>
      </x:c>
      <x:c r="AC364" t="str"/>
      <x:c r="AD364" t="str"/>
    </x:row>
    <x:row r="365">
      <x:c r="A365" t="str">
        <x:v>REC0364</x:v>
      </x:c>
      <x:c r="B365" t="n">
        <x:v>363</x:v>
      </x:c>
      <x:c r="C365" t="str">
        <x:v>Puerto Rico</x:v>
      </x:c>
      <x:c r="D365" t="str">
        <x:v>GV</x:v>
      </x:c>
      <x:c r="E365" t="str">
        <x:v>Ground Validation</x:v>
      </x:c>
      <x:c r="F365" t="str">
        <x:v>Seaviewer Drop Camera</x:v>
      </x:c>
      <x:c r="G365" t="str">
        <x:v>GV2010_280</x:v>
      </x:c>
      <x:c r="H365" s="28" t="n">
        <x:v>40258</x:v>
      </x:c>
      <x:c r="I365" t="str">
        <x:v>13:37:11</x:v>
      </x:c>
      <x:c r="J365" t="n">
        <x:v>2010</x:v>
      </x:c>
      <x:c r="K365" t="n">
        <x:v>18.1526825</x:v>
      </x:c>
      <x:c r="L365" t="n">
        <x:v>-65.21615165</x:v>
      </x:c>
      <x:c r="M365" t="n">
        <x:v>39.924</x:v>
      </x:c>
      <x:c r="N365" t="str">
        <x:v>https://nccospublicstor.blob.core.windows.net/biomapper/usviinsularshelf2017/videos/low/GV2010_280.mp4</x:v>
      </x:c>
      <x:c r="O365" t="n">
        <x:v>1</x:v>
      </x:c>
      <x:c r="P365" t="n">
        <x:v>0</x:v>
      </x:c>
      <x:c r="Q365" t="n">
        <x:v>0</x:v>
      </x:c>
      <x:c r="R365" t="n">
        <x:v>0</x:v>
      </x:c>
      <x:c r="S365" t="n">
        <x:v>1</x:v>
      </x:c>
      <x:c r="T365" t="n">
        <x:v>0</x:v>
      </x:c>
      <x:c r="U365" t="n">
        <x:v>1</x:v>
      </x:c>
      <x:c r="V365" t="n">
        <x:v>1</x:v>
      </x:c>
      <x:c r="W365" t="n">
        <x:v>0</x:v>
      </x:c>
      <x:c r="X365" t="n">
        <x:v>0</x:v>
      </x:c>
      <x:c r="Y365" t="n">
        <x:v>0</x:v>
      </x:c>
      <x:c r="Z365" t="n">
        <x:v>1</x:v>
      </x:c>
      <x:c r="AA365" t="n">
        <x:v>3</x:v>
      </x:c>
      <x:c r="AB365" t="str">
        <x:v>Pass</x:v>
      </x:c>
      <x:c r="AC365" t="str"/>
      <x:c r="AD365" t="str"/>
    </x:row>
    <x:row r="366">
      <x:c r="A366" t="str">
        <x:v>REC0365</x:v>
      </x:c>
      <x:c r="B366" t="n">
        <x:v>364</x:v>
      </x:c>
      <x:c r="C366" t="str">
        <x:v>Puerto Rico</x:v>
      </x:c>
      <x:c r="D366" t="str">
        <x:v>GV</x:v>
      </x:c>
      <x:c r="E366" t="str">
        <x:v>Ground Validation</x:v>
      </x:c>
      <x:c r="F366" t="str">
        <x:v>Seaviewer Drop Camera</x:v>
      </x:c>
      <x:c r="G366" t="str">
        <x:v>GV2010_281</x:v>
      </x:c>
      <x:c r="H366" s="28" t="n">
        <x:v>40258</x:v>
      </x:c>
      <x:c r="I366" t="str">
        <x:v>13:10:45</x:v>
      </x:c>
      <x:c r="J366" t="n">
        <x:v>2010</x:v>
      </x:c>
      <x:c r="K366" t="n">
        <x:v>18.15156838</x:v>
      </x:c>
      <x:c r="L366" t="n">
        <x:v>-65.22678486</x:v>
      </x:c>
      <x:c r="M366" t="n">
        <x:v>37.934</x:v>
      </x:c>
      <x:c r="N366" t="str">
        <x:v>https://nccospublicstor.blob.core.windows.net/biomapper/usviinsularshelf2017/videos/low/GV2010_281.mp4</x:v>
      </x:c>
      <x:c r="O366" t="n">
        <x:v>0</x:v>
      </x:c>
      <x:c r="P366" t="n">
        <x:v>0</x:v>
      </x:c>
      <x:c r="Q366" t="n">
        <x:v>0</x:v>
      </x:c>
      <x:c r="R366" t="n">
        <x:v>1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1</x:v>
      </x:c>
      <x:c r="AA366" t="n">
        <x:v>0</x:v>
      </x:c>
      <x:c r="AB366" t="str">
        <x:v>Pass</x:v>
      </x:c>
      <x:c r="AC366" t="str"/>
      <x:c r="AD366" t="str"/>
    </x:row>
    <x:row r="367">
      <x:c r="A367" t="str">
        <x:v>REC0366</x:v>
      </x:c>
      <x:c r="B367" t="n">
        <x:v>365</x:v>
      </x:c>
      <x:c r="C367" t="str">
        <x:v>Puerto Rico</x:v>
      </x:c>
      <x:c r="D367" t="str">
        <x:v>GV</x:v>
      </x:c>
      <x:c r="E367" t="str">
        <x:v>Ground Validation</x:v>
      </x:c>
      <x:c r="F367" t="str">
        <x:v>Seaviewer Drop Camera</x:v>
      </x:c>
      <x:c r="G367" t="str">
        <x:v>GV2010_282</x:v>
      </x:c>
      <x:c r="H367" s="28" t="n">
        <x:v>40258</x:v>
      </x:c>
      <x:c r="I367" t="str">
        <x:v>13:25:44</x:v>
      </x:c>
      <x:c r="J367" t="n">
        <x:v>2010</x:v>
      </x:c>
      <x:c r="K367" t="n">
        <x:v>18.14990506</x:v>
      </x:c>
      <x:c r="L367" t="n">
        <x:v>-65.22227442</x:v>
      </x:c>
      <x:c r="M367" t="n">
        <x:v>39.483</x:v>
      </x:c>
      <x:c r="N367" t="str">
        <x:v>https://nccospublicstor.blob.core.windows.net/biomapper/usviinsularshelf2017/videos/low/GV2010_282.mp4</x:v>
      </x:c>
      <x:c r="O367" t="n">
        <x:v>0</x:v>
      </x:c>
      <x:c r="P367" t="n">
        <x:v>0</x:v>
      </x:c>
      <x:c r="Q367" t="n">
        <x:v>1</x:v>
      </x:c>
      <x:c r="R367" t="n">
        <x:v>0</x:v>
      </x:c>
      <x:c r="S367" t="n">
        <x:v>0</x:v>
      </x:c>
      <x:c r="T367" t="n">
        <x:v>0</x:v>
      </x:c>
      <x:c r="U367" t="n">
        <x:v>1</x:v>
      </x:c>
      <x:c r="V367" t="n">
        <x:v>1</x:v>
      </x:c>
      <x:c r="W367" t="n">
        <x:v>0</x:v>
      </x:c>
      <x:c r="X367" t="n">
        <x:v>0</x:v>
      </x:c>
      <x:c r="Y367" t="n">
        <x:v>0</x:v>
      </x:c>
      <x:c r="Z367" t="n">
        <x:v>1</x:v>
      </x:c>
      <x:c r="AA367" t="n">
        <x:v>2</x:v>
      </x:c>
      <x:c r="AB367" t="str">
        <x:v>Pass</x:v>
      </x:c>
      <x:c r="AC367" t="str"/>
      <x:c r="AD367" t="str"/>
    </x:row>
    <x:row r="368">
      <x:c r="A368" t="str">
        <x:v>REC0367</x:v>
      </x:c>
      <x:c r="B368" t="n">
        <x:v>366</x:v>
      </x:c>
      <x:c r="C368" t="str">
        <x:v>Puerto Rico</x:v>
      </x:c>
      <x:c r="D368" t="str">
        <x:v>GV</x:v>
      </x:c>
      <x:c r="E368" t="str">
        <x:v>Ground Validation</x:v>
      </x:c>
      <x:c r="F368" t="str">
        <x:v>Seaviewer Drop Camera</x:v>
      </x:c>
      <x:c r="G368" t="str">
        <x:v>GV2010_283</x:v>
      </x:c>
      <x:c r="H368" s="28" t="n">
        <x:v>40258</x:v>
      </x:c>
      <x:c r="I368" t="str">
        <x:v>13:46:36</x:v>
      </x:c>
      <x:c r="J368" t="n">
        <x:v>2010</x:v>
      </x:c>
      <x:c r="K368" t="n">
        <x:v>18.14802361</x:v>
      </x:c>
      <x:c r="L368" t="n">
        <x:v>-65.214882</x:v>
      </x:c>
      <x:c r="M368" t="n">
        <x:v>37.042</x:v>
      </x:c>
      <x:c r="N368" t="str">
        <x:v>https://nccospublicstor.blob.core.windows.net/biomapper/usviinsularshelf2017/videos/low/GV2010_283.mp4</x:v>
      </x:c>
      <x:c r="O368" t="n">
        <x:v>1</x:v>
      </x:c>
      <x:c r="P368" t="n">
        <x:v>0</x:v>
      </x:c>
      <x:c r="Q368" t="n">
        <x:v>0</x:v>
      </x:c>
      <x:c r="R368" t="n">
        <x:v>0</x:v>
      </x:c>
      <x:c r="S368" t="n">
        <x:v>1</x:v>
      </x:c>
      <x:c r="T368" t="n">
        <x:v>0</x:v>
      </x:c>
      <x:c r="U368" t="n">
        <x:v>1</x:v>
      </x:c>
      <x:c r="V368" t="n">
        <x:v>1</x:v>
      </x:c>
      <x:c r="W368" t="n">
        <x:v>0</x:v>
      </x:c>
      <x:c r="X368" t="n">
        <x:v>0</x:v>
      </x:c>
      <x:c r="Y368" t="n">
        <x:v>0</x:v>
      </x:c>
      <x:c r="Z368" t="n">
        <x:v>1</x:v>
      </x:c>
      <x:c r="AA368" t="n">
        <x:v>3</x:v>
      </x:c>
      <x:c r="AB368" t="str">
        <x:v>Pass</x:v>
      </x:c>
      <x:c r="AC368" t="str"/>
      <x:c r="AD368" t="str"/>
    </x:row>
    <x:row r="369">
      <x:c r="A369" t="str">
        <x:v>REC0368</x:v>
      </x:c>
      <x:c r="B369" t="n">
        <x:v>367</x:v>
      </x:c>
      <x:c r="C369" t="str">
        <x:v>Puerto Rico</x:v>
      </x:c>
      <x:c r="D369" t="str">
        <x:v>GV</x:v>
      </x:c>
      <x:c r="E369" t="str">
        <x:v>Ground Validation</x:v>
      </x:c>
      <x:c r="F369" t="str">
        <x:v>Seaviewer Drop Camera</x:v>
      </x:c>
      <x:c r="G369" t="str">
        <x:v>GV2010_323</x:v>
      </x:c>
      <x:c r="H369" s="28" t="n">
        <x:v>40258</x:v>
      </x:c>
      <x:c r="I369" t="str">
        <x:v>07:45:20</x:v>
      </x:c>
      <x:c r="J369" t="n">
        <x:v>2010</x:v>
      </x:c>
      <x:c r="K369" t="n">
        <x:v>18.16493091</x:v>
      </x:c>
      <x:c r="L369" t="n">
        <x:v>-65.20528644</x:v>
      </x:c>
      <x:c r="M369" t="n">
        <x:v>34.353</x:v>
      </x:c>
      <x:c r="N369" t="str">
        <x:v>https://nccospublicstor.blob.core.windows.net/biomapper/usviinsularshelf2017/videos/low/GV2010_323.mp4</x:v>
      </x:c>
      <x:c r="O369" t="n">
        <x:v>1</x:v>
      </x:c>
      <x:c r="P369" t="n">
        <x:v>0</x:v>
      </x:c>
      <x:c r="Q369" t="n">
        <x:v>0</x:v>
      </x:c>
      <x:c r="R369" t="n">
        <x:v>0</x:v>
      </x:c>
      <x:c r="S369" t="n">
        <x:v>1</x:v>
      </x:c>
      <x:c r="T369" t="n">
        <x:v>0</x:v>
      </x:c>
      <x:c r="U369" t="n">
        <x:v>1</x:v>
      </x:c>
      <x:c r="V369" t="n">
        <x:v>1</x:v>
      </x:c>
      <x:c r="W369" t="n">
        <x:v>0</x:v>
      </x:c>
      <x:c r="X369" t="n">
        <x:v>0</x:v>
      </x:c>
      <x:c r="Y369" t="n">
        <x:v>0</x:v>
      </x:c>
      <x:c r="Z369" t="n">
        <x:v>1</x:v>
      </x:c>
      <x:c r="AA369" t="n">
        <x:v>3</x:v>
      </x:c>
      <x:c r="AB369" t="str">
        <x:v>Pass</x:v>
      </x:c>
      <x:c r="AC369" t="str"/>
      <x:c r="AD369" t="str"/>
    </x:row>
    <x:row r="370">
      <x:c r="A370" t="str">
        <x:v>REC0369</x:v>
      </x:c>
      <x:c r="B370" t="n">
        <x:v>368</x:v>
      </x:c>
      <x:c r="C370" t="str">
        <x:v>Puerto Rico</x:v>
      </x:c>
      <x:c r="D370" t="str">
        <x:v>GV</x:v>
      </x:c>
      <x:c r="E370" t="str">
        <x:v>Ground Validation</x:v>
      </x:c>
      <x:c r="F370" t="str">
        <x:v>Seaviewer Drop Camera</x:v>
      </x:c>
      <x:c r="G370" t="str">
        <x:v>GV2010_324_1</x:v>
      </x:c>
      <x:c r="H370" s="28" t="n">
        <x:v>40262</x:v>
      </x:c>
      <x:c r="I370" t="str">
        <x:v>07:25:17</x:v>
      </x:c>
      <x:c r="J370" t="n">
        <x:v>2010</x:v>
      </x:c>
      <x:c r="K370" t="n">
        <x:v>18.22630949</x:v>
      </x:c>
      <x:c r="L370" t="n">
        <x:v>-65.17581746</x:v>
      </x:c>
      <x:c r="M370" t="n">
        <x:v>35.075</x:v>
      </x:c>
      <x:c r="N370" t="str">
        <x:v>https://nccospublicstor.blob.core.windows.net/biomapper/usviinsularshelf2017/videos/low/GV2010_324_1.mp4</x:v>
      </x:c>
      <x:c r="O370" t="n">
        <x:v>1</x:v>
      </x:c>
      <x:c r="P370" t="n">
        <x:v>0</x:v>
      </x:c>
      <x:c r="Q370" t="n">
        <x:v>0</x:v>
      </x:c>
      <x:c r="R370" t="n">
        <x:v>0</x:v>
      </x:c>
      <x:c r="S370" t="n">
        <x:v>1</x:v>
      </x:c>
      <x:c r="T370" t="n">
        <x:v>1</x:v>
      </x:c>
      <x:c r="U370" t="n">
        <x:v>1</x:v>
      </x:c>
      <x:c r="V370" t="n">
        <x:v>1</x:v>
      </x:c>
      <x:c r="W370" t="n">
        <x:v>0</x:v>
      </x:c>
      <x:c r="X370" t="n">
        <x:v>0</x:v>
      </x:c>
      <x:c r="Y370" t="n">
        <x:v>0</x:v>
      </x:c>
      <x:c r="Z370" t="n">
        <x:v>1</x:v>
      </x:c>
      <x:c r="AA370" t="n">
        <x:v>4</x:v>
      </x:c>
      <x:c r="AB370" t="str">
        <x:v>Pass</x:v>
      </x:c>
      <x:c r="AC370" t="str"/>
      <x:c r="AD370" t="str"/>
    </x:row>
    <x:row r="371">
      <x:c r="A371" t="str">
        <x:v>REC0370</x:v>
      </x:c>
      <x:c r="B371" t="n">
        <x:v>369</x:v>
      </x:c>
      <x:c r="C371" t="str">
        <x:v>St. John, USVI</x:v>
      </x:c>
      <x:c r="D371" t="str">
        <x:v>GV</x:v>
      </x:c>
      <x:c r="E371" t="str">
        <x:v>Ground Validation</x:v>
      </x:c>
      <x:c r="F371" t="str">
        <x:v>Seaviewer Drop Camera</x:v>
      </x:c>
      <x:c r="G371" t="str">
        <x:v>GV2010_324_2</x:v>
      </x:c>
      <x:c r="H371" s="28" t="n">
        <x:v>40270</x:v>
      </x:c>
      <x:c r="I371" t="str">
        <x:v>09:36:28</x:v>
      </x:c>
      <x:c r="J371" t="n">
        <x:v>2010</x:v>
      </x:c>
      <x:c r="K371" t="n">
        <x:v>18.19602543</x:v>
      </x:c>
      <x:c r="L371" t="n">
        <x:v>-64.76391229</x:v>
      </x:c>
      <x:c r="M371" t="n">
        <x:v>56.376</x:v>
      </x:c>
      <x:c r="N371" t="str">
        <x:v>https://nccospublicstor.blob.core.windows.net/biomapper/usviinsularshelf2017/videos/low/GV2010_324_2.mp4</x:v>
      </x:c>
      <x:c r="O371" t="n">
        <x:v>0</x:v>
      </x:c>
      <x:c r="P371" t="n">
        <x:v>0</x:v>
      </x:c>
      <x:c r="Q371" t="n">
        <x:v>1</x:v>
      </x:c>
      <x:c r="R371" t="n">
        <x:v>0</x:v>
      </x:c>
      <x:c r="S371" t="n">
        <x:v>1</x:v>
      </x:c>
      <x:c r="T371" t="n">
        <x:v>0</x:v>
      </x:c>
      <x:c r="U371" t="n">
        <x:v>1</x:v>
      </x:c>
      <x:c r="V371" t="n">
        <x:v>1</x:v>
      </x:c>
      <x:c r="W371" t="n">
        <x:v>0</x:v>
      </x:c>
      <x:c r="X371" t="n">
        <x:v>0</x:v>
      </x:c>
      <x:c r="Y371" t="n">
        <x:v>0</x:v>
      </x:c>
      <x:c r="Z371" t="n">
        <x:v>1</x:v>
      </x:c>
      <x:c r="AA371" t="n">
        <x:v>3</x:v>
      </x:c>
      <x:c r="AB371" t="str">
        <x:v>Pass</x:v>
      </x:c>
      <x:c r="AC371" t="str"/>
      <x:c r="AD371" t="str"/>
    </x:row>
    <x:row r="372">
      <x:c r="A372" t="str">
        <x:v>REC0371</x:v>
      </x:c>
      <x:c r="B372" t="n">
        <x:v>370</x:v>
      </x:c>
      <x:c r="C372" t="str">
        <x:v>Puerto Rico</x:v>
      </x:c>
      <x:c r="D372" t="str">
        <x:v>GV</x:v>
      </x:c>
      <x:c r="E372" t="str">
        <x:v>Ground Validation</x:v>
      </x:c>
      <x:c r="F372" t="str">
        <x:v>Seaviewer Drop Camera</x:v>
      </x:c>
      <x:c r="G372" t="str">
        <x:v>GV2010_325</x:v>
      </x:c>
      <x:c r="H372" s="28" t="n">
        <x:v>40262</x:v>
      </x:c>
      <x:c r="I372" t="str">
        <x:v>07:32:25</x:v>
      </x:c>
      <x:c r="J372" t="n">
        <x:v>2010</x:v>
      </x:c>
      <x:c r="K372" t="n">
        <x:v>18.22408418</x:v>
      </x:c>
      <x:c r="L372" t="n">
        <x:v>-65.17808535</x:v>
      </x:c>
      <x:c r="M372" t="n">
        <x:v>36.147</x:v>
      </x:c>
      <x:c r="N372" t="str">
        <x:v>https://nccospublicstor.blob.core.windows.net/biomapper/usviinsularshelf2017/videos/low/GV2010_325.mp4</x:v>
      </x:c>
      <x:c r="O372" t="n">
        <x:v>1</x:v>
      </x:c>
      <x:c r="P372" t="n">
        <x:v>0</x:v>
      </x:c>
      <x:c r="Q372" t="n">
        <x:v>0</x:v>
      </x:c>
      <x:c r="R372" t="n">
        <x:v>0</x:v>
      </x:c>
      <x:c r="S372" t="n">
        <x:v>1</x:v>
      </x:c>
      <x:c r="T372" t="n">
        <x:v>1</x:v>
      </x:c>
      <x:c r="U372" t="n">
        <x:v>1</x:v>
      </x:c>
      <x:c r="V372" t="n">
        <x:v>1</x:v>
      </x:c>
      <x:c r="W372" t="n">
        <x:v>0</x:v>
      </x:c>
      <x:c r="X372" t="n">
        <x:v>0</x:v>
      </x:c>
      <x:c r="Y372" t="n">
        <x:v>0</x:v>
      </x:c>
      <x:c r="Z372" t="n">
        <x:v>1</x:v>
      </x:c>
      <x:c r="AA372" t="n">
        <x:v>4</x:v>
      </x:c>
      <x:c r="AB372" t="str">
        <x:v>Pass</x:v>
      </x:c>
      <x:c r="AC372" t="str"/>
      <x:c r="AD372" t="str"/>
    </x:row>
    <x:row r="373">
      <x:c r="A373" t="str">
        <x:v>REC0372</x:v>
      </x:c>
      <x:c r="B373" t="n">
        <x:v>371</x:v>
      </x:c>
      <x:c r="C373" t="str">
        <x:v>Puerto Rico</x:v>
      </x:c>
      <x:c r="D373" t="str">
        <x:v>GV</x:v>
      </x:c>
      <x:c r="E373" t="str">
        <x:v>Ground Validation</x:v>
      </x:c>
      <x:c r="F373" t="str">
        <x:v>Seaviewer Drop Camera</x:v>
      </x:c>
      <x:c r="G373" t="str">
        <x:v>GV2010_326_1</x:v>
      </x:c>
      <x:c r="H373" s="28" t="n">
        <x:v>40262</x:v>
      </x:c>
      <x:c r="I373" t="str">
        <x:v>07:38:59</x:v>
      </x:c>
      <x:c r="J373" t="n">
        <x:v>2010</x:v>
      </x:c>
      <x:c r="K373" t="n">
        <x:v>18.22516013</x:v>
      </x:c>
      <x:c r="L373" t="n">
        <x:v>-65.18051924</x:v>
      </x:c>
      <x:c r="M373" t="n">
        <x:v>32.453</x:v>
      </x:c>
      <x:c r="N373" t="str">
        <x:v>https://nccospublicstor.blob.core.windows.net/biomapper/usviinsularshelf2017/videos/low/GV2010_326_1.mp4</x:v>
      </x:c>
      <x:c r="O373" t="n">
        <x:v>1</x:v>
      </x:c>
      <x:c r="P373" t="n">
        <x:v>0</x:v>
      </x:c>
      <x:c r="Q373" t="n">
        <x:v>0</x:v>
      </x:c>
      <x:c r="R373" t="n">
        <x:v>1</x:v>
      </x:c>
      <x:c r="S373" t="n">
        <x:v>1</x:v>
      </x:c>
      <x:c r="T373" t="n">
        <x:v>0</x:v>
      </x:c>
      <x:c r="U373" t="n">
        <x:v>1</x:v>
      </x:c>
      <x:c r="V373" t="n">
        <x:v>1</x:v>
      </x:c>
      <x:c r="W373" t="n">
        <x:v>0</x:v>
      </x:c>
      <x:c r="X373" t="n">
        <x:v>0</x:v>
      </x:c>
      <x:c r="Y373" t="n">
        <x:v>0</x:v>
      </x:c>
      <x:c r="Z373" t="n">
        <x:v>2</x:v>
      </x:c>
      <x:c r="AA373" t="n">
        <x:v>3</x:v>
      </x:c>
      <x:c r="AB373" t="str">
        <x:v>Pass</x:v>
      </x:c>
      <x:c r="AC373" t="str"/>
      <x:c r="AD373" t="str"/>
    </x:row>
    <x:row r="374">
      <x:c r="A374" t="str">
        <x:v>REC0373</x:v>
      </x:c>
      <x:c r="B374" t="n">
        <x:v>372</x:v>
      </x:c>
      <x:c r="C374" t="str">
        <x:v>St. John, USVI</x:v>
      </x:c>
      <x:c r="D374" t="str">
        <x:v>GV</x:v>
      </x:c>
      <x:c r="E374" t="str">
        <x:v>Ground Validation</x:v>
      </x:c>
      <x:c r="F374" t="str">
        <x:v>Seaviewer Drop Camera</x:v>
      </x:c>
      <x:c r="G374" t="str">
        <x:v>GV2010_326_2</x:v>
      </x:c>
      <x:c r="H374" s="28" t="n">
        <x:v>40270</x:v>
      </x:c>
      <x:c r="I374" t="str">
        <x:v>09:14:33</x:v>
      </x:c>
      <x:c r="J374" t="n">
        <x:v>2010</x:v>
      </x:c>
      <x:c r="K374" t="n">
        <x:v>18.18904594</x:v>
      </x:c>
      <x:c r="L374" t="n">
        <x:v>-64.74902128</x:v>
      </x:c>
      <x:c r="M374" t="n">
        <x:v>56.024</x:v>
      </x:c>
      <x:c r="N374" t="str">
        <x:v>https://nccospublicstor.blob.core.windows.net/biomapper/usviinsularshelf2017/videos/low/GV2010_326_2.mp4</x:v>
      </x:c>
      <x:c r="O374" t="n">
        <x:v>0</x:v>
      </x:c>
      <x:c r="P374" t="n">
        <x:v>0</x:v>
      </x:c>
      <x:c r="Q374" t="n">
        <x:v>1</x:v>
      </x:c>
      <x:c r="R374" t="n">
        <x:v>0</x:v>
      </x:c>
      <x:c r="S374" t="n">
        <x:v>1</x:v>
      </x:c>
      <x:c r="T374" t="n">
        <x:v>0</x:v>
      </x:c>
      <x:c r="U374" t="n">
        <x:v>1</x:v>
      </x:c>
      <x:c r="V374" t="n">
        <x:v>1</x:v>
      </x:c>
      <x:c r="W374" t="n">
        <x:v>0</x:v>
      </x:c>
      <x:c r="X374" t="n">
        <x:v>0</x:v>
      </x:c>
      <x:c r="Y374" t="n">
        <x:v>0</x:v>
      </x:c>
      <x:c r="Z374" t="n">
        <x:v>1</x:v>
      </x:c>
      <x:c r="AA374" t="n">
        <x:v>3</x:v>
      </x:c>
      <x:c r="AB374" t="str">
        <x:v>Pass</x:v>
      </x:c>
      <x:c r="AC374" t="str"/>
      <x:c r="AD374" t="str"/>
    </x:row>
    <x:row r="375">
      <x:c r="A375" t="str">
        <x:v>REC0374</x:v>
      </x:c>
      <x:c r="B375" t="n">
        <x:v>373</x:v>
      </x:c>
      <x:c r="C375" t="str">
        <x:v>Puerto Rico</x:v>
      </x:c>
      <x:c r="D375" t="str">
        <x:v>GV</x:v>
      </x:c>
      <x:c r="E375" t="str">
        <x:v>Ground Validation</x:v>
      </x:c>
      <x:c r="F375" t="str">
        <x:v>Seaviewer Drop Camera</x:v>
      </x:c>
      <x:c r="G375" t="str">
        <x:v>GV2010_327</x:v>
      </x:c>
      <x:c r="H375" s="28" t="n">
        <x:v>40262</x:v>
      </x:c>
      <x:c r="I375" t="str">
        <x:v>07:43:46</x:v>
      </x:c>
      <x:c r="J375" t="n">
        <x:v>2010</x:v>
      </x:c>
      <x:c r="K375" t="n">
        <x:v>18.22372597</x:v>
      </x:c>
      <x:c r="L375" t="n">
        <x:v>-65.18286332</x:v>
      </x:c>
      <x:c r="M375" t="n">
        <x:v>31.426</x:v>
      </x:c>
      <x:c r="N375" t="str">
        <x:v>https://nccospublicstor.blob.core.windows.net/biomapper/usviinsularshelf2017/videos/low/GV2010_327.mp4</x:v>
      </x:c>
      <x:c r="O375" t="n">
        <x:v>1</x:v>
      </x:c>
      <x:c r="P375" t="n">
        <x:v>0</x:v>
      </x:c>
      <x:c r="Q375" t="n">
        <x:v>0</x:v>
      </x:c>
      <x:c r="R375" t="n">
        <x:v>0</x:v>
      </x:c>
      <x:c r="S375" t="n">
        <x:v>1</x:v>
      </x:c>
      <x:c r="T375" t="n">
        <x:v>1</x:v>
      </x:c>
      <x:c r="U375" t="n">
        <x:v>1</x:v>
      </x:c>
      <x:c r="V375" t="n">
        <x:v>1</x:v>
      </x:c>
      <x:c r="W375" t="n">
        <x:v>0</x:v>
      </x:c>
      <x:c r="X375" t="n">
        <x:v>0</x:v>
      </x:c>
      <x:c r="Y375" t="n">
        <x:v>0</x:v>
      </x:c>
      <x:c r="Z375" t="n">
        <x:v>1</x:v>
      </x:c>
      <x:c r="AA375" t="n">
        <x:v>4</x:v>
      </x:c>
      <x:c r="AB375" t="str">
        <x:v>Pass</x:v>
      </x:c>
      <x:c r="AC375" t="str"/>
      <x:c r="AD375" t="str"/>
    </x:row>
    <x:row r="376">
      <x:c r="A376" t="str">
        <x:v>REC0375</x:v>
      </x:c>
      <x:c r="B376" t="n">
        <x:v>374</x:v>
      </x:c>
      <x:c r="C376" t="str">
        <x:v>Puerto Rico</x:v>
      </x:c>
      <x:c r="D376" t="str">
        <x:v>GV</x:v>
      </x:c>
      <x:c r="E376" t="str">
        <x:v>Ground Validation</x:v>
      </x:c>
      <x:c r="F376" t="str">
        <x:v>Seaviewer Drop Camera</x:v>
      </x:c>
      <x:c r="G376" t="str">
        <x:v>GV2010_328_1</x:v>
      </x:c>
      <x:c r="H376" s="28" t="n">
        <x:v>40262</x:v>
      </x:c>
      <x:c r="I376" t="str">
        <x:v>07:52:51</x:v>
      </x:c>
      <x:c r="J376" t="n">
        <x:v>2010</x:v>
      </x:c>
      <x:c r="K376" t="n">
        <x:v>18.22015598</x:v>
      </x:c>
      <x:c r="L376" t="n">
        <x:v>-65.18393142</x:v>
      </x:c>
      <x:c r="M376" t="n">
        <x:v>36.239</x:v>
      </x:c>
      <x:c r="N376" t="str">
        <x:v>https://nccospublicstor.blob.core.windows.net/biomapper/usviinsularshelf2017/videos/low/GV2010_328_1.mp4</x:v>
      </x:c>
      <x:c r="O376" t="n">
        <x:v>1</x:v>
      </x:c>
      <x:c r="P376" t="n">
        <x:v>0</x:v>
      </x:c>
      <x:c r="Q376" t="n">
        <x:v>0</x:v>
      </x:c>
      <x:c r="R376" t="n">
        <x:v>0</x:v>
      </x:c>
      <x:c r="S376" t="n">
        <x:v>1</x:v>
      </x:c>
      <x:c r="T376" t="n">
        <x:v>1</x:v>
      </x:c>
      <x:c r="U376" t="n">
        <x:v>1</x:v>
      </x:c>
      <x:c r="V376" t="n">
        <x:v>1</x:v>
      </x:c>
      <x:c r="W376" t="n">
        <x:v>0</x:v>
      </x:c>
      <x:c r="X376" t="n">
        <x:v>0</x:v>
      </x:c>
      <x:c r="Y376" t="n">
        <x:v>0</x:v>
      </x:c>
      <x:c r="Z376" t="n">
        <x:v>1</x:v>
      </x:c>
      <x:c r="AA376" t="n">
        <x:v>4</x:v>
      </x:c>
      <x:c r="AB376" t="str">
        <x:v>Pass</x:v>
      </x:c>
      <x:c r="AC376" t="str"/>
      <x:c r="AD376" t="str"/>
    </x:row>
    <x:row r="377">
      <x:c r="A377" t="str">
        <x:v>REC0376</x:v>
      </x:c>
      <x:c r="B377" t="n">
        <x:v>375</x:v>
      </x:c>
      <x:c r="C377" t="str">
        <x:v>St. John, USVI</x:v>
      </x:c>
      <x:c r="D377" t="str">
        <x:v>GV</x:v>
      </x:c>
      <x:c r="E377" t="str">
        <x:v>Ground Validation</x:v>
      </x:c>
      <x:c r="F377" t="str">
        <x:v>Seaviewer Drop Camera</x:v>
      </x:c>
      <x:c r="G377" t="str">
        <x:v>GV2010_328_2</x:v>
      </x:c>
      <x:c r="H377" s="28" t="n">
        <x:v>40270</x:v>
      </x:c>
      <x:c r="I377" t="str">
        <x:v>09:02:22</x:v>
      </x:c>
      <x:c r="J377" t="n">
        <x:v>2010</x:v>
      </x:c>
      <x:c r="K377" t="n">
        <x:v>18.20414673</x:v>
      </x:c>
      <x:c r="L377" t="n">
        <x:v>-64.74025668</x:v>
      </x:c>
      <x:c r="M377" t="n">
        <x:v>45.528</x:v>
      </x:c>
      <x:c r="N377" t="str">
        <x:v>https://nccospublicstor.blob.core.windows.net/biomapper/usviinsularshelf2017/videos/low/GV2010_328_2.mp4</x:v>
      </x:c>
      <x:c r="O377" t="n">
        <x:v>0</x:v>
      </x:c>
      <x:c r="P377" t="n">
        <x:v>1</x:v>
      </x:c>
      <x:c r="Q377" t="n">
        <x:v>1</x:v>
      </x:c>
      <x:c r="R377" t="n">
        <x:v>0</x:v>
      </x:c>
      <x:c r="S377" t="n">
        <x:v>1</x:v>
      </x:c>
      <x:c r="T377" t="n">
        <x:v>0</x:v>
      </x:c>
      <x:c r="U377" t="n">
        <x:v>1</x:v>
      </x:c>
      <x:c r="V377" t="n">
        <x:v>1</x:v>
      </x:c>
      <x:c r="W377" t="n">
        <x:v>0</x:v>
      </x:c>
      <x:c r="X377" t="n">
        <x:v>0</x:v>
      </x:c>
      <x:c r="Y377" t="n">
        <x:v>0</x:v>
      </x:c>
      <x:c r="Z377" t="n">
        <x:v>2</x:v>
      </x:c>
      <x:c r="AA377" t="n">
        <x:v>3</x:v>
      </x:c>
      <x:c r="AB377" t="str">
        <x:v>Pass</x:v>
      </x:c>
      <x:c r="AC377" t="str"/>
      <x:c r="AD377" t="str"/>
    </x:row>
    <x:row r="378">
      <x:c r="A378" t="str">
        <x:v>REC0377</x:v>
      </x:c>
      <x:c r="B378" t="n">
        <x:v>376</x:v>
      </x:c>
      <x:c r="C378" t="str">
        <x:v>Puerto Rico</x:v>
      </x:c>
      <x:c r="D378" t="str">
        <x:v>GV</x:v>
      </x:c>
      <x:c r="E378" t="str">
        <x:v>Ground Validation</x:v>
      </x:c>
      <x:c r="F378" t="str">
        <x:v>Seaviewer Drop Camera</x:v>
      </x:c>
      <x:c r="G378" t="str">
        <x:v>GV2010_329_1</x:v>
      </x:c>
      <x:c r="H378" s="28" t="n">
        <x:v>40262</x:v>
      </x:c>
      <x:c r="I378" t="str">
        <x:v>08:00:02</x:v>
      </x:c>
      <x:c r="J378" t="n">
        <x:v>2010</x:v>
      </x:c>
      <x:c r="K378" t="n">
        <x:v>18.21753218</x:v>
      </x:c>
      <x:c r="L378" t="n">
        <x:v>-65.18310421</x:v>
      </x:c>
      <x:c r="M378" t="n">
        <x:v>32.222</x:v>
      </x:c>
      <x:c r="N378" t="str">
        <x:v>https://nccospublicstor.blob.core.windows.net/biomapper/usviinsularshelf2017/videos/low/GV2010_329_1.mp4</x:v>
      </x:c>
      <x:c r="O378" t="n">
        <x:v>1</x:v>
      </x:c>
      <x:c r="P378" t="n">
        <x:v>0</x:v>
      </x:c>
      <x:c r="Q378" t="n">
        <x:v>0</x:v>
      </x:c>
      <x:c r="R378" t="n">
        <x:v>0</x:v>
      </x:c>
      <x:c r="S378" t="n">
        <x:v>1</x:v>
      </x:c>
      <x:c r="T378" t="n">
        <x:v>1</x:v>
      </x:c>
      <x:c r="U378" t="n">
        <x:v>1</x:v>
      </x:c>
      <x:c r="V378" t="n">
        <x:v>1</x:v>
      </x:c>
      <x:c r="W378" t="n">
        <x:v>0</x:v>
      </x:c>
      <x:c r="X378" t="n">
        <x:v>0</x:v>
      </x:c>
      <x:c r="Y378" t="n">
        <x:v>0</x:v>
      </x:c>
      <x:c r="Z378" t="n">
        <x:v>1</x:v>
      </x:c>
      <x:c r="AA378" t="n">
        <x:v>4</x:v>
      </x:c>
      <x:c r="AB378" t="str">
        <x:v>Pass</x:v>
      </x:c>
      <x:c r="AC378" t="str"/>
      <x:c r="AD378" t="str"/>
    </x:row>
    <x:row r="379">
      <x:c r="A379" t="str">
        <x:v>REC0378</x:v>
      </x:c>
      <x:c r="B379" t="n">
        <x:v>377</x:v>
      </x:c>
      <x:c r="C379" t="str">
        <x:v>St. John, USVI</x:v>
      </x:c>
      <x:c r="D379" t="str">
        <x:v>GV</x:v>
      </x:c>
      <x:c r="E379" t="str">
        <x:v>Ground Validation</x:v>
      </x:c>
      <x:c r="F379" t="str">
        <x:v>Seaviewer Drop Camera</x:v>
      </x:c>
      <x:c r="G379" t="str">
        <x:v>GV2010_329_2</x:v>
      </x:c>
      <x:c r="H379" s="28" t="n">
        <x:v>40270</x:v>
      </x:c>
      <x:c r="I379" t="str">
        <x:v>08:51:15</x:v>
      </x:c>
      <x:c r="J379" t="n">
        <x:v>2010</x:v>
      </x:c>
      <x:c r="K379" t="n">
        <x:v>18.20597833</x:v>
      </x:c>
      <x:c r="L379" t="n">
        <x:v>-64.73623614</x:v>
      </x:c>
      <x:c r="M379" t="n">
        <x:v>46.435</x:v>
      </x:c>
      <x:c r="N379" t="str">
        <x:v>https://nccospublicstor.blob.core.windows.net/biomapper/usviinsularshelf2017/videos/low/GV2010_329_2.mp4</x:v>
      </x:c>
      <x:c r="O379" t="n">
        <x:v>0</x:v>
      </x:c>
      <x:c r="P379" t="n">
        <x:v>0</x:v>
      </x:c>
      <x:c r="Q379" t="n">
        <x:v>1</x:v>
      </x:c>
      <x:c r="R379" t="n">
        <x:v>0</x:v>
      </x:c>
      <x:c r="S379" t="n">
        <x:v>1</x:v>
      </x:c>
      <x:c r="T379" t="n">
        <x:v>0</x:v>
      </x:c>
      <x:c r="U379" t="n">
        <x:v>1</x:v>
      </x:c>
      <x:c r="V379" t="n">
        <x:v>1</x:v>
      </x:c>
      <x:c r="W379" t="n">
        <x:v>0</x:v>
      </x:c>
      <x:c r="X379" t="n">
        <x:v>0</x:v>
      </x:c>
      <x:c r="Y379" t="n">
        <x:v>0</x:v>
      </x:c>
      <x:c r="Z379" t="n">
        <x:v>1</x:v>
      </x:c>
      <x:c r="AA379" t="n">
        <x:v>3</x:v>
      </x:c>
      <x:c r="AB379" t="str">
        <x:v>Pass</x:v>
      </x:c>
      <x:c r="AC379" t="str"/>
      <x:c r="AD379" t="str"/>
    </x:row>
    <x:row r="380">
      <x:c r="A380" t="str">
        <x:v>REC0379</x:v>
      </x:c>
      <x:c r="B380" t="n">
        <x:v>378</x:v>
      </x:c>
      <x:c r="C380" t="str">
        <x:v>Puerto Rico</x:v>
      </x:c>
      <x:c r="D380" t="str">
        <x:v>GV</x:v>
      </x:c>
      <x:c r="E380" t="str">
        <x:v>Ground Validation</x:v>
      </x:c>
      <x:c r="F380" t="str">
        <x:v>Seaviewer Drop Camera</x:v>
      </x:c>
      <x:c r="G380" t="str">
        <x:v>GV2010_330_1</x:v>
      </x:c>
      <x:c r="H380" s="28" t="n">
        <x:v>40262</x:v>
      </x:c>
      <x:c r="I380" t="str">
        <x:v>08:06:20</x:v>
      </x:c>
      <x:c r="J380" t="n">
        <x:v>2010</x:v>
      </x:c>
      <x:c r="K380" t="n">
        <x:v>18.21485675</x:v>
      </x:c>
      <x:c r="L380" t="n">
        <x:v>-65.18239142</x:v>
      </x:c>
      <x:c r="M380" t="n">
        <x:v>34.373</x:v>
      </x:c>
      <x:c r="N380" t="str">
        <x:v>https://nccospublicstor.blob.core.windows.net/biomapper/usviinsularshelf2017/videos/low/GV2010_330_1.mp4</x:v>
      </x:c>
      <x:c r="O380" t="n">
        <x:v>1</x:v>
      </x:c>
      <x:c r="P380" t="n">
        <x:v>0</x:v>
      </x:c>
      <x:c r="Q380" t="n">
        <x:v>0</x:v>
      </x:c>
      <x:c r="R380" t="n">
        <x:v>0</x:v>
      </x:c>
      <x:c r="S380" t="n">
        <x:v>1</x:v>
      </x:c>
      <x:c r="T380" t="n">
        <x:v>0</x:v>
      </x:c>
      <x:c r="U380" t="n">
        <x:v>1</x:v>
      </x:c>
      <x:c r="V380" t="n">
        <x:v>1</x:v>
      </x:c>
      <x:c r="W380" t="n">
        <x:v>0</x:v>
      </x:c>
      <x:c r="X380" t="n">
        <x:v>0</x:v>
      </x:c>
      <x:c r="Y380" t="n">
        <x:v>0</x:v>
      </x:c>
      <x:c r="Z380" t="n">
        <x:v>1</x:v>
      </x:c>
      <x:c r="AA380" t="n">
        <x:v>3</x:v>
      </x:c>
      <x:c r="AB380" t="str">
        <x:v>Pass</x:v>
      </x:c>
      <x:c r="AC380" t="str"/>
      <x:c r="AD380" t="str"/>
    </x:row>
    <x:row r="381">
      <x:c r="A381" t="str">
        <x:v>REC0380</x:v>
      </x:c>
      <x:c r="B381" t="n">
        <x:v>379</x:v>
      </x:c>
      <x:c r="C381" t="str">
        <x:v>St. John, USVI</x:v>
      </x:c>
      <x:c r="D381" t="str">
        <x:v>GV</x:v>
      </x:c>
      <x:c r="E381" t="str">
        <x:v>Ground Validation</x:v>
      </x:c>
      <x:c r="F381" t="str">
        <x:v>Seaviewer Drop Camera</x:v>
      </x:c>
      <x:c r="G381" t="str">
        <x:v>GV2010_330_2</x:v>
      </x:c>
      <x:c r="H381" s="28" t="n">
        <x:v>40270</x:v>
      </x:c>
      <x:c r="I381" t="str">
        <x:v>08:43:47</x:v>
      </x:c>
      <x:c r="J381" t="n">
        <x:v>2010</x:v>
      </x:c>
      <x:c r="K381" t="n">
        <x:v>18.20543954</x:v>
      </x:c>
      <x:c r="L381" t="n">
        <x:v>-64.73168667</x:v>
      </x:c>
      <x:c r="M381" t="n">
        <x:v>51.514</x:v>
      </x:c>
      <x:c r="N381" t="str">
        <x:v>https://nccospublicstor.blob.core.windows.net/biomapper/usviinsularshelf2017/videos/low/GV2010_330_2.mp4</x:v>
      </x:c>
      <x:c r="O381" t="n">
        <x:v>0</x:v>
      </x:c>
      <x:c r="P381" t="n">
        <x:v>0</x:v>
      </x:c>
      <x:c r="Q381" t="n">
        <x:v>1</x:v>
      </x:c>
      <x:c r="R381" t="n">
        <x:v>0</x:v>
      </x:c>
      <x:c r="S381" t="n">
        <x:v>0</x:v>
      </x:c>
      <x:c r="T381" t="n">
        <x:v>0</x:v>
      </x:c>
      <x:c r="U381" t="n">
        <x:v>1</x:v>
      </x:c>
      <x:c r="V381" t="n">
        <x:v>1</x:v>
      </x:c>
      <x:c r="W381" t="n">
        <x:v>0</x:v>
      </x:c>
      <x:c r="X381" t="n">
        <x:v>0</x:v>
      </x:c>
      <x:c r="Y381" t="n">
        <x:v>0</x:v>
      </x:c>
      <x:c r="Z381" t="n">
        <x:v>1</x:v>
      </x:c>
      <x:c r="AA381" t="n">
        <x:v>2</x:v>
      </x:c>
      <x:c r="AB381" t="str">
        <x:v>Pass</x:v>
      </x:c>
      <x:c r="AC381" t="str"/>
      <x:c r="AD381" t="str"/>
    </x:row>
    <x:row r="382">
      <x:c r="A382" t="str">
        <x:v>REC0381</x:v>
      </x:c>
      <x:c r="B382" t="n">
        <x:v>380</x:v>
      </x:c>
      <x:c r="C382" t="str">
        <x:v>Puerto Rico</x:v>
      </x:c>
      <x:c r="D382" t="str">
        <x:v>GV</x:v>
      </x:c>
      <x:c r="E382" t="str">
        <x:v>Ground Validation</x:v>
      </x:c>
      <x:c r="F382" t="str">
        <x:v>Seaviewer Drop Camera</x:v>
      </x:c>
      <x:c r="G382" t="str">
        <x:v>GV2010_331</x:v>
      </x:c>
      <x:c r="H382" s="28" t="n">
        <x:v>40262</x:v>
      </x:c>
      <x:c r="I382" t="str">
        <x:v>08:13:24</x:v>
      </x:c>
      <x:c r="J382" t="n">
        <x:v>2010</x:v>
      </x:c>
      <x:c r="K382" t="n">
        <x:v>18.21274098</x:v>
      </x:c>
      <x:c r="L382" t="n">
        <x:v>-65.18233449</x:v>
      </x:c>
      <x:c r="M382" t="n">
        <x:v>39.696</x:v>
      </x:c>
      <x:c r="N382" t="str">
        <x:v>https://nccospublicstor.blob.core.windows.net/biomapper/usviinsularshelf2017/videos/low/GV2010_331.mp4</x:v>
      </x:c>
      <x:c r="O382" t="n">
        <x:v>1</x:v>
      </x:c>
      <x:c r="P382" t="n">
        <x:v>0</x:v>
      </x:c>
      <x:c r="Q382" t="n">
        <x:v>0</x:v>
      </x:c>
      <x:c r="R382" t="n">
        <x:v>0</x:v>
      </x:c>
      <x:c r="S382" t="n">
        <x:v>1</x:v>
      </x:c>
      <x:c r="T382" t="n">
        <x:v>0</x:v>
      </x:c>
      <x:c r="U382" t="n">
        <x:v>1</x:v>
      </x:c>
      <x:c r="V382" t="n">
        <x:v>1</x:v>
      </x:c>
      <x:c r="W382" t="n">
        <x:v>0</x:v>
      </x:c>
      <x:c r="X382" t="n">
        <x:v>0</x:v>
      </x:c>
      <x:c r="Y382" t="n">
        <x:v>0</x:v>
      </x:c>
      <x:c r="Z382" t="n">
        <x:v>1</x:v>
      </x:c>
      <x:c r="AA382" t="n">
        <x:v>3</x:v>
      </x:c>
      <x:c r="AB382" t="str">
        <x:v>Pass</x:v>
      </x:c>
      <x:c r="AC382" t="str"/>
      <x:c r="AD382" t="str"/>
    </x:row>
    <x:row r="383">
      <x:c r="A383" t="str">
        <x:v>REC0382</x:v>
      </x:c>
      <x:c r="B383" t="n">
        <x:v>381</x:v>
      </x:c>
      <x:c r="C383" t="str">
        <x:v>Puerto Rico</x:v>
      </x:c>
      <x:c r="D383" t="str">
        <x:v>GV</x:v>
      </x:c>
      <x:c r="E383" t="str">
        <x:v>Ground Validation</x:v>
      </x:c>
      <x:c r="F383" t="str">
        <x:v>Seaviewer Drop Camera</x:v>
      </x:c>
      <x:c r="G383" t="str">
        <x:v>GV2010_332</x:v>
      </x:c>
      <x:c r="H383" s="28" t="n">
        <x:v>40262</x:v>
      </x:c>
      <x:c r="I383" t="str">
        <x:v>08:19:24</x:v>
      </x:c>
      <x:c r="J383" t="n">
        <x:v>2010</x:v>
      </x:c>
      <x:c r="K383" t="n">
        <x:v>18.2114995</x:v>
      </x:c>
      <x:c r="L383" t="n">
        <x:v>-65.18413513</x:v>
      </x:c>
      <x:c r="M383" t="n">
        <x:v>31.444</x:v>
      </x:c>
      <x:c r="N383" t="str">
        <x:v>https://nccospublicstor.blob.core.windows.net/biomapper/usviinsularshelf2017/videos/low/GV2010_332.mp4</x:v>
      </x:c>
      <x:c r="O383" t="n">
        <x:v>1</x:v>
      </x:c>
      <x:c r="P383" t="n">
        <x:v>0</x:v>
      </x:c>
      <x:c r="Q383" t="n">
        <x:v>0</x:v>
      </x:c>
      <x:c r="R383" t="n">
        <x:v>0</x:v>
      </x:c>
      <x:c r="S383" t="n">
        <x:v>1</x:v>
      </x:c>
      <x:c r="T383" t="n">
        <x:v>0</x:v>
      </x:c>
      <x:c r="U383" t="n">
        <x:v>1</x:v>
      </x:c>
      <x:c r="V383" t="n">
        <x:v>1</x:v>
      </x:c>
      <x:c r="W383" t="n">
        <x:v>0</x:v>
      </x:c>
      <x:c r="X383" t="n">
        <x:v>0</x:v>
      </x:c>
      <x:c r="Y383" t="n">
        <x:v>0</x:v>
      </x:c>
      <x:c r="Z383" t="n">
        <x:v>1</x:v>
      </x:c>
      <x:c r="AA383" t="n">
        <x:v>3</x:v>
      </x:c>
      <x:c r="AB383" t="str">
        <x:v>Pass</x:v>
      </x:c>
      <x:c r="AC383" t="str"/>
      <x:c r="AD383" t="str"/>
    </x:row>
    <x:row r="384">
      <x:c r="A384" t="str">
        <x:v>REC0383</x:v>
      </x:c>
      <x:c r="B384" t="n">
        <x:v>382</x:v>
      </x:c>
      <x:c r="C384" t="str">
        <x:v>Puerto Rico</x:v>
      </x:c>
      <x:c r="D384" t="str">
        <x:v>GV</x:v>
      </x:c>
      <x:c r="E384" t="str">
        <x:v>Ground Validation</x:v>
      </x:c>
      <x:c r="F384" t="str">
        <x:v>Seaviewer Drop Camera</x:v>
      </x:c>
      <x:c r="G384" t="str">
        <x:v>GV2010_333</x:v>
      </x:c>
      <x:c r="H384" s="28" t="n">
        <x:v>40262</x:v>
      </x:c>
      <x:c r="I384" t="str">
        <x:v>08:26:53</x:v>
      </x:c>
      <x:c r="J384" t="n">
        <x:v>2010</x:v>
      </x:c>
      <x:c r="K384" t="n">
        <x:v>18.20753713</x:v>
      </x:c>
      <x:c r="L384" t="n">
        <x:v>-65.18801886</x:v>
      </x:c>
      <x:c r="M384" t="n">
        <x:v>31.824</x:v>
      </x:c>
      <x:c r="N384" t="str">
        <x:v>https://nccospublicstor.blob.core.windows.net/biomapper/usviinsularshelf2017/videos/low/GV2010_333.mp4</x:v>
      </x:c>
      <x:c r="O384" t="n">
        <x:v>1</x:v>
      </x:c>
      <x:c r="P384" t="n">
        <x:v>0</x:v>
      </x:c>
      <x:c r="Q384" t="n">
        <x:v>0</x:v>
      </x:c>
      <x:c r="R384" t="n">
        <x:v>0</x:v>
      </x:c>
      <x:c r="S384" t="n">
        <x:v>1</x:v>
      </x:c>
      <x:c r="T384" t="n">
        <x:v>1</x:v>
      </x:c>
      <x:c r="U384" t="n">
        <x:v>1</x:v>
      </x:c>
      <x:c r="V384" t="n">
        <x:v>1</x:v>
      </x:c>
      <x:c r="W384" t="n">
        <x:v>0</x:v>
      </x:c>
      <x:c r="X384" t="n">
        <x:v>0</x:v>
      </x:c>
      <x:c r="Y384" t="n">
        <x:v>0</x:v>
      </x:c>
      <x:c r="Z384" t="n">
        <x:v>1</x:v>
      </x:c>
      <x:c r="AA384" t="n">
        <x:v>4</x:v>
      </x:c>
      <x:c r="AB384" t="str">
        <x:v>Pass</x:v>
      </x:c>
      <x:c r="AC384" t="str"/>
      <x:c r="AD384" t="str"/>
    </x:row>
    <x:row r="385">
      <x:c r="A385" t="str">
        <x:v>REC0384</x:v>
      </x:c>
      <x:c r="B385" t="n">
        <x:v>383</x:v>
      </x:c>
      <x:c r="C385" t="str">
        <x:v>Puerto Rico</x:v>
      </x:c>
      <x:c r="D385" t="str">
        <x:v>GV</x:v>
      </x:c>
      <x:c r="E385" t="str">
        <x:v>Ground Validation</x:v>
      </x:c>
      <x:c r="F385" t="str">
        <x:v>Seaviewer Drop Camera</x:v>
      </x:c>
      <x:c r="G385" t="str">
        <x:v>GV2010_334</x:v>
      </x:c>
      <x:c r="H385" s="28" t="n">
        <x:v>40262</x:v>
      </x:c>
      <x:c r="I385" t="str">
        <x:v>08:33:23</x:v>
      </x:c>
      <x:c r="J385" t="n">
        <x:v>2010</x:v>
      </x:c>
      <x:c r="K385" t="n">
        <x:v>18.2045859</x:v>
      </x:c>
      <x:c r="L385" t="n">
        <x:v>-65.1847132</x:v>
      </x:c>
      <x:c r="M385" t="n">
        <x:v>34.813</x:v>
      </x:c>
      <x:c r="N385" t="str">
        <x:v>https://nccospublicstor.blob.core.windows.net/biomapper/usviinsularshelf2017/videos/low/GV2010_334.mp4</x:v>
      </x:c>
      <x:c r="O385" t="n">
        <x:v>1</x:v>
      </x:c>
      <x:c r="P385" t="n">
        <x:v>0</x:v>
      </x:c>
      <x:c r="Q385" t="n">
        <x:v>0</x:v>
      </x:c>
      <x:c r="R385" t="n">
        <x:v>0</x:v>
      </x:c>
      <x:c r="S385" t="n">
        <x:v>1</x:v>
      </x:c>
      <x:c r="T385" t="n">
        <x:v>1</x:v>
      </x:c>
      <x:c r="U385" t="n">
        <x:v>1</x:v>
      </x:c>
      <x:c r="V385" t="n">
        <x:v>1</x:v>
      </x:c>
      <x:c r="W385" t="n">
        <x:v>0</x:v>
      </x:c>
      <x:c r="X385" t="n">
        <x:v>0</x:v>
      </x:c>
      <x:c r="Y385" t="n">
        <x:v>0</x:v>
      </x:c>
      <x:c r="Z385" t="n">
        <x:v>1</x:v>
      </x:c>
      <x:c r="AA385" t="n">
        <x:v>4</x:v>
      </x:c>
      <x:c r="AB385" t="str">
        <x:v>Pass</x:v>
      </x:c>
      <x:c r="AC385" t="str"/>
      <x:c r="AD385" t="str"/>
    </x:row>
    <x:row r="386">
      <x:c r="A386" t="str">
        <x:v>REC0385</x:v>
      </x:c>
      <x:c r="B386" t="n">
        <x:v>384</x:v>
      </x:c>
      <x:c r="C386" t="str">
        <x:v>St. John, USVI</x:v>
      </x:c>
      <x:c r="D386" t="str">
        <x:v>GV</x:v>
      </x:c>
      <x:c r="E386" t="str">
        <x:v>Ground Validation</x:v>
      </x:c>
      <x:c r="F386" t="str">
        <x:v>Seaviewer Drop Camera</x:v>
      </x:c>
      <x:c r="G386" t="str">
        <x:v>GV2010_335_1</x:v>
      </x:c>
      <x:c r="H386" s="28" t="n">
        <x:v>40270</x:v>
      </x:c>
      <x:c r="I386" t="str">
        <x:v>08:06:14</x:v>
      </x:c>
      <x:c r="J386" t="n">
        <x:v>2010</x:v>
      </x:c>
      <x:c r="K386" t="n">
        <x:v>18.21578618</x:v>
      </x:c>
      <x:c r="L386" t="n">
        <x:v>-64.6955945</x:v>
      </x:c>
      <x:c r="M386" t="n">
        <x:v>54.014</x:v>
      </x:c>
      <x:c r="N386" t="str">
        <x:v>https://nccospublicstor.blob.core.windows.net/biomapper/usviinsularshelf2017/videos/low/GV2010_335_1.mp4</x:v>
      </x:c>
      <x:c r="O386" t="n">
        <x:v>0</x:v>
      </x:c>
      <x:c r="P386" t="n">
        <x:v>1</x:v>
      </x:c>
      <x:c r="Q386" t="n">
        <x:v>1</x:v>
      </x:c>
      <x:c r="R386" t="n">
        <x:v>0</x:v>
      </x:c>
      <x:c r="S386" t="n">
        <x:v>1</x:v>
      </x:c>
      <x:c r="T386" t="n">
        <x:v>0</x:v>
      </x:c>
      <x:c r="U386" t="n">
        <x:v>1</x:v>
      </x:c>
      <x:c r="V386" t="n">
        <x:v>1</x:v>
      </x:c>
      <x:c r="W386" t="n">
        <x:v>0</x:v>
      </x:c>
      <x:c r="X386" t="n">
        <x:v>0</x:v>
      </x:c>
      <x:c r="Y386" t="n">
        <x:v>0</x:v>
      </x:c>
      <x:c r="Z386" t="n">
        <x:v>2</x:v>
      </x:c>
      <x:c r="AA386" t="n">
        <x:v>3</x:v>
      </x:c>
      <x:c r="AB386" t="str">
        <x:v>Pass</x:v>
      </x:c>
      <x:c r="AC386" t="str"/>
      <x:c r="AD386" t="str"/>
    </x:row>
    <x:row r="387">
      <x:c r="A387" t="str">
        <x:v>REC0386</x:v>
      </x:c>
      <x:c r="B387" t="n">
        <x:v>385</x:v>
      </x:c>
      <x:c r="C387" t="str">
        <x:v>Puerto Rico</x:v>
      </x:c>
      <x:c r="D387" t="str">
        <x:v>GV</x:v>
      </x:c>
      <x:c r="E387" t="str">
        <x:v>Ground Validation</x:v>
      </x:c>
      <x:c r="F387" t="str">
        <x:v>Seaviewer Drop Camera</x:v>
      </x:c>
      <x:c r="G387" t="str">
        <x:v>GV2010_335_2</x:v>
      </x:c>
      <x:c r="H387" s="28" t="n">
        <x:v>40262</x:v>
      </x:c>
      <x:c r="I387" t="str">
        <x:v>08:40:16</x:v>
      </x:c>
      <x:c r="J387" t="n">
        <x:v>2010</x:v>
      </x:c>
      <x:c r="K387" t="n">
        <x:v>18.2028001</x:v>
      </x:c>
      <x:c r="L387" t="n">
        <x:v>-65.18029313</x:v>
      </x:c>
      <x:c r="M387" t="n">
        <x:v>34.109</x:v>
      </x:c>
      <x:c r="N387" t="str">
        <x:v>https://nccospublicstor.blob.core.windows.net/biomapper/usviinsularshelf2017/videos/low/GV2010_335_2.mp4</x:v>
      </x:c>
      <x:c r="O387" t="n">
        <x:v>1</x:v>
      </x:c>
      <x:c r="P387" t="n">
        <x:v>0</x:v>
      </x:c>
      <x:c r="Q387" t="n">
        <x:v>0</x:v>
      </x:c>
      <x:c r="R387" t="n">
        <x:v>0</x:v>
      </x:c>
      <x:c r="S387" t="n">
        <x:v>1</x:v>
      </x:c>
      <x:c r="T387" t="n">
        <x:v>0</x:v>
      </x:c>
      <x:c r="U387" t="n">
        <x:v>1</x:v>
      </x:c>
      <x:c r="V387" t="n">
        <x:v>1</x:v>
      </x:c>
      <x:c r="W387" t="n">
        <x:v>0</x:v>
      </x:c>
      <x:c r="X387" t="n">
        <x:v>0</x:v>
      </x:c>
      <x:c r="Y387" t="n">
        <x:v>0</x:v>
      </x:c>
      <x:c r="Z387" t="n">
        <x:v>1</x:v>
      </x:c>
      <x:c r="AA387" t="n">
        <x:v>3</x:v>
      </x:c>
      <x:c r="AB387" t="str">
        <x:v>Pass</x:v>
      </x:c>
      <x:c r="AC387" t="str"/>
      <x:c r="AD387" t="str"/>
    </x:row>
    <x:row r="388">
      <x:c r="A388" t="str">
        <x:v>REC0387</x:v>
      </x:c>
      <x:c r="B388" t="n">
        <x:v>386</x:v>
      </x:c>
      <x:c r="C388" t="str">
        <x:v>Puerto Rico</x:v>
      </x:c>
      <x:c r="D388" t="str">
        <x:v>GV</x:v>
      </x:c>
      <x:c r="E388" t="str">
        <x:v>Ground Validation</x:v>
      </x:c>
      <x:c r="F388" t="str">
        <x:v>Seaviewer Drop Camera</x:v>
      </x:c>
      <x:c r="G388" t="str">
        <x:v>GV2010_336</x:v>
      </x:c>
      <x:c r="H388" s="28" t="n">
        <x:v>40262</x:v>
      </x:c>
      <x:c r="I388" t="str">
        <x:v>08:46:47</x:v>
      </x:c>
      <x:c r="J388" t="n">
        <x:v>2010</x:v>
      </x:c>
      <x:c r="K388" t="n">
        <x:v>18.20007128</x:v>
      </x:c>
      <x:c r="L388" t="n">
        <x:v>-65.17573038</x:v>
      </x:c>
      <x:c r="M388" t="n">
        <x:v>40.306</x:v>
      </x:c>
      <x:c r="N388" t="str">
        <x:v>https://nccospublicstor.blob.core.windows.net/biomapper/usviinsularshelf2017/videos/low/GV2010_336.mp4</x:v>
      </x:c>
      <x:c r="O388" t="n">
        <x:v>1</x:v>
      </x:c>
      <x:c r="P388" t="n">
        <x:v>0</x:v>
      </x:c>
      <x:c r="Q388" t="n">
        <x:v>0</x:v>
      </x:c>
      <x:c r="R388" t="n">
        <x:v>0</x:v>
      </x:c>
      <x:c r="S388" t="n">
        <x:v>1</x:v>
      </x:c>
      <x:c r="T388" t="n">
        <x:v>0</x:v>
      </x:c>
      <x:c r="U388" t="n">
        <x:v>1</x:v>
      </x:c>
      <x:c r="V388" t="n">
        <x:v>1</x:v>
      </x:c>
      <x:c r="W388" t="n">
        <x:v>0</x:v>
      </x:c>
      <x:c r="X388" t="n">
        <x:v>0</x:v>
      </x:c>
      <x:c r="Y388" t="n">
        <x:v>0</x:v>
      </x:c>
      <x:c r="Z388" t="n">
        <x:v>1</x:v>
      </x:c>
      <x:c r="AA388" t="n">
        <x:v>3</x:v>
      </x:c>
      <x:c r="AB388" t="str">
        <x:v>Pass</x:v>
      </x:c>
      <x:c r="AC388" t="str"/>
      <x:c r="AD388" t="str"/>
    </x:row>
    <x:row r="389">
      <x:c r="A389" t="str">
        <x:v>REC0388</x:v>
      </x:c>
      <x:c r="B389" t="n">
        <x:v>387</x:v>
      </x:c>
      <x:c r="C389" t="str">
        <x:v>Puerto Rico</x:v>
      </x:c>
      <x:c r="D389" t="str">
        <x:v>GV</x:v>
      </x:c>
      <x:c r="E389" t="str">
        <x:v>Ground Validation</x:v>
      </x:c>
      <x:c r="F389" t="str">
        <x:v>Seaviewer Drop Camera</x:v>
      </x:c>
      <x:c r="G389" t="str">
        <x:v>GV2010_337_1</x:v>
      </x:c>
      <x:c r="H389" s="28" t="n">
        <x:v>40262</x:v>
      </x:c>
      <x:c r="I389" t="str">
        <x:v>08:54:15</x:v>
      </x:c>
      <x:c r="J389" t="n">
        <x:v>2010</x:v>
      </x:c>
      <x:c r="K389" t="n">
        <x:v>18.19777225</x:v>
      </x:c>
      <x:c r="L389" t="n">
        <x:v>-65.17420655</x:v>
      </x:c>
      <x:c r="M389" t="n">
        <x:v>33.855</x:v>
      </x:c>
      <x:c r="N389" t="str">
        <x:v>https://nccospublicstor.blob.core.windows.net/biomapper/usviinsularshelf2017/videos/low/GV2010_337_1.mp4</x:v>
      </x:c>
      <x:c r="O389" t="n">
        <x:v>1</x:v>
      </x:c>
      <x:c r="P389" t="n">
        <x:v>0</x:v>
      </x:c>
      <x:c r="Q389" t="n">
        <x:v>0</x:v>
      </x:c>
      <x:c r="R389" t="n">
        <x:v>0</x:v>
      </x:c>
      <x:c r="S389" t="n">
        <x:v>1</x:v>
      </x:c>
      <x:c r="T389" t="n">
        <x:v>1</x:v>
      </x:c>
      <x:c r="U389" t="n">
        <x:v>1</x:v>
      </x:c>
      <x:c r="V389" t="n">
        <x:v>1</x:v>
      </x:c>
      <x:c r="W389" t="n">
        <x:v>0</x:v>
      </x:c>
      <x:c r="X389" t="n">
        <x:v>0</x:v>
      </x:c>
      <x:c r="Y389" t="n">
        <x:v>0</x:v>
      </x:c>
      <x:c r="Z389" t="n">
        <x:v>1</x:v>
      </x:c>
      <x:c r="AA389" t="n">
        <x:v>4</x:v>
      </x:c>
      <x:c r="AB389" t="str">
        <x:v>Pass</x:v>
      </x:c>
      <x:c r="AC389" t="str"/>
      <x:c r="AD389" t="str"/>
    </x:row>
    <x:row r="390">
      <x:c r="A390" t="str">
        <x:v>REC0389</x:v>
      </x:c>
      <x:c r="B390" t="n">
        <x:v>388</x:v>
      </x:c>
      <x:c r="C390" t="str">
        <x:v>St. John, USVI</x:v>
      </x:c>
      <x:c r="D390" t="str">
        <x:v>GV</x:v>
      </x:c>
      <x:c r="E390" t="str">
        <x:v>Ground Validation</x:v>
      </x:c>
      <x:c r="F390" t="str">
        <x:v>Seaviewer Drop Camera</x:v>
      </x:c>
      <x:c r="G390" t="str">
        <x:v>GV2010_337_2</x:v>
      </x:c>
      <x:c r="H390" s="28" t="n">
        <x:v>40270</x:v>
      </x:c>
      <x:c r="I390" t="str">
        <x:v>10:56:18</x:v>
      </x:c>
      <x:c r="J390" t="n">
        <x:v>2010</x:v>
      </x:c>
      <x:c r="K390" t="n">
        <x:v>18.21638726</x:v>
      </x:c>
      <x:c r="L390" t="n">
        <x:v>-64.77056587</x:v>
      </x:c>
      <x:c r="M390" t="n">
        <x:v>52.981</x:v>
      </x:c>
      <x:c r="N390" t="str">
        <x:v>https://nccospublicstor.blob.core.windows.net/biomapper/usviinsularshelf2017/videos/low/GV2010_337_2.mp4</x:v>
      </x:c>
      <x:c r="O390" t="n">
        <x:v>0</x:v>
      </x:c>
      <x:c r="P390" t="n">
        <x:v>0</x:v>
      </x:c>
      <x:c r="Q390" t="n">
        <x:v>1</x:v>
      </x:c>
      <x:c r="R390" t="n">
        <x:v>0</x:v>
      </x:c>
      <x:c r="S390" t="n">
        <x:v>0</x:v>
      </x:c>
      <x:c r="T390" t="n">
        <x:v>0</x:v>
      </x:c>
      <x:c r="U390" t="n">
        <x:v>1</x:v>
      </x:c>
      <x:c r="V390" t="n">
        <x:v>1</x:v>
      </x:c>
      <x:c r="W390" t="n">
        <x:v>0</x:v>
      </x:c>
      <x:c r="X390" t="n">
        <x:v>0</x:v>
      </x:c>
      <x:c r="Y390" t="n">
        <x:v>0</x:v>
      </x:c>
      <x:c r="Z390" t="n">
        <x:v>1</x:v>
      </x:c>
      <x:c r="AA390" t="n">
        <x:v>2</x:v>
      </x:c>
      <x:c r="AB390" t="str">
        <x:v>Pass</x:v>
      </x:c>
      <x:c r="AC390" t="str"/>
      <x:c r="AD390" t="str"/>
    </x:row>
    <x:row r="391">
      <x:c r="A391" t="str">
        <x:v>REC0390</x:v>
      </x:c>
      <x:c r="B391" t="n">
        <x:v>389</x:v>
      </x:c>
      <x:c r="C391" t="str">
        <x:v>Puerto Rico</x:v>
      </x:c>
      <x:c r="D391" t="str">
        <x:v>GV</x:v>
      </x:c>
      <x:c r="E391" t="str">
        <x:v>Ground Validation</x:v>
      </x:c>
      <x:c r="F391" t="str">
        <x:v>Seaviewer Drop Camera</x:v>
      </x:c>
      <x:c r="G391" t="str">
        <x:v>GV2010_338</x:v>
      </x:c>
      <x:c r="H391" s="28" t="n">
        <x:v>40262</x:v>
      </x:c>
      <x:c r="I391" t="str">
        <x:v>08:59:40</x:v>
      </x:c>
      <x:c r="J391" t="n">
        <x:v>2010</x:v>
      </x:c>
      <x:c r="K391" t="n">
        <x:v>18.19618887</x:v>
      </x:c>
      <x:c r="L391" t="n">
        <x:v>-65.17375891</x:v>
      </x:c>
      <x:c r="M391" t="n">
        <x:v>33.284</x:v>
      </x:c>
      <x:c r="N391" t="str">
        <x:v>https://nccospublicstor.blob.core.windows.net/biomapper/usviinsularshelf2017/videos/low/GV2010_338.mp4</x:v>
      </x:c>
      <x:c r="O391" t="n">
        <x:v>1</x:v>
      </x:c>
      <x:c r="P391" t="n">
        <x:v>0</x:v>
      </x:c>
      <x:c r="Q391" t="n">
        <x:v>0</x:v>
      </x:c>
      <x:c r="R391" t="n">
        <x:v>0</x:v>
      </x:c>
      <x:c r="S391" t="n">
        <x:v>1</x:v>
      </x:c>
      <x:c r="T391" t="n">
        <x:v>1</x:v>
      </x:c>
      <x:c r="U391" t="n">
        <x:v>1</x:v>
      </x:c>
      <x:c r="V391" t="n">
        <x:v>1</x:v>
      </x:c>
      <x:c r="W391" t="n">
        <x:v>0</x:v>
      </x:c>
      <x:c r="X391" t="n">
        <x:v>0</x:v>
      </x:c>
      <x:c r="Y391" t="n">
        <x:v>0</x:v>
      </x:c>
      <x:c r="Z391" t="n">
        <x:v>1</x:v>
      </x:c>
      <x:c r="AA391" t="n">
        <x:v>4</x:v>
      </x:c>
      <x:c r="AB391" t="str">
        <x:v>Pass</x:v>
      </x:c>
      <x:c r="AC391" t="str"/>
      <x:c r="AD391" t="str"/>
    </x:row>
    <x:row r="392">
      <x:c r="A392" t="str">
        <x:v>REC0391</x:v>
      </x:c>
      <x:c r="B392" t="n">
        <x:v>390</x:v>
      </x:c>
      <x:c r="C392" t="str">
        <x:v>Puerto Rico</x:v>
      </x:c>
      <x:c r="D392" t="str">
        <x:v>GV</x:v>
      </x:c>
      <x:c r="E392" t="str">
        <x:v>Ground Validation</x:v>
      </x:c>
      <x:c r="F392" t="str">
        <x:v>Seaviewer Drop Camera</x:v>
      </x:c>
      <x:c r="G392" t="str">
        <x:v>GV2010_339</x:v>
      </x:c>
      <x:c r="H392" s="28" t="n">
        <x:v>40262</x:v>
      </x:c>
      <x:c r="I392" t="str">
        <x:v>09:06:32</x:v>
      </x:c>
      <x:c r="J392" t="n">
        <x:v>2010</x:v>
      </x:c>
      <x:c r="K392" t="n">
        <x:v>18.19459834</x:v>
      </x:c>
      <x:c r="L392" t="n">
        <x:v>-65.17389647</x:v>
      </x:c>
      <x:c r="M392" t="n">
        <x:v>42.494</x:v>
      </x:c>
      <x:c r="N392" t="str">
        <x:v>https://nccospublicstor.blob.core.windows.net/biomapper/usviinsularshelf2017/videos/low/GV2010_339.mp4</x:v>
      </x:c>
      <x:c r="O392" t="n">
        <x:v>0</x:v>
      </x:c>
      <x:c r="P392" t="n">
        <x:v>1</x:v>
      </x:c>
      <x:c r="Q392" t="n">
        <x:v>1</x:v>
      </x:c>
      <x:c r="R392" t="n">
        <x:v>1</x:v>
      </x:c>
      <x:c r="S392" t="n">
        <x:v>1</x:v>
      </x:c>
      <x:c r="T392" t="n">
        <x:v>0</x:v>
      </x:c>
      <x:c r="U392" t="n">
        <x:v>1</x:v>
      </x:c>
      <x:c r="V392" t="n">
        <x:v>1</x:v>
      </x:c>
      <x:c r="W392" t="n">
        <x:v>0</x:v>
      </x:c>
      <x:c r="X392" t="n">
        <x:v>0</x:v>
      </x:c>
      <x:c r="Y392" t="n">
        <x:v>0</x:v>
      </x:c>
      <x:c r="Z392" t="n">
        <x:v>3</x:v>
      </x:c>
      <x:c r="AA392" t="n">
        <x:v>3</x:v>
      </x:c>
      <x:c r="AB392" t="str">
        <x:v>Pass</x:v>
      </x:c>
      <x:c r="AC392" t="str"/>
      <x:c r="AD392" t="str"/>
    </x:row>
    <x:row r="393">
      <x:c r="A393" t="str">
        <x:v>REC0392</x:v>
      </x:c>
      <x:c r="B393" t="n">
        <x:v>391</x:v>
      </x:c>
      <x:c r="C393" t="str">
        <x:v>Puerto Rico</x:v>
      </x:c>
      <x:c r="D393" t="str">
        <x:v>GV</x:v>
      </x:c>
      <x:c r="E393" t="str">
        <x:v>Ground Validation</x:v>
      </x:c>
      <x:c r="F393" t="str">
        <x:v>Seaviewer Drop Camera</x:v>
      </x:c>
      <x:c r="G393" t="str">
        <x:v>GV2010_340</x:v>
      </x:c>
      <x:c r="H393" s="28" t="n">
        <x:v>40262</x:v>
      </x:c>
      <x:c r="I393" t="str">
        <x:v>09:10:59</x:v>
      </x:c>
      <x:c r="J393" t="n">
        <x:v>2010</x:v>
      </x:c>
      <x:c r="K393" t="n">
        <x:v>18.19382803</x:v>
      </x:c>
      <x:c r="L393" t="n">
        <x:v>-65.17293411</x:v>
      </x:c>
      <x:c r="M393" t="n">
        <x:v>36.084</x:v>
      </x:c>
      <x:c r="N393" t="str">
        <x:v>https://nccospublicstor.blob.core.windows.net/biomapper/usviinsularshelf2017/videos/low/GV2010_340.mp4</x:v>
      </x:c>
      <x:c r="O393" t="n">
        <x:v>1</x:v>
      </x:c>
      <x:c r="P393" t="n">
        <x:v>0</x:v>
      </x:c>
      <x:c r="Q393" t="n">
        <x:v>0</x:v>
      </x:c>
      <x:c r="R393" t="n">
        <x:v>0</x:v>
      </x:c>
      <x:c r="S393" t="n">
        <x:v>1</x:v>
      </x:c>
      <x:c r="T393" t="n">
        <x:v>0</x:v>
      </x:c>
      <x:c r="U393" t="n">
        <x:v>1</x:v>
      </x:c>
      <x:c r="V393" t="n">
        <x:v>1</x:v>
      </x:c>
      <x:c r="W393" t="n">
        <x:v>0</x:v>
      </x:c>
      <x:c r="X393" t="n">
        <x:v>0</x:v>
      </x:c>
      <x:c r="Y393" t="n">
        <x:v>0</x:v>
      </x:c>
      <x:c r="Z393" t="n">
        <x:v>1</x:v>
      </x:c>
      <x:c r="AA393" t="n">
        <x:v>3</x:v>
      </x:c>
      <x:c r="AB393" t="str">
        <x:v>Pass</x:v>
      </x:c>
      <x:c r="AC393" t="str"/>
      <x:c r="AD393" t="str"/>
    </x:row>
    <x:row r="394">
      <x:c r="A394" t="str">
        <x:v>REC0393</x:v>
      </x:c>
      <x:c r="B394" t="n">
        <x:v>392</x:v>
      </x:c>
      <x:c r="C394" t="str">
        <x:v>Puerto Rico</x:v>
      </x:c>
      <x:c r="D394" t="str">
        <x:v>GV</x:v>
      </x:c>
      <x:c r="E394" t="str">
        <x:v>Ground Validation</x:v>
      </x:c>
      <x:c r="F394" t="str">
        <x:v>Seaviewer Drop Camera</x:v>
      </x:c>
      <x:c r="G394" t="str">
        <x:v>GV2010_341</x:v>
      </x:c>
      <x:c r="H394" s="28" t="n">
        <x:v>40262</x:v>
      </x:c>
      <x:c r="I394" t="str">
        <x:v>09:14:49</x:v>
      </x:c>
      <x:c r="J394" t="n">
        <x:v>2010</x:v>
      </x:c>
      <x:c r="K394" t="n">
        <x:v>18.19268882</x:v>
      </x:c>
      <x:c r="L394" t="n">
        <x:v>-65.173038</x:v>
      </x:c>
      <x:c r="M394" t="n">
        <x:v>40.617</x:v>
      </x:c>
      <x:c r="N394" t="str">
        <x:v>https://nccospublicstor.blob.core.windows.net/biomapper/usviinsularshelf2017/videos/low/GV2010_341.mp4</x:v>
      </x:c>
      <x:c r="O394" t="n">
        <x:v>1</x:v>
      </x:c>
      <x:c r="P394" t="n">
        <x:v>0</x:v>
      </x:c>
      <x:c r="Q394" t="n">
        <x:v>0</x:v>
      </x:c>
      <x:c r="R394" t="n">
        <x:v>0</x:v>
      </x:c>
      <x:c r="S394" t="n">
        <x:v>1</x:v>
      </x:c>
      <x:c r="T394" t="n">
        <x:v>0</x:v>
      </x:c>
      <x:c r="U394" t="n">
        <x:v>1</x:v>
      </x:c>
      <x:c r="V394" t="n">
        <x:v>1</x:v>
      </x:c>
      <x:c r="W394" t="n">
        <x:v>0</x:v>
      </x:c>
      <x:c r="X394" t="n">
        <x:v>0</x:v>
      </x:c>
      <x:c r="Y394" t="n">
        <x:v>0</x:v>
      </x:c>
      <x:c r="Z394" t="n">
        <x:v>1</x:v>
      </x:c>
      <x:c r="AA394" t="n">
        <x:v>3</x:v>
      </x:c>
      <x:c r="AB394" t="str">
        <x:v>Pass</x:v>
      </x:c>
      <x:c r="AC394" t="str"/>
      <x:c r="AD394" t="str"/>
    </x:row>
    <x:row r="395">
      <x:c r="A395" t="str">
        <x:v>REC0394</x:v>
      </x:c>
      <x:c r="B395" t="n">
        <x:v>393</x:v>
      </x:c>
      <x:c r="C395" t="str">
        <x:v>Puerto Rico</x:v>
      </x:c>
      <x:c r="D395" t="str">
        <x:v>GV</x:v>
      </x:c>
      <x:c r="E395" t="str">
        <x:v>Ground Validation</x:v>
      </x:c>
      <x:c r="F395" t="str">
        <x:v>Seaviewer Drop Camera</x:v>
      </x:c>
      <x:c r="G395" t="str">
        <x:v>GV2010_342</x:v>
      </x:c>
      <x:c r="H395" s="28" t="n">
        <x:v>40262</x:v>
      </x:c>
      <x:c r="I395" t="str">
        <x:v>09:18:47</x:v>
      </x:c>
      <x:c r="J395" t="n">
        <x:v>2010</x:v>
      </x:c>
      <x:c r="K395" t="n">
        <x:v>18.19153134</x:v>
      </x:c>
      <x:c r="L395" t="n">
        <x:v>-65.1732677</x:v>
      </x:c>
      <x:c r="M395" t="n">
        <x:v>37.633</x:v>
      </x:c>
      <x:c r="N395" t="str">
        <x:v>https://nccospublicstor.blob.core.windows.net/biomapper/usviinsularshelf2017/videos/low/GV2010_342.mp4</x:v>
      </x:c>
      <x:c r="O395" t="n">
        <x:v>1</x:v>
      </x:c>
      <x:c r="P395" t="n">
        <x:v>0</x:v>
      </x:c>
      <x:c r="Q395" t="n">
        <x:v>0</x:v>
      </x:c>
      <x:c r="R395" t="n">
        <x:v>0</x:v>
      </x:c>
      <x:c r="S395" t="n">
        <x:v>1</x:v>
      </x:c>
      <x:c r="T395" t="n">
        <x:v>1</x:v>
      </x:c>
      <x:c r="U395" t="n">
        <x:v>1</x:v>
      </x:c>
      <x:c r="V395" t="n">
        <x:v>1</x:v>
      </x:c>
      <x:c r="W395" t="n">
        <x:v>0</x:v>
      </x:c>
      <x:c r="X395" t="n">
        <x:v>0</x:v>
      </x:c>
      <x:c r="Y395" t="n">
        <x:v>0</x:v>
      </x:c>
      <x:c r="Z395" t="n">
        <x:v>1</x:v>
      </x:c>
      <x:c r="AA395" t="n">
        <x:v>4</x:v>
      </x:c>
      <x:c r="AB395" t="str">
        <x:v>Pass</x:v>
      </x:c>
      <x:c r="AC395" t="str"/>
      <x:c r="AD395" t="str"/>
    </x:row>
    <x:row r="396">
      <x:c r="A396" t="str">
        <x:v>REC0395</x:v>
      </x:c>
      <x:c r="B396" t="n">
        <x:v>394</x:v>
      </x:c>
      <x:c r="C396" t="str">
        <x:v>Puerto Rico</x:v>
      </x:c>
      <x:c r="D396" t="str">
        <x:v>GV</x:v>
      </x:c>
      <x:c r="E396" t="str">
        <x:v>Ground Validation</x:v>
      </x:c>
      <x:c r="F396" t="str">
        <x:v>Seaviewer Drop Camera</x:v>
      </x:c>
      <x:c r="G396" t="str">
        <x:v>GV2010_343</x:v>
      </x:c>
      <x:c r="H396" s="28" t="n">
        <x:v>40262</x:v>
      </x:c>
      <x:c r="I396" t="str">
        <x:v>09:22:50</x:v>
      </x:c>
      <x:c r="J396" t="n">
        <x:v>2010</x:v>
      </x:c>
      <x:c r="K396" t="n">
        <x:v>18.18997827</x:v>
      </x:c>
      <x:c r="L396" t="n">
        <x:v>-65.17320498</x:v>
      </x:c>
      <x:c r="M396" t="n">
        <x:v>42.124</x:v>
      </x:c>
      <x:c r="N396" t="str">
        <x:v>https://nccospublicstor.blob.core.windows.net/biomapper/usviinsularshelf2017/videos/low/GV2010_343.mp4</x:v>
      </x:c>
      <x:c r="O396" t="n">
        <x:v>1</x:v>
      </x:c>
      <x:c r="P396" t="n">
        <x:v>0</x:v>
      </x:c>
      <x:c r="Q396" t="n">
        <x:v>0</x:v>
      </x:c>
      <x:c r="R396" t="n">
        <x:v>1</x:v>
      </x:c>
      <x:c r="S396" t="n">
        <x:v>1</x:v>
      </x:c>
      <x:c r="T396" t="n">
        <x:v>0</x:v>
      </x:c>
      <x:c r="U396" t="n">
        <x:v>1</x:v>
      </x:c>
      <x:c r="V396" t="n">
        <x:v>1</x:v>
      </x:c>
      <x:c r="W396" t="n">
        <x:v>0</x:v>
      </x:c>
      <x:c r="X396" t="n">
        <x:v>0</x:v>
      </x:c>
      <x:c r="Y396" t="n">
        <x:v>0</x:v>
      </x:c>
      <x:c r="Z396" t="n">
        <x:v>2</x:v>
      </x:c>
      <x:c r="AA396" t="n">
        <x:v>3</x:v>
      </x:c>
      <x:c r="AB396" t="str">
        <x:v>Pass</x:v>
      </x:c>
      <x:c r="AC396" t="str"/>
      <x:c r="AD396" t="str"/>
    </x:row>
    <x:row r="397">
      <x:c r="A397" t="str">
        <x:v>REC0396</x:v>
      </x:c>
      <x:c r="B397" t="n">
        <x:v>395</x:v>
      </x:c>
      <x:c r="C397" t="str">
        <x:v>Puerto Rico</x:v>
      </x:c>
      <x:c r="D397" t="str">
        <x:v>GV</x:v>
      </x:c>
      <x:c r="E397" t="str">
        <x:v>Ground Validation</x:v>
      </x:c>
      <x:c r="F397" t="str">
        <x:v>Seaviewer Drop Camera</x:v>
      </x:c>
      <x:c r="G397" t="str">
        <x:v>GV2010_344</x:v>
      </x:c>
      <x:c r="H397" s="28" t="n">
        <x:v>40262</x:v>
      </x:c>
      <x:c r="I397" t="str">
        <x:v>09:27:47</x:v>
      </x:c>
      <x:c r="J397" t="n">
        <x:v>2010</x:v>
      </x:c>
      <x:c r="K397" t="n">
        <x:v>18.18815326</x:v>
      </x:c>
      <x:c r="L397" t="n">
        <x:v>-65.17367231</x:v>
      </x:c>
      <x:c r="M397" t="n">
        <x:v>37.397</x:v>
      </x:c>
      <x:c r="N397" t="str">
        <x:v>https://nccospublicstor.blob.core.windows.net/biomapper/usviinsularshelf2017/videos/low/GV2010_344.mp4</x:v>
      </x:c>
      <x:c r="O397" t="n">
        <x:v>1</x:v>
      </x:c>
      <x:c r="P397" t="n">
        <x:v>0</x:v>
      </x:c>
      <x:c r="Q397" t="n">
        <x:v>0</x:v>
      </x:c>
      <x:c r="R397" t="n">
        <x:v>0</x:v>
      </x:c>
      <x:c r="S397" t="n">
        <x:v>1</x:v>
      </x:c>
      <x:c r="T397" t="n">
        <x:v>1</x:v>
      </x:c>
      <x:c r="U397" t="n">
        <x:v>1</x:v>
      </x:c>
      <x:c r="V397" t="n">
        <x:v>1</x:v>
      </x:c>
      <x:c r="W397" t="n">
        <x:v>0</x:v>
      </x:c>
      <x:c r="X397" t="n">
        <x:v>0</x:v>
      </x:c>
      <x:c r="Y397" t="n">
        <x:v>0</x:v>
      </x:c>
      <x:c r="Z397" t="n">
        <x:v>1</x:v>
      </x:c>
      <x:c r="AA397" t="n">
        <x:v>4</x:v>
      </x:c>
      <x:c r="AB397" t="str">
        <x:v>Pass</x:v>
      </x:c>
      <x:c r="AC397" t="str"/>
      <x:c r="AD397" t="str"/>
    </x:row>
    <x:row r="398">
      <x:c r="A398" t="str">
        <x:v>REC0397</x:v>
      </x:c>
      <x:c r="B398" t="n">
        <x:v>396</x:v>
      </x:c>
      <x:c r="C398" t="str">
        <x:v>Puerto Rico</x:v>
      </x:c>
      <x:c r="D398" t="str">
        <x:v>GV</x:v>
      </x:c>
      <x:c r="E398" t="str">
        <x:v>Ground Validation</x:v>
      </x:c>
      <x:c r="F398" t="str">
        <x:v>Seaviewer Drop Camera</x:v>
      </x:c>
      <x:c r="G398" t="str">
        <x:v>GV2010_345</x:v>
      </x:c>
      <x:c r="H398" s="28" t="n">
        <x:v>40262</x:v>
      </x:c>
      <x:c r="I398" t="str">
        <x:v>09:34:07</x:v>
      </x:c>
      <x:c r="J398" t="n">
        <x:v>2010</x:v>
      </x:c>
      <x:c r="K398" t="n">
        <x:v>18.18844804</x:v>
      </x:c>
      <x:c r="L398" t="n">
        <x:v>-65.18008803</x:v>
      </x:c>
      <x:c r="M398" t="n">
        <x:v>37.473</x:v>
      </x:c>
      <x:c r="N398" t="str">
        <x:v>https://nccospublicstor.blob.core.windows.net/biomapper/usviinsularshelf2017/videos/low/GV2010_345.mp4</x:v>
      </x:c>
      <x:c r="O398" t="n">
        <x:v>1</x:v>
      </x:c>
      <x:c r="P398" t="n">
        <x:v>0</x:v>
      </x:c>
      <x:c r="Q398" t="n">
        <x:v>0</x:v>
      </x:c>
      <x:c r="R398" t="n">
        <x:v>0</x:v>
      </x:c>
      <x:c r="S398" t="n">
        <x:v>1</x:v>
      </x:c>
      <x:c r="T398" t="n">
        <x:v>1</x:v>
      </x:c>
      <x:c r="U398" t="n">
        <x:v>1</x:v>
      </x:c>
      <x:c r="V398" t="n">
        <x:v>1</x:v>
      </x:c>
      <x:c r="W398" t="n">
        <x:v>0</x:v>
      </x:c>
      <x:c r="X398" t="n">
        <x:v>0</x:v>
      </x:c>
      <x:c r="Y398" t="n">
        <x:v>0</x:v>
      </x:c>
      <x:c r="Z398" t="n">
        <x:v>1</x:v>
      </x:c>
      <x:c r="AA398" t="n">
        <x:v>4</x:v>
      </x:c>
      <x:c r="AB398" t="str">
        <x:v>Pass</x:v>
      </x:c>
      <x:c r="AC398" t="str"/>
      <x:c r="AD398" t="str"/>
    </x:row>
    <x:row r="399">
      <x:c r="A399" t="str">
        <x:v>REC0398</x:v>
      </x:c>
      <x:c r="B399" t="n">
        <x:v>397</x:v>
      </x:c>
      <x:c r="C399" t="str">
        <x:v>Puerto Rico</x:v>
      </x:c>
      <x:c r="D399" t="str">
        <x:v>GV</x:v>
      </x:c>
      <x:c r="E399" t="str">
        <x:v>Ground Validation</x:v>
      </x:c>
      <x:c r="F399" t="str">
        <x:v>Seaviewer Drop Camera</x:v>
      </x:c>
      <x:c r="G399" t="str">
        <x:v>GV2010_346</x:v>
      </x:c>
      <x:c r="H399" s="28" t="n">
        <x:v>40262</x:v>
      </x:c>
      <x:c r="I399" t="str">
        <x:v>09:40:28</x:v>
      </x:c>
      <x:c r="J399" t="n">
        <x:v>2010</x:v>
      </x:c>
      <x:c r="K399" t="n">
        <x:v>18.18629086</x:v>
      </x:c>
      <x:c r="L399" t="n">
        <x:v>-65.18524429</x:v>
      </x:c>
      <x:c r="M399" t="n">
        <x:v>40.386</x:v>
      </x:c>
      <x:c r="N399" t="str">
        <x:v>https://nccospublicstor.blob.core.windows.net/biomapper/usviinsularshelf2017/videos/low/GV2010_346.mp4</x:v>
      </x:c>
      <x:c r="O399" t="n">
        <x:v>1</x:v>
      </x:c>
      <x:c r="P399" t="n">
        <x:v>0</x:v>
      </x:c>
      <x:c r="Q399" t="n">
        <x:v>0</x:v>
      </x:c>
      <x:c r="R399" t="n">
        <x:v>0</x:v>
      </x:c>
      <x:c r="S399" t="n">
        <x:v>1</x:v>
      </x:c>
      <x:c r="T399" t="n">
        <x:v>1</x:v>
      </x:c>
      <x:c r="U399" t="n">
        <x:v>1</x:v>
      </x:c>
      <x:c r="V399" t="n">
        <x:v>1</x:v>
      </x:c>
      <x:c r="W399" t="n">
        <x:v>0</x:v>
      </x:c>
      <x:c r="X399" t="n">
        <x:v>0</x:v>
      </x:c>
      <x:c r="Y399" t="n">
        <x:v>0</x:v>
      </x:c>
      <x:c r="Z399" t="n">
        <x:v>1</x:v>
      </x:c>
      <x:c r="AA399" t="n">
        <x:v>4</x:v>
      </x:c>
      <x:c r="AB399" t="str">
        <x:v>Pass</x:v>
      </x:c>
      <x:c r="AC399" t="str"/>
      <x:c r="AD399" t="str"/>
    </x:row>
    <x:row r="400">
      <x:c r="A400" t="str">
        <x:v>REC0399</x:v>
      </x:c>
      <x:c r="B400" t="n">
        <x:v>398</x:v>
      </x:c>
      <x:c r="C400" t="str">
        <x:v>Puerto Rico</x:v>
      </x:c>
      <x:c r="D400" t="str">
        <x:v>GV</x:v>
      </x:c>
      <x:c r="E400" t="str">
        <x:v>Ground Validation</x:v>
      </x:c>
      <x:c r="F400" t="str">
        <x:v>Seaviewer Drop Camera</x:v>
      </x:c>
      <x:c r="G400" t="str">
        <x:v>GV2010_347</x:v>
      </x:c>
      <x:c r="H400" s="28" t="n">
        <x:v>40262</x:v>
      </x:c>
      <x:c r="I400" t="str">
        <x:v>10:02:22</x:v>
      </x:c>
      <x:c r="J400" t="n">
        <x:v>2010</x:v>
      </x:c>
      <x:c r="K400" t="n">
        <x:v>18.18944873</x:v>
      </x:c>
      <x:c r="L400" t="n">
        <x:v>-65.1880531</x:v>
      </x:c>
      <x:c r="M400" t="n">
        <x:v>36.419</x:v>
      </x:c>
      <x:c r="N400" t="str">
        <x:v>https://nccospublicstor.blob.core.windows.net/biomapper/usviinsularshelf2017/videos/low/GV2010_347.mp4</x:v>
      </x:c>
      <x:c r="O400" t="n">
        <x:v>1</x:v>
      </x:c>
      <x:c r="P400" t="n">
        <x:v>0</x:v>
      </x:c>
      <x:c r="Q400" t="n">
        <x:v>0</x:v>
      </x:c>
      <x:c r="R400" t="n">
        <x:v>0</x:v>
      </x:c>
      <x:c r="S400" t="n">
        <x:v>1</x:v>
      </x:c>
      <x:c r="T400" t="n">
        <x:v>1</x:v>
      </x:c>
      <x:c r="U400" t="n">
        <x:v>1</x:v>
      </x:c>
      <x:c r="V400" t="n">
        <x:v>1</x:v>
      </x:c>
      <x:c r="W400" t="n">
        <x:v>0</x:v>
      </x:c>
      <x:c r="X400" t="n">
        <x:v>0</x:v>
      </x:c>
      <x:c r="Y400" t="n">
        <x:v>0</x:v>
      </x:c>
      <x:c r="Z400" t="n">
        <x:v>1</x:v>
      </x:c>
      <x:c r="AA400" t="n">
        <x:v>4</x:v>
      </x:c>
      <x:c r="AB400" t="str">
        <x:v>Pass</x:v>
      </x:c>
      <x:c r="AC400" t="str"/>
      <x:c r="AD400" t="str"/>
    </x:row>
    <x:row r="401">
      <x:c r="A401" t="str">
        <x:v>REC0400</x:v>
      </x:c>
      <x:c r="B401" t="n">
        <x:v>399</x:v>
      </x:c>
      <x:c r="C401" t="str">
        <x:v>Puerto Rico</x:v>
      </x:c>
      <x:c r="D401" t="str">
        <x:v>GV</x:v>
      </x:c>
      <x:c r="E401" t="str">
        <x:v>Ground Validation</x:v>
      </x:c>
      <x:c r="F401" t="str">
        <x:v>Seaviewer Drop Camera</x:v>
      </x:c>
      <x:c r="G401" t="str">
        <x:v>GV2010_348</x:v>
      </x:c>
      <x:c r="H401" s="28" t="n">
        <x:v>40262</x:v>
      </x:c>
      <x:c r="I401" t="str">
        <x:v>09:47:11</x:v>
      </x:c>
      <x:c r="J401" t="n">
        <x:v>2010</x:v>
      </x:c>
      <x:c r="K401" t="n">
        <x:v>18.18929606</x:v>
      </x:c>
      <x:c r="L401" t="n">
        <x:v>-65.18398288</x:v>
      </x:c>
      <x:c r="M401" t="n">
        <x:v>37.541</x:v>
      </x:c>
      <x:c r="N401" t="str">
        <x:v>https://nccospublicstor.blob.core.windows.net/biomapper/usviinsularshelf2017/videos/low/GV2010_348.mp4</x:v>
      </x:c>
      <x:c r="O401" t="n">
        <x:v>1</x:v>
      </x:c>
      <x:c r="P401" t="n">
        <x:v>0</x:v>
      </x:c>
      <x:c r="Q401" t="n">
        <x:v>0</x:v>
      </x:c>
      <x:c r="R401" t="n">
        <x:v>0</x:v>
      </x:c>
      <x:c r="S401" t="n">
        <x:v>1</x:v>
      </x:c>
      <x:c r="T401" t="n">
        <x:v>1</x:v>
      </x:c>
      <x:c r="U401" t="n">
        <x:v>1</x:v>
      </x:c>
      <x:c r="V401" t="n">
        <x:v>1</x:v>
      </x:c>
      <x:c r="W401" t="n">
        <x:v>0</x:v>
      </x:c>
      <x:c r="X401" t="n">
        <x:v>0</x:v>
      </x:c>
      <x:c r="Y401" t="n">
        <x:v>0</x:v>
      </x:c>
      <x:c r="Z401" t="n">
        <x:v>1</x:v>
      </x:c>
      <x:c r="AA401" t="n">
        <x:v>4</x:v>
      </x:c>
      <x:c r="AB401" t="str">
        <x:v>Pass</x:v>
      </x:c>
      <x:c r="AC401" t="str"/>
      <x:c r="AD401" t="str"/>
    </x:row>
    <x:row r="402">
      <x:c r="A402" t="str">
        <x:v>REC0401</x:v>
      </x:c>
      <x:c r="B402" t="n">
        <x:v>400</x:v>
      </x:c>
      <x:c r="C402" t="str">
        <x:v>Puerto Rico</x:v>
      </x:c>
      <x:c r="D402" t="str">
        <x:v>GV</x:v>
      </x:c>
      <x:c r="E402" t="str">
        <x:v>Ground Validation</x:v>
      </x:c>
      <x:c r="F402" t="str">
        <x:v>Seaviewer Drop Camera</x:v>
      </x:c>
      <x:c r="G402" t="str">
        <x:v>GV2010_349</x:v>
      </x:c>
      <x:c r="H402" s="28" t="n">
        <x:v>40262</x:v>
      </x:c>
      <x:c r="I402" t="str">
        <x:v>10:54:47</x:v>
      </x:c>
      <x:c r="J402" t="n">
        <x:v>2010</x:v>
      </x:c>
      <x:c r="K402" t="n">
        <x:v>18.18942952</x:v>
      </x:c>
      <x:c r="L402" t="n">
        <x:v>-65.19326776</x:v>
      </x:c>
      <x:c r="M402" t="n">
        <x:v>41.488</x:v>
      </x:c>
      <x:c r="N402" t="str">
        <x:v>https://nccospublicstor.blob.core.windows.net/biomapper/usviinsularshelf2017/videos/low/GV2010_349.mp4</x:v>
      </x:c>
      <x:c r="O402" t="n">
        <x:v>1</x:v>
      </x:c>
      <x:c r="P402" t="n">
        <x:v>0</x:v>
      </x:c>
      <x:c r="Q402" t="n">
        <x:v>0</x:v>
      </x:c>
      <x:c r="R402" t="n">
        <x:v>1</x:v>
      </x:c>
      <x:c r="S402" t="n">
        <x:v>1</x:v>
      </x:c>
      <x:c r="T402" t="n">
        <x:v>1</x:v>
      </x:c>
      <x:c r="U402" t="n">
        <x:v>1</x:v>
      </x:c>
      <x:c r="V402" t="n">
        <x:v>1</x:v>
      </x:c>
      <x:c r="W402" t="n">
        <x:v>0</x:v>
      </x:c>
      <x:c r="X402" t="n">
        <x:v>0</x:v>
      </x:c>
      <x:c r="Y402" t="n">
        <x:v>0</x:v>
      </x:c>
      <x:c r="Z402" t="n">
        <x:v>2</x:v>
      </x:c>
      <x:c r="AA402" t="n">
        <x:v>4</x:v>
      </x:c>
      <x:c r="AB402" t="str">
        <x:v>Pass</x:v>
      </x:c>
      <x:c r="AC402" t="str"/>
      <x:c r="AD402" t="str"/>
    </x:row>
    <x:row r="403">
      <x:c r="A403" t="str">
        <x:v>REC0402</x:v>
      </x:c>
      <x:c r="B403" t="n">
        <x:v>401</x:v>
      </x:c>
      <x:c r="C403" t="str">
        <x:v>Puerto Rico</x:v>
      </x:c>
      <x:c r="D403" t="str">
        <x:v>GV</x:v>
      </x:c>
      <x:c r="E403" t="str">
        <x:v>Ground Validation</x:v>
      </x:c>
      <x:c r="F403" t="str">
        <x:v>Seaviewer Drop Camera</x:v>
      </x:c>
      <x:c r="G403" t="str">
        <x:v>GV2010_350</x:v>
      </x:c>
      <x:c r="H403" s="28" t="n">
        <x:v>40262</x:v>
      </x:c>
      <x:c r="I403" t="str">
        <x:v>11:00:14</x:v>
      </x:c>
      <x:c r="J403" t="n">
        <x:v>2010</x:v>
      </x:c>
      <x:c r="K403" t="n">
        <x:v>18.18756746</x:v>
      </x:c>
      <x:c r="L403" t="n">
        <x:v>-65.19677643</x:v>
      </x:c>
      <x:c r="M403" t="n">
        <x:v>36.725</x:v>
      </x:c>
      <x:c r="N403" t="str">
        <x:v>https://nccospublicstor.blob.core.windows.net/biomapper/usviinsularshelf2017/videos/low/GV2010_350.mp4</x:v>
      </x:c>
      <x:c r="O403" t="n">
        <x:v>1</x:v>
      </x:c>
      <x:c r="P403" t="n">
        <x:v>0</x:v>
      </x:c>
      <x:c r="Q403" t="n">
        <x:v>0</x:v>
      </x:c>
      <x:c r="R403" t="n">
        <x:v>0</x:v>
      </x:c>
      <x:c r="S403" t="n">
        <x:v>1</x:v>
      </x:c>
      <x:c r="T403" t="n">
        <x:v>1</x:v>
      </x:c>
      <x:c r="U403" t="n">
        <x:v>1</x:v>
      </x:c>
      <x:c r="V403" t="n">
        <x:v>1</x:v>
      </x:c>
      <x:c r="W403" t="n">
        <x:v>0</x:v>
      </x:c>
      <x:c r="X403" t="n">
        <x:v>0</x:v>
      </x:c>
      <x:c r="Y403" t="n">
        <x:v>0</x:v>
      </x:c>
      <x:c r="Z403" t="n">
        <x:v>1</x:v>
      </x:c>
      <x:c r="AA403" t="n">
        <x:v>4</x:v>
      </x:c>
      <x:c r="AB403" t="str">
        <x:v>Pass</x:v>
      </x:c>
      <x:c r="AC403" t="str"/>
      <x:c r="AD403" t="str"/>
    </x:row>
    <x:row r="404">
      <x:c r="A404" t="str">
        <x:v>REC0403</x:v>
      </x:c>
      <x:c r="B404" t="n">
        <x:v>402</x:v>
      </x:c>
      <x:c r="C404" t="str">
        <x:v>Puerto Rico</x:v>
      </x:c>
      <x:c r="D404" t="str">
        <x:v>GV</x:v>
      </x:c>
      <x:c r="E404" t="str">
        <x:v>Ground Validation</x:v>
      </x:c>
      <x:c r="F404" t="str">
        <x:v>Seaviewer Drop Camera</x:v>
      </x:c>
      <x:c r="G404" t="str">
        <x:v>GV2010_351</x:v>
      </x:c>
      <x:c r="H404" s="28" t="n">
        <x:v>40262</x:v>
      </x:c>
      <x:c r="I404" t="str">
        <x:v>11:05:03</x:v>
      </x:c>
      <x:c r="J404" t="n">
        <x:v>2010</x:v>
      </x:c>
      <x:c r="K404" t="n">
        <x:v>18.19013387</x:v>
      </x:c>
      <x:c r="L404" t="n">
        <x:v>-65.19857376</x:v>
      </x:c>
      <x:c r="M404" t="n">
        <x:v>37.322</x:v>
      </x:c>
      <x:c r="N404" t="str">
        <x:v>https://nccospublicstor.blob.core.windows.net/biomapper/usviinsularshelf2017/videos/low/GV2010_351.mp4</x:v>
      </x:c>
      <x:c r="O404" t="n">
        <x:v>1</x:v>
      </x:c>
      <x:c r="P404" t="n">
        <x:v>0</x:v>
      </x:c>
      <x:c r="Q404" t="n">
        <x:v>0</x:v>
      </x:c>
      <x:c r="R404" t="n">
        <x:v>1</x:v>
      </x:c>
      <x:c r="S404" t="n">
        <x:v>1</x:v>
      </x:c>
      <x:c r="T404" t="n">
        <x:v>0</x:v>
      </x:c>
      <x:c r="U404" t="n">
        <x:v>1</x:v>
      </x:c>
      <x:c r="V404" t="n">
        <x:v>1</x:v>
      </x:c>
      <x:c r="W404" t="n">
        <x:v>0</x:v>
      </x:c>
      <x:c r="X404" t="n">
        <x:v>0</x:v>
      </x:c>
      <x:c r="Y404" t="n">
        <x:v>0</x:v>
      </x:c>
      <x:c r="Z404" t="n">
        <x:v>2</x:v>
      </x:c>
      <x:c r="AA404" t="n">
        <x:v>3</x:v>
      </x:c>
      <x:c r="AB404" t="str">
        <x:v>Pass</x:v>
      </x:c>
      <x:c r="AC404" t="str"/>
      <x:c r="AD404" t="str">
        <x:v>Reef Shark</x:v>
      </x:c>
    </x:row>
    <x:row r="405">
      <x:c r="A405" t="str">
        <x:v>REC0404</x:v>
      </x:c>
      <x:c r="B405" t="n">
        <x:v>403</x:v>
      </x:c>
      <x:c r="C405" t="str">
        <x:v>Puerto Rico</x:v>
      </x:c>
      <x:c r="D405" t="str">
        <x:v>GV</x:v>
      </x:c>
      <x:c r="E405" t="str">
        <x:v>Ground Validation</x:v>
      </x:c>
      <x:c r="F405" t="str">
        <x:v>Seaviewer Drop Camera</x:v>
      </x:c>
      <x:c r="G405" t="str">
        <x:v>GV2010_352</x:v>
      </x:c>
      <x:c r="H405" s="28" t="n">
        <x:v>40262</x:v>
      </x:c>
      <x:c r="I405" t="str">
        <x:v>11:11:37</x:v>
      </x:c>
      <x:c r="J405" t="n">
        <x:v>2010</x:v>
      </x:c>
      <x:c r="K405" t="n">
        <x:v>18.1878737</x:v>
      </x:c>
      <x:c r="L405" t="n">
        <x:v>-65.20336506</x:v>
      </x:c>
      <x:c r="M405" t="n">
        <x:v>38.319</x:v>
      </x:c>
      <x:c r="N405" t="str">
        <x:v>https://nccospublicstor.blob.core.windows.net/biomapper/usviinsularshelf2017/videos/low/GV2010_352.mp4</x:v>
      </x:c>
      <x:c r="O405" t="n">
        <x:v>1</x:v>
      </x:c>
      <x:c r="P405" t="n">
        <x:v>0</x:v>
      </x:c>
      <x:c r="Q405" t="n">
        <x:v>0</x:v>
      </x:c>
      <x:c r="R405" t="n">
        <x:v>0</x:v>
      </x:c>
      <x:c r="S405" t="n">
        <x:v>1</x:v>
      </x:c>
      <x:c r="T405" t="n">
        <x:v>1</x:v>
      </x:c>
      <x:c r="U405" t="n">
        <x:v>1</x:v>
      </x:c>
      <x:c r="V405" t="n">
        <x:v>1</x:v>
      </x:c>
      <x:c r="W405" t="n">
        <x:v>0</x:v>
      </x:c>
      <x:c r="X405" t="n">
        <x:v>0</x:v>
      </x:c>
      <x:c r="Y405" t="n">
        <x:v>0</x:v>
      </x:c>
      <x:c r="Z405" t="n">
        <x:v>1</x:v>
      </x:c>
      <x:c r="AA405" t="n">
        <x:v>4</x:v>
      </x:c>
      <x:c r="AB405" t="str">
        <x:v>Pass</x:v>
      </x:c>
      <x:c r="AC405" t="str"/>
      <x:c r="AD405" t="str"/>
    </x:row>
    <x:row r="406">
      <x:c r="A406" t="str">
        <x:v>REC0405</x:v>
      </x:c>
      <x:c r="B406" t="n">
        <x:v>404</x:v>
      </x:c>
      <x:c r="C406" t="str">
        <x:v>Puerto Rico</x:v>
      </x:c>
      <x:c r="D406" t="str">
        <x:v>GV</x:v>
      </x:c>
      <x:c r="E406" t="str">
        <x:v>Ground Validation</x:v>
      </x:c>
      <x:c r="F406" t="str">
        <x:v>Seaviewer Drop Camera</x:v>
      </x:c>
      <x:c r="G406" t="str">
        <x:v>GV2010_353</x:v>
      </x:c>
      <x:c r="H406" s="28" t="n">
        <x:v>40262</x:v>
      </x:c>
      <x:c r="I406" t="str">
        <x:v>11:17:03</x:v>
      </x:c>
      <x:c r="J406" t="n">
        <x:v>2010</x:v>
      </x:c>
      <x:c r="K406" t="n">
        <x:v>18.1886956</x:v>
      </x:c>
      <x:c r="L406" t="n">
        <x:v>-65.20896757</x:v>
      </x:c>
      <x:c r="M406" t="n">
        <x:v>38.348</x:v>
      </x:c>
      <x:c r="N406" t="str">
        <x:v>https://nccospublicstor.blob.core.windows.net/biomapper/usviinsularshelf2017/videos/low/GV2010_353.mp4</x:v>
      </x:c>
      <x:c r="O406" t="n">
        <x:v>1</x:v>
      </x:c>
      <x:c r="P406" t="n">
        <x:v>0</x:v>
      </x:c>
      <x:c r="Q406" t="n">
        <x:v>0</x:v>
      </x:c>
      <x:c r="R406" t="n">
        <x:v>0</x:v>
      </x:c>
      <x:c r="S406" t="n">
        <x:v>1</x:v>
      </x:c>
      <x:c r="T406" t="n">
        <x:v>1</x:v>
      </x:c>
      <x:c r="U406" t="n">
        <x:v>1</x:v>
      </x:c>
      <x:c r="V406" t="n">
        <x:v>1</x:v>
      </x:c>
      <x:c r="W406" t="n">
        <x:v>0</x:v>
      </x:c>
      <x:c r="X406" t="n">
        <x:v>0</x:v>
      </x:c>
      <x:c r="Y406" t="n">
        <x:v>0</x:v>
      </x:c>
      <x:c r="Z406" t="n">
        <x:v>1</x:v>
      </x:c>
      <x:c r="AA406" t="n">
        <x:v>4</x:v>
      </x:c>
      <x:c r="AB406" t="str">
        <x:v>Pass</x:v>
      </x:c>
      <x:c r="AC406" t="str"/>
      <x:c r="AD406" t="str"/>
    </x:row>
    <x:row r="407">
      <x:c r="A407" t="str">
        <x:v>REC0406</x:v>
      </x:c>
      <x:c r="B407" t="n">
        <x:v>405</x:v>
      </x:c>
      <x:c r="C407" t="str">
        <x:v>Puerto Rico</x:v>
      </x:c>
      <x:c r="D407" t="str">
        <x:v>GV</x:v>
      </x:c>
      <x:c r="E407" t="str">
        <x:v>Ground Validation</x:v>
      </x:c>
      <x:c r="F407" t="str">
        <x:v>Seaviewer Drop Camera</x:v>
      </x:c>
      <x:c r="G407" t="str">
        <x:v>GV2010_354</x:v>
      </x:c>
      <x:c r="H407" s="28" t="n">
        <x:v>40262</x:v>
      </x:c>
      <x:c r="I407" t="str">
        <x:v>11:22:36</x:v>
      </x:c>
      <x:c r="J407" t="n">
        <x:v>2010</x:v>
      </x:c>
      <x:c r="K407" t="n">
        <x:v>18.18588459</x:v>
      </x:c>
      <x:c r="L407" t="n">
        <x:v>-65.21332581</x:v>
      </x:c>
      <x:c r="M407" t="n">
        <x:v>37.879</x:v>
      </x:c>
      <x:c r="N407" t="str">
        <x:v>https://nccospublicstor.blob.core.windows.net/biomapper/usviinsularshelf2017/videos/low/GV2010_354.mp4</x:v>
      </x:c>
      <x:c r="O407" t="n">
        <x:v>1</x:v>
      </x:c>
      <x:c r="P407" t="n">
        <x:v>0</x:v>
      </x:c>
      <x:c r="Q407" t="n">
        <x:v>0</x:v>
      </x:c>
      <x:c r="R407" t="n">
        <x:v>0</x:v>
      </x:c>
      <x:c r="S407" t="n">
        <x:v>1</x:v>
      </x:c>
      <x:c r="T407" t="n">
        <x:v>1</x:v>
      </x:c>
      <x:c r="U407" t="n">
        <x:v>1</x:v>
      </x:c>
      <x:c r="V407" t="n">
        <x:v>1</x:v>
      </x:c>
      <x:c r="W407" t="n">
        <x:v>0</x:v>
      </x:c>
      <x:c r="X407" t="n">
        <x:v>0</x:v>
      </x:c>
      <x:c r="Y407" t="n">
        <x:v>0</x:v>
      </x:c>
      <x:c r="Z407" t="n">
        <x:v>1</x:v>
      </x:c>
      <x:c r="AA407" t="n">
        <x:v>4</x:v>
      </x:c>
      <x:c r="AB407" t="str">
        <x:v>Pass</x:v>
      </x:c>
      <x:c r="AC407" t="str"/>
      <x:c r="AD407" t="str"/>
    </x:row>
    <x:row r="408">
      <x:c r="A408" t="str">
        <x:v>REC0407</x:v>
      </x:c>
      <x:c r="B408" t="n">
        <x:v>406</x:v>
      </x:c>
      <x:c r="C408" t="str">
        <x:v>Puerto Rico</x:v>
      </x:c>
      <x:c r="D408" t="str">
        <x:v>GV</x:v>
      </x:c>
      <x:c r="E408" t="str">
        <x:v>Ground Validation</x:v>
      </x:c>
      <x:c r="F408" t="str">
        <x:v>Seaviewer Drop Camera</x:v>
      </x:c>
      <x:c r="G408" t="str">
        <x:v>GV2010_355</x:v>
      </x:c>
      <x:c r="H408" s="28" t="n">
        <x:v>40262</x:v>
      </x:c>
      <x:c r="I408" t="str">
        <x:v>11:27:25</x:v>
      </x:c>
      <x:c r="J408" t="n">
        <x:v>2010</x:v>
      </x:c>
      <x:c r="K408" t="n">
        <x:v>18.18745605</x:v>
      </x:c>
      <x:c r="L408" t="n">
        <x:v>-65.21539149</x:v>
      </x:c>
      <x:c r="M408" t="n">
        <x:v>37.163</x:v>
      </x:c>
      <x:c r="N408" t="str">
        <x:v>https://nccospublicstor.blob.core.windows.net/biomapper/usviinsularshelf2017/videos/low/GV2010_355.mp4</x:v>
      </x:c>
      <x:c r="O408" t="n">
        <x:v>1</x:v>
      </x:c>
      <x:c r="P408" t="n">
        <x:v>0</x:v>
      </x:c>
      <x:c r="Q408" t="n">
        <x:v>0</x:v>
      </x:c>
      <x:c r="R408" t="n">
        <x:v>1</x:v>
      </x:c>
      <x:c r="S408" t="n">
        <x:v>1</x:v>
      </x:c>
      <x:c r="T408" t="n">
        <x:v>1</x:v>
      </x:c>
      <x:c r="U408" t="n">
        <x:v>1</x:v>
      </x:c>
      <x:c r="V408" t="n">
        <x:v>1</x:v>
      </x:c>
      <x:c r="W408" t="n">
        <x:v>0</x:v>
      </x:c>
      <x:c r="X408" t="n">
        <x:v>0</x:v>
      </x:c>
      <x:c r="Y408" t="n">
        <x:v>0</x:v>
      </x:c>
      <x:c r="Z408" t="n">
        <x:v>2</x:v>
      </x:c>
      <x:c r="AA408" t="n">
        <x:v>4</x:v>
      </x:c>
      <x:c r="AB408" t="str">
        <x:v>Pass</x:v>
      </x:c>
      <x:c r="AC408" t="str"/>
      <x:c r="AD408" t="str"/>
    </x:row>
    <x:row r="409">
      <x:c r="A409" t="str">
        <x:v>REC0408</x:v>
      </x:c>
      <x:c r="B409" t="n">
        <x:v>407</x:v>
      </x:c>
      <x:c r="C409" t="str">
        <x:v>Puerto Rico</x:v>
      </x:c>
      <x:c r="D409" t="str">
        <x:v>GV</x:v>
      </x:c>
      <x:c r="E409" t="str">
        <x:v>Ground Validation</x:v>
      </x:c>
      <x:c r="F409" t="str">
        <x:v>Seaviewer Drop Camera</x:v>
      </x:c>
      <x:c r="G409" t="str">
        <x:v>GV2010_356</x:v>
      </x:c>
      <x:c r="H409" s="28" t="n">
        <x:v>40262</x:v>
      </x:c>
      <x:c r="I409" t="str">
        <x:v>11:32:53</x:v>
      </x:c>
      <x:c r="J409" t="n">
        <x:v>2010</x:v>
      </x:c>
      <x:c r="K409" t="n">
        <x:v>18.18495726</x:v>
      </x:c>
      <x:c r="L409" t="n">
        <x:v>-65.2182964</x:v>
      </x:c>
      <x:c r="M409" t="n">
        <x:v>38.093</x:v>
      </x:c>
      <x:c r="N409" t="str">
        <x:v>https://nccospublicstor.blob.core.windows.net/biomapper/usviinsularshelf2017/videos/low/GV2010_356.mp4</x:v>
      </x:c>
      <x:c r="O409" t="n">
        <x:v>1</x:v>
      </x:c>
      <x:c r="P409" t="n">
        <x:v>0</x:v>
      </x:c>
      <x:c r="Q409" t="n">
        <x:v>1</x:v>
      </x:c>
      <x:c r="R409" t="n">
        <x:v>1</x:v>
      </x:c>
      <x:c r="S409" t="n">
        <x:v>1</x:v>
      </x:c>
      <x:c r="T409" t="n">
        <x:v>0</x:v>
      </x:c>
      <x:c r="U409" t="n">
        <x:v>1</x:v>
      </x:c>
      <x:c r="V409" t="n">
        <x:v>1</x:v>
      </x:c>
      <x:c r="W409" t="n">
        <x:v>0</x:v>
      </x:c>
      <x:c r="X409" t="n">
        <x:v>0</x:v>
      </x:c>
      <x:c r="Y409" t="n">
        <x:v>0</x:v>
      </x:c>
      <x:c r="Z409" t="n">
        <x:v>3</x:v>
      </x:c>
      <x:c r="AA409" t="n">
        <x:v>3</x:v>
      </x:c>
      <x:c r="AB409" t="str">
        <x:v>Pass</x:v>
      </x:c>
      <x:c r="AC409" t="str"/>
      <x:c r="AD409" t="str"/>
    </x:row>
    <x:row r="410">
      <x:c r="A410" t="str">
        <x:v>REC0409</x:v>
      </x:c>
      <x:c r="B410" t="n">
        <x:v>408</x:v>
      </x:c>
      <x:c r="C410" t="str">
        <x:v>Puerto Rico</x:v>
      </x:c>
      <x:c r="D410" t="str">
        <x:v>GV</x:v>
      </x:c>
      <x:c r="E410" t="str">
        <x:v>Ground Validation</x:v>
      </x:c>
      <x:c r="F410" t="str">
        <x:v>Seaviewer Drop Camera</x:v>
      </x:c>
      <x:c r="G410" t="str">
        <x:v>GV2010_357</x:v>
      </x:c>
      <x:c r="H410" s="28" t="n">
        <x:v>40262</x:v>
      </x:c>
      <x:c r="I410" t="str">
        <x:v>11:37:57</x:v>
      </x:c>
      <x:c r="J410" t="n">
        <x:v>2010</x:v>
      </x:c>
      <x:c r="K410" t="n">
        <x:v>18.18705523</x:v>
      </x:c>
      <x:c r="L410" t="n">
        <x:v>-65.21882079</x:v>
      </x:c>
      <x:c r="M410" t="n">
        <x:v>39.618</x:v>
      </x:c>
      <x:c r="N410" t="str">
        <x:v>https://nccospublicstor.blob.core.windows.net/biomapper/usviinsularshelf2017/videos/low/GV2010_357.mp4</x:v>
      </x:c>
      <x:c r="O410" t="n">
        <x:v>0</x:v>
      </x:c>
      <x:c r="P410" t="n">
        <x:v>0</x:v>
      </x:c>
      <x:c r="Q410" t="n">
        <x:v>1</x:v>
      </x:c>
      <x:c r="R410" t="n">
        <x:v>1</x:v>
      </x:c>
      <x:c r="S410" t="n">
        <x:v>1</x:v>
      </x:c>
      <x:c r="T410" t="n">
        <x:v>0</x:v>
      </x:c>
      <x:c r="U410" t="n">
        <x:v>1</x:v>
      </x:c>
      <x:c r="V410" t="n">
        <x:v>1</x:v>
      </x:c>
      <x:c r="W410" t="n">
        <x:v>0</x:v>
      </x:c>
      <x:c r="X410" t="n">
        <x:v>0</x:v>
      </x:c>
      <x:c r="Y410" t="n">
        <x:v>0</x:v>
      </x:c>
      <x:c r="Z410" t="n">
        <x:v>2</x:v>
      </x:c>
      <x:c r="AA410" t="n">
        <x:v>3</x:v>
      </x:c>
      <x:c r="AB410" t="str">
        <x:v>Pass</x:v>
      </x:c>
      <x:c r="AC410" t="str"/>
      <x:c r="AD410" t="str"/>
    </x:row>
    <x:row r="411">
      <x:c r="A411" t="str">
        <x:v>REC0410</x:v>
      </x:c>
      <x:c r="B411" t="n">
        <x:v>409</x:v>
      </x:c>
      <x:c r="C411" t="str">
        <x:v>Puerto Rico</x:v>
      </x:c>
      <x:c r="D411" t="str">
        <x:v>GV</x:v>
      </x:c>
      <x:c r="E411" t="str">
        <x:v>Ground Validation</x:v>
      </x:c>
      <x:c r="F411" t="str">
        <x:v>Seaviewer Drop Camera</x:v>
      </x:c>
      <x:c r="G411" t="str">
        <x:v>GV2010_358</x:v>
      </x:c>
      <x:c r="H411" s="28" t="n">
        <x:v>40262</x:v>
      </x:c>
      <x:c r="I411" t="str">
        <x:v>11:43:37</x:v>
      </x:c>
      <x:c r="J411" t="n">
        <x:v>2010</x:v>
      </x:c>
      <x:c r="K411" t="n">
        <x:v>18.18714807</x:v>
      </x:c>
      <x:c r="L411" t="n">
        <x:v>-65.22350741</x:v>
      </x:c>
      <x:c r="M411" t="n">
        <x:v>33.363</x:v>
      </x:c>
      <x:c r="N411" t="str">
        <x:v>https://nccospublicstor.blob.core.windows.net/biomapper/usviinsularshelf2017/videos/low/GV2010_358.mp4</x:v>
      </x:c>
      <x:c r="O411" t="n">
        <x:v>1</x:v>
      </x:c>
      <x:c r="P411" t="n">
        <x:v>0</x:v>
      </x:c>
      <x:c r="Q411" t="n">
        <x:v>0</x:v>
      </x:c>
      <x:c r="R411" t="n">
        <x:v>1</x:v>
      </x:c>
      <x:c r="S411" t="n">
        <x:v>1</x:v>
      </x:c>
      <x:c r="T411" t="n">
        <x:v>0</x:v>
      </x:c>
      <x:c r="U411" t="n">
        <x:v>1</x:v>
      </x:c>
      <x:c r="V411" t="n">
        <x:v>1</x:v>
      </x:c>
      <x:c r="W411" t="n">
        <x:v>0</x:v>
      </x:c>
      <x:c r="X411" t="n">
        <x:v>0</x:v>
      </x:c>
      <x:c r="Y411" t="n">
        <x:v>0</x:v>
      </x:c>
      <x:c r="Z411" t="n">
        <x:v>2</x:v>
      </x:c>
      <x:c r="AA411" t="n">
        <x:v>3</x:v>
      </x:c>
      <x:c r="AB411" t="str">
        <x:v>Pass</x:v>
      </x:c>
      <x:c r="AC411" t="str"/>
      <x:c r="AD411" t="str"/>
    </x:row>
    <x:row r="412">
      <x:c r="A412" t="str">
        <x:v>REC0411</x:v>
      </x:c>
      <x:c r="B412" t="n">
        <x:v>410</x:v>
      </x:c>
      <x:c r="C412" t="str">
        <x:v>Puerto Rico</x:v>
      </x:c>
      <x:c r="D412" t="str">
        <x:v>GV</x:v>
      </x:c>
      <x:c r="E412" t="str">
        <x:v>Ground Validation</x:v>
      </x:c>
      <x:c r="F412" t="str">
        <x:v>Seaviewer Drop Camera</x:v>
      </x:c>
      <x:c r="G412" t="str">
        <x:v>GV2010_359</x:v>
      </x:c>
      <x:c r="H412" s="28" t="n">
        <x:v>40262</x:v>
      </x:c>
      <x:c r="I412" t="str">
        <x:v>11:49:00</x:v>
      </x:c>
      <x:c r="J412" t="n">
        <x:v>2010</x:v>
      </x:c>
      <x:c r="K412" t="n">
        <x:v>18.18764007</x:v>
      </x:c>
      <x:c r="L412" t="n">
        <x:v>-65.22798692</x:v>
      </x:c>
      <x:c r="M412" t="n">
        <x:v>35.025</x:v>
      </x:c>
      <x:c r="N412" t="str">
        <x:v>https://nccospublicstor.blob.core.windows.net/biomapper/usviinsularshelf2017/videos/low/GV2010_359.mp4</x:v>
      </x:c>
      <x:c r="O412" t="n">
        <x:v>1</x:v>
      </x:c>
      <x:c r="P412" t="n">
        <x:v>0</x:v>
      </x:c>
      <x:c r="Q412" t="n">
        <x:v>0</x:v>
      </x:c>
      <x:c r="R412" t="n">
        <x:v>0</x:v>
      </x:c>
      <x:c r="S412" t="n">
        <x:v>1</x:v>
      </x:c>
      <x:c r="T412" t="n">
        <x:v>0</x:v>
      </x:c>
      <x:c r="U412" t="n">
        <x:v>1</x:v>
      </x:c>
      <x:c r="V412" t="n">
        <x:v>1</x:v>
      </x:c>
      <x:c r="W412" t="n">
        <x:v>0</x:v>
      </x:c>
      <x:c r="X412" t="n">
        <x:v>0</x:v>
      </x:c>
      <x:c r="Y412" t="n">
        <x:v>0</x:v>
      </x:c>
      <x:c r="Z412" t="n">
        <x:v>1</x:v>
      </x:c>
      <x:c r="AA412" t="n">
        <x:v>3</x:v>
      </x:c>
      <x:c r="AB412" t="str">
        <x:v>Pass</x:v>
      </x:c>
      <x:c r="AC412" t="str"/>
      <x:c r="AD412" t="str"/>
    </x:row>
    <x:row r="413">
      <x:c r="A413" t="str">
        <x:v>REC0412</x:v>
      </x:c>
      <x:c r="B413" t="n">
        <x:v>411</x:v>
      </x:c>
      <x:c r="C413" t="str">
        <x:v>Puerto Rico</x:v>
      </x:c>
      <x:c r="D413" t="str">
        <x:v>GV</x:v>
      </x:c>
      <x:c r="E413" t="str">
        <x:v>Ground Validation</x:v>
      </x:c>
      <x:c r="F413" t="str">
        <x:v>Seaviewer Drop Camera</x:v>
      </x:c>
      <x:c r="G413" t="str">
        <x:v>GV2010_360</x:v>
      </x:c>
      <x:c r="H413" s="28" t="n">
        <x:v>40262</x:v>
      </x:c>
      <x:c r="I413" t="str">
        <x:v>11:53:05</x:v>
      </x:c>
      <x:c r="J413" t="n">
        <x:v>2010</x:v>
      </x:c>
      <x:c r="K413" t="n">
        <x:v>18.18940142</x:v>
      </x:c>
      <x:c r="L413" t="n">
        <x:v>-65.22664896</x:v>
      </x:c>
      <x:c r="M413" t="n">
        <x:v>37.34</x:v>
      </x:c>
      <x:c r="N413" t="str">
        <x:v>https://nccospublicstor.blob.core.windows.net/biomapper/usviinsularshelf2017/videos/low/GV2010_360.mp4</x:v>
      </x:c>
      <x:c r="O413" t="n">
        <x:v>1</x:v>
      </x:c>
      <x:c r="P413" t="n">
        <x:v>0</x:v>
      </x:c>
      <x:c r="Q413" t="n">
        <x:v>0</x:v>
      </x:c>
      <x:c r="R413" t="n">
        <x:v>0</x:v>
      </x:c>
      <x:c r="S413" t="n">
        <x:v>1</x:v>
      </x:c>
      <x:c r="T413" t="n">
        <x:v>1</x:v>
      </x:c>
      <x:c r="U413" t="n">
        <x:v>1</x:v>
      </x:c>
      <x:c r="V413" t="n">
        <x:v>1</x:v>
      </x:c>
      <x:c r="W413" t="n">
        <x:v>0</x:v>
      </x:c>
      <x:c r="X413" t="n">
        <x:v>0</x:v>
      </x:c>
      <x:c r="Y413" t="n">
        <x:v>0</x:v>
      </x:c>
      <x:c r="Z413" t="n">
        <x:v>1</x:v>
      </x:c>
      <x:c r="AA413" t="n">
        <x:v>4</x:v>
      </x:c>
      <x:c r="AB413" t="str">
        <x:v>Pass</x:v>
      </x:c>
      <x:c r="AC413" t="str"/>
      <x:c r="AD413" t="str"/>
    </x:row>
    <x:row r="414">
      <x:c r="A414" t="str">
        <x:v>REC0413</x:v>
      </x:c>
      <x:c r="B414" t="n">
        <x:v>412</x:v>
      </x:c>
      <x:c r="C414" t="str">
        <x:v>Puerto Rico</x:v>
      </x:c>
      <x:c r="D414" t="str">
        <x:v>GV</x:v>
      </x:c>
      <x:c r="E414" t="str">
        <x:v>Ground Validation</x:v>
      </x:c>
      <x:c r="F414" t="str">
        <x:v>Seaviewer Drop Camera</x:v>
      </x:c>
      <x:c r="G414" t="str">
        <x:v>GV2010_361</x:v>
      </x:c>
      <x:c r="H414" s="28" t="n">
        <x:v>40262</x:v>
      </x:c>
      <x:c r="I414" t="str">
        <x:v>12:00:05</x:v>
      </x:c>
      <x:c r="J414" t="n">
        <x:v>2010</x:v>
      </x:c>
      <x:c r="K414" t="n">
        <x:v>18.18884868</x:v>
      </x:c>
      <x:c r="L414" t="n">
        <x:v>-65.23359018</x:v>
      </x:c>
      <x:c r="M414" t="n">
        <x:v>32.413</x:v>
      </x:c>
      <x:c r="N414" t="str">
        <x:v>https://nccospublicstor.blob.core.windows.net/biomapper/usviinsularshelf2017/videos/low/GV2010_361.mp4</x:v>
      </x:c>
      <x:c r="O414" t="n">
        <x:v>1</x:v>
      </x:c>
      <x:c r="P414" t="n">
        <x:v>0</x:v>
      </x:c>
      <x:c r="Q414" t="n">
        <x:v>0</x:v>
      </x:c>
      <x:c r="R414" t="n">
        <x:v>1</x:v>
      </x:c>
      <x:c r="S414" t="n">
        <x:v>1</x:v>
      </x:c>
      <x:c r="T414" t="n">
        <x:v>1</x:v>
      </x:c>
      <x:c r="U414" t="n">
        <x:v>1</x:v>
      </x:c>
      <x:c r="V414" t="n">
        <x:v>1</x:v>
      </x:c>
      <x:c r="W414" t="n">
        <x:v>0</x:v>
      </x:c>
      <x:c r="X414" t="n">
        <x:v>0</x:v>
      </x:c>
      <x:c r="Y414" t="n">
        <x:v>0</x:v>
      </x:c>
      <x:c r="Z414" t="n">
        <x:v>2</x:v>
      </x:c>
      <x:c r="AA414" t="n">
        <x:v>4</x:v>
      </x:c>
      <x:c r="AB414" t="str">
        <x:v>Pass</x:v>
      </x:c>
      <x:c r="AC414" t="str"/>
      <x:c r="AD414" t="str"/>
    </x:row>
    <x:row r="415">
      <x:c r="A415" t="str">
        <x:v>REC0414</x:v>
      </x:c>
      <x:c r="B415" t="n">
        <x:v>413</x:v>
      </x:c>
      <x:c r="C415" t="str">
        <x:v>Puerto Rico</x:v>
      </x:c>
      <x:c r="D415" t="str">
        <x:v>GV</x:v>
      </x:c>
      <x:c r="E415" t="str">
        <x:v>Ground Validation</x:v>
      </x:c>
      <x:c r="F415" t="str">
        <x:v>Seaviewer Drop Camera</x:v>
      </x:c>
      <x:c r="G415" t="str">
        <x:v>GV2010_362</x:v>
      </x:c>
      <x:c r="H415" s="28" t="n">
        <x:v>40262</x:v>
      </x:c>
      <x:c r="I415" t="str">
        <x:v>13:41:52</x:v>
      </x:c>
      <x:c r="J415" t="n">
        <x:v>2010</x:v>
      </x:c>
      <x:c r="K415" t="n">
        <x:v>18.21487172</x:v>
      </x:c>
      <x:c r="L415" t="n">
        <x:v>-65.18488022</x:v>
      </x:c>
      <x:c r="M415" t="n">
        <x:v>40.317</x:v>
      </x:c>
      <x:c r="N415" t="str">
        <x:v>https://nccospublicstor.blob.core.windows.net/biomapper/usviinsularshelf2017/videos/low/GV2010_362.mp4</x:v>
      </x:c>
      <x:c r="O415" t="n">
        <x:v>1</x:v>
      </x:c>
      <x:c r="P415" t="n">
        <x:v>0</x:v>
      </x:c>
      <x:c r="Q415" t="n">
        <x:v>0</x:v>
      </x:c>
      <x:c r="R415" t="n">
        <x:v>1</x:v>
      </x:c>
      <x:c r="S415" t="n">
        <x:v>1</x:v>
      </x:c>
      <x:c r="T415" t="n">
        <x:v>1</x:v>
      </x:c>
      <x:c r="U415" t="n">
        <x:v>1</x:v>
      </x:c>
      <x:c r="V415" t="n">
        <x:v>1</x:v>
      </x:c>
      <x:c r="W415" t="n">
        <x:v>0</x:v>
      </x:c>
      <x:c r="X415" t="n">
        <x:v>0</x:v>
      </x:c>
      <x:c r="Y415" t="n">
        <x:v>0</x:v>
      </x:c>
      <x:c r="Z415" t="n">
        <x:v>2</x:v>
      </x:c>
      <x:c r="AA415" t="n">
        <x:v>4</x:v>
      </x:c>
      <x:c r="AB415" t="str">
        <x:v>Pass</x:v>
      </x:c>
      <x:c r="AC415" t="str"/>
      <x:c r="AD415" t="str"/>
    </x:row>
    <x:row r="416">
      <x:c r="A416" t="str">
        <x:v>REC0415</x:v>
      </x:c>
      <x:c r="B416" t="n">
        <x:v>414</x:v>
      </x:c>
      <x:c r="C416" t="str">
        <x:v>Puerto Rico</x:v>
      </x:c>
      <x:c r="D416" t="str">
        <x:v>GV</x:v>
      </x:c>
      <x:c r="E416" t="str">
        <x:v>Ground Validation</x:v>
      </x:c>
      <x:c r="F416" t="str">
        <x:v>Seaviewer Drop Camera</x:v>
      </x:c>
      <x:c r="G416" t="str">
        <x:v>GV2010_363</x:v>
      </x:c>
      <x:c r="H416" s="28" t="n">
        <x:v>40262</x:v>
      </x:c>
      <x:c r="I416" t="str">
        <x:v>13:48:41</x:v>
      </x:c>
      <x:c r="J416" t="n">
        <x:v>2010</x:v>
      </x:c>
      <x:c r="K416" t="n">
        <x:v>18.21369762</x:v>
      </x:c>
      <x:c r="L416" t="n">
        <x:v>-65.18667158</x:v>
      </x:c>
      <x:c r="M416" t="n">
        <x:v>31.324</x:v>
      </x:c>
      <x:c r="N416" t="str">
        <x:v>https://nccospublicstor.blob.core.windows.net/biomapper/usviinsularshelf2017/videos/low/GV2010_363.mp4</x:v>
      </x:c>
      <x:c r="O416" t="n">
        <x:v>1</x:v>
      </x:c>
      <x:c r="P416" t="n">
        <x:v>0</x:v>
      </x:c>
      <x:c r="Q416" t="n">
        <x:v>0</x:v>
      </x:c>
      <x:c r="R416" t="n">
        <x:v>0</x:v>
      </x:c>
      <x:c r="S416" t="n">
        <x:v>1</x:v>
      </x:c>
      <x:c r="T416" t="n">
        <x:v>1</x:v>
      </x:c>
      <x:c r="U416" t="n">
        <x:v>1</x:v>
      </x:c>
      <x:c r="V416" t="n">
        <x:v>1</x:v>
      </x:c>
      <x:c r="W416" t="n">
        <x:v>0</x:v>
      </x:c>
      <x:c r="X416" t="n">
        <x:v>0</x:v>
      </x:c>
      <x:c r="Y416" t="n">
        <x:v>0</x:v>
      </x:c>
      <x:c r="Z416" t="n">
        <x:v>1</x:v>
      </x:c>
      <x:c r="AA416" t="n">
        <x:v>4</x:v>
      </x:c>
      <x:c r="AB416" t="str">
        <x:v>Pass</x:v>
      </x:c>
      <x:c r="AC416" t="str"/>
      <x:c r="AD416" t="str"/>
    </x:row>
    <x:row r="417">
      <x:c r="A417" t="str">
        <x:v>REC0416</x:v>
      </x:c>
      <x:c r="B417" t="n">
        <x:v>415</x:v>
      </x:c>
      <x:c r="C417" t="str">
        <x:v>Puerto Rico</x:v>
      </x:c>
      <x:c r="D417" t="str">
        <x:v>GV</x:v>
      </x:c>
      <x:c r="E417" t="str">
        <x:v>Ground Validation</x:v>
      </x:c>
      <x:c r="F417" t="str">
        <x:v>Seaviewer Drop Camera</x:v>
      </x:c>
      <x:c r="G417" t="str">
        <x:v>GV2010_364</x:v>
      </x:c>
      <x:c r="H417" s="28" t="n">
        <x:v>40262</x:v>
      </x:c>
      <x:c r="I417" t="str">
        <x:v>13:55:02</x:v>
      </x:c>
      <x:c r="J417" t="n">
        <x:v>2010</x:v>
      </x:c>
      <x:c r="K417" t="n">
        <x:v>18.21571939</x:v>
      </x:c>
      <x:c r="L417" t="n">
        <x:v>-65.18752297</x:v>
      </x:c>
      <x:c r="M417" t="n">
        <x:v>32.955</x:v>
      </x:c>
      <x:c r="N417" t="str">
        <x:v>https://nccospublicstor.blob.core.windows.net/biomapper/usviinsularshelf2017/videos/low/GV2010_364.mp4</x:v>
      </x:c>
      <x:c r="O417" t="n">
        <x:v>1</x:v>
      </x:c>
      <x:c r="P417" t="n">
        <x:v>0</x:v>
      </x:c>
      <x:c r="Q417" t="n">
        <x:v>0</x:v>
      </x:c>
      <x:c r="R417" t="n">
        <x:v>0</x:v>
      </x:c>
      <x:c r="S417" t="n">
        <x:v>1</x:v>
      </x:c>
      <x:c r="T417" t="n">
        <x:v>0</x:v>
      </x:c>
      <x:c r="U417" t="n">
        <x:v>1</x:v>
      </x:c>
      <x:c r="V417" t="n">
        <x:v>1</x:v>
      </x:c>
      <x:c r="W417" t="n">
        <x:v>0</x:v>
      </x:c>
      <x:c r="X417" t="n">
        <x:v>0</x:v>
      </x:c>
      <x:c r="Y417" t="n">
        <x:v>0</x:v>
      </x:c>
      <x:c r="Z417" t="n">
        <x:v>1</x:v>
      </x:c>
      <x:c r="AA417" t="n">
        <x:v>3</x:v>
      </x:c>
      <x:c r="AB417" t="str">
        <x:v>Pass</x:v>
      </x:c>
      <x:c r="AC417" t="str"/>
      <x:c r="AD417" t="str"/>
    </x:row>
    <x:row r="418">
      <x:c r="A418" t="str">
        <x:v>REC0417</x:v>
      </x:c>
      <x:c r="B418" t="n">
        <x:v>416</x:v>
      </x:c>
      <x:c r="C418" t="str">
        <x:v>Puerto Rico</x:v>
      </x:c>
      <x:c r="D418" t="str">
        <x:v>GV</x:v>
      </x:c>
      <x:c r="E418" t="str">
        <x:v>Ground Validation</x:v>
      </x:c>
      <x:c r="F418" t="str">
        <x:v>Seaviewer Drop Camera</x:v>
      </x:c>
      <x:c r="G418" t="str">
        <x:v>GV2010_365</x:v>
      </x:c>
      <x:c r="H418" s="28" t="n">
        <x:v>40262</x:v>
      </x:c>
      <x:c r="I418" t="str">
        <x:v>14:01:42</x:v>
      </x:c>
      <x:c r="J418" t="n">
        <x:v>2010</x:v>
      </x:c>
      <x:c r="K418" t="n">
        <x:v>18.2147558</x:v>
      </x:c>
      <x:c r="L418" t="n">
        <x:v>-65.1898243</x:v>
      </x:c>
      <x:c r="M418" t="n">
        <x:v>32.422</x:v>
      </x:c>
      <x:c r="N418" t="str">
        <x:v>https://nccospublicstor.blob.core.windows.net/biomapper/usviinsularshelf2017/videos/low/GV2010_365.mp4</x:v>
      </x:c>
      <x:c r="O418" t="n">
        <x:v>1</x:v>
      </x:c>
      <x:c r="P418" t="n">
        <x:v>0</x:v>
      </x:c>
      <x:c r="Q418" t="n">
        <x:v>0</x:v>
      </x:c>
      <x:c r="R418" t="n">
        <x:v>0</x:v>
      </x:c>
      <x:c r="S418" t="n">
        <x:v>1</x:v>
      </x:c>
      <x:c r="T418" t="n">
        <x:v>0</x:v>
      </x:c>
      <x:c r="U418" t="n">
        <x:v>1</x:v>
      </x:c>
      <x:c r="V418" t="n">
        <x:v>1</x:v>
      </x:c>
      <x:c r="W418" t="n">
        <x:v>0</x:v>
      </x:c>
      <x:c r="X418" t="n">
        <x:v>0</x:v>
      </x:c>
      <x:c r="Y418" t="n">
        <x:v>0</x:v>
      </x:c>
      <x:c r="Z418" t="n">
        <x:v>1</x:v>
      </x:c>
      <x:c r="AA418" t="n">
        <x:v>3</x:v>
      </x:c>
      <x:c r="AB418" t="str">
        <x:v>Pass</x:v>
      </x:c>
      <x:c r="AC418" t="str"/>
      <x:c r="AD418" t="str"/>
    </x:row>
    <x:row r="419">
      <x:c r="A419" t="str">
        <x:v>REC0418</x:v>
      </x:c>
      <x:c r="B419" t="n">
        <x:v>417</x:v>
      </x:c>
      <x:c r="C419" t="str">
        <x:v>Puerto Rico</x:v>
      </x:c>
      <x:c r="D419" t="str">
        <x:v>GV</x:v>
      </x:c>
      <x:c r="E419" t="str">
        <x:v>Ground Validation</x:v>
      </x:c>
      <x:c r="F419" t="str">
        <x:v>Seaviewer Drop Camera</x:v>
      </x:c>
      <x:c r="G419" t="str">
        <x:v>GV2010_366</x:v>
      </x:c>
      <x:c r="H419" s="28" t="n">
        <x:v>40262</x:v>
      </x:c>
      <x:c r="I419" t="str">
        <x:v>14:06:36</x:v>
      </x:c>
      <x:c r="J419" t="n">
        <x:v>2010</x:v>
      </x:c>
      <x:c r="K419" t="n">
        <x:v>18.21633581</x:v>
      </x:c>
      <x:c r="L419" t="n">
        <x:v>-65.19053932</x:v>
      </x:c>
      <x:c r="M419" t="n">
        <x:v>33.264</x:v>
      </x:c>
      <x:c r="N419" t="str">
        <x:v>https://nccospublicstor.blob.core.windows.net/biomapper/usviinsularshelf2017/videos/low/GV2010_366.mp4</x:v>
      </x:c>
      <x:c r="O419" t="n">
        <x:v>1</x:v>
      </x:c>
      <x:c r="P419" t="n">
        <x:v>0</x:v>
      </x:c>
      <x:c r="Q419" t="n">
        <x:v>0</x:v>
      </x:c>
      <x:c r="R419" t="n">
        <x:v>0</x:v>
      </x:c>
      <x:c r="S419" t="n">
        <x:v>1</x:v>
      </x:c>
      <x:c r="T419" t="n">
        <x:v>1</x:v>
      </x:c>
      <x:c r="U419" t="n">
        <x:v>1</x:v>
      </x:c>
      <x:c r="V419" t="n">
        <x:v>1</x:v>
      </x:c>
      <x:c r="W419" t="n">
        <x:v>0</x:v>
      </x:c>
      <x:c r="X419" t="n">
        <x:v>0</x:v>
      </x:c>
      <x:c r="Y419" t="n">
        <x:v>0</x:v>
      </x:c>
      <x:c r="Z419" t="n">
        <x:v>1</x:v>
      </x:c>
      <x:c r="AA419" t="n">
        <x:v>4</x:v>
      </x:c>
      <x:c r="AB419" t="str">
        <x:v>Pass</x:v>
      </x:c>
      <x:c r="AC419" t="str"/>
      <x:c r="AD419" t="str"/>
    </x:row>
    <x:row r="420">
      <x:c r="A420" t="str">
        <x:v>REC0419</x:v>
      </x:c>
      <x:c r="B420" t="n">
        <x:v>418</x:v>
      </x:c>
      <x:c r="C420" t="str">
        <x:v>Puerto Rico</x:v>
      </x:c>
      <x:c r="D420" t="str">
        <x:v>GV</x:v>
      </x:c>
      <x:c r="E420" t="str">
        <x:v>Ground Validation</x:v>
      </x:c>
      <x:c r="F420" t="str">
        <x:v>Seaviewer Drop Camera</x:v>
      </x:c>
      <x:c r="G420" t="str">
        <x:v>GV2010_367</x:v>
      </x:c>
      <x:c r="H420" s="28" t="n">
        <x:v>40262</x:v>
      </x:c>
      <x:c r="I420" t="str">
        <x:v>14:15:05</x:v>
      </x:c>
      <x:c r="J420" t="n">
        <x:v>2010</x:v>
      </x:c>
      <x:c r="K420" t="n">
        <x:v>18.21561246</x:v>
      </x:c>
      <x:c r="L420" t="n">
        <x:v>-65.19301608</x:v>
      </x:c>
      <x:c r="M420" t="n">
        <x:v>33.966</x:v>
      </x:c>
      <x:c r="N420" t="str">
        <x:v>https://nccospublicstor.blob.core.windows.net/biomapper/usviinsularshelf2017/videos/low/GV2010_367.mp4</x:v>
      </x:c>
      <x:c r="O420" t="n">
        <x:v>1</x:v>
      </x:c>
      <x:c r="P420" t="n">
        <x:v>0</x:v>
      </x:c>
      <x:c r="Q420" t="n">
        <x:v>0</x:v>
      </x:c>
      <x:c r="R420" t="n">
        <x:v>0</x:v>
      </x:c>
      <x:c r="S420" t="n">
        <x:v>1</x:v>
      </x:c>
      <x:c r="T420" t="n">
        <x:v>0</x:v>
      </x:c>
      <x:c r="U420" t="n">
        <x:v>1</x:v>
      </x:c>
      <x:c r="V420" t="n">
        <x:v>1</x:v>
      </x:c>
      <x:c r="W420" t="n">
        <x:v>0</x:v>
      </x:c>
      <x:c r="X420" t="n">
        <x:v>0</x:v>
      </x:c>
      <x:c r="Y420" t="n">
        <x:v>0</x:v>
      </x:c>
      <x:c r="Z420" t="n">
        <x:v>1</x:v>
      </x:c>
      <x:c r="AA420" t="n">
        <x:v>3</x:v>
      </x:c>
      <x:c r="AB420" t="str">
        <x:v>Pass</x:v>
      </x:c>
      <x:c r="AC420" t="str"/>
      <x:c r="AD420" t="str"/>
    </x:row>
    <x:row r="421">
      <x:c r="A421" t="str">
        <x:v>REC0420</x:v>
      </x:c>
      <x:c r="B421" t="n">
        <x:v>419</x:v>
      </x:c>
      <x:c r="C421" t="str">
        <x:v>Puerto Rico</x:v>
      </x:c>
      <x:c r="D421" t="str">
        <x:v>GV</x:v>
      </x:c>
      <x:c r="E421" t="str">
        <x:v>Ground Validation</x:v>
      </x:c>
      <x:c r="F421" t="str">
        <x:v>Seaviewer Drop Camera</x:v>
      </x:c>
      <x:c r="G421" t="str">
        <x:v>GV2010_368</x:v>
      </x:c>
      <x:c r="H421" s="28" t="n">
        <x:v>40262</x:v>
      </x:c>
      <x:c r="I421" t="str">
        <x:v>14:21:43</x:v>
      </x:c>
      <x:c r="J421" t="n">
        <x:v>2010</x:v>
      </x:c>
      <x:c r="K421" t="n">
        <x:v>18.21536957</x:v>
      </x:c>
      <x:c r="L421" t="n">
        <x:v>-65.19387973</x:v>
      </x:c>
      <x:c r="M421" t="n">
        <x:v>37.879</x:v>
      </x:c>
      <x:c r="N421" t="str">
        <x:v>https://nccospublicstor.blob.core.windows.net/biomapper/usviinsularshelf2017/videos/low/GV2010_368.mp4</x:v>
      </x:c>
      <x:c r="O421" t="n">
        <x:v>1</x:v>
      </x:c>
      <x:c r="P421" t="n">
        <x:v>0</x:v>
      </x:c>
      <x:c r="Q421" t="n">
        <x:v>0</x:v>
      </x:c>
      <x:c r="R421" t="n">
        <x:v>0</x:v>
      </x:c>
      <x:c r="S421" t="n">
        <x:v>1</x:v>
      </x:c>
      <x:c r="T421" t="n">
        <x:v>0</x:v>
      </x:c>
      <x:c r="U421" t="n">
        <x:v>1</x:v>
      </x:c>
      <x:c r="V421" t="n">
        <x:v>1</x:v>
      </x:c>
      <x:c r="W421" t="n">
        <x:v>0</x:v>
      </x:c>
      <x:c r="X421" t="n">
        <x:v>0</x:v>
      </x:c>
      <x:c r="Y421" t="n">
        <x:v>0</x:v>
      </x:c>
      <x:c r="Z421" t="n">
        <x:v>1</x:v>
      </x:c>
      <x:c r="AA421" t="n">
        <x:v>3</x:v>
      </x:c>
      <x:c r="AB421" t="str">
        <x:v>Pass</x:v>
      </x:c>
      <x:c r="AC421" t="str"/>
      <x:c r="AD421" t="str"/>
    </x:row>
    <x:row r="422">
      <x:c r="A422" t="str">
        <x:v>REC0421</x:v>
      </x:c>
      <x:c r="B422" t="n">
        <x:v>420</x:v>
      </x:c>
      <x:c r="C422" t="str">
        <x:v>Puerto Rico</x:v>
      </x:c>
      <x:c r="D422" t="str">
        <x:v>GV</x:v>
      </x:c>
      <x:c r="E422" t="str">
        <x:v>Ground Validation</x:v>
      </x:c>
      <x:c r="F422" t="str">
        <x:v>Seaviewer Drop Camera</x:v>
      </x:c>
      <x:c r="G422" t="str">
        <x:v>GV2010_371</x:v>
      </x:c>
      <x:c r="H422" s="28" t="n">
        <x:v>40262</x:v>
      </x:c>
      <x:c r="I422" t="str">
        <x:v>14:29:38</x:v>
      </x:c>
      <x:c r="J422" t="n">
        <x:v>2010</x:v>
      </x:c>
      <x:c r="K422" t="n">
        <x:v>18.21855875</x:v>
      </x:c>
      <x:c r="L422" t="n">
        <x:v>-65.1919149</x:v>
      </x:c>
      <x:c r="M422" t="n">
        <x:v>36.08</x:v>
      </x:c>
      <x:c r="N422" t="str">
        <x:v>https://nccospublicstor.blob.core.windows.net/biomapper/usviinsularshelf2017/videos/low/GV2010_371.mp4</x:v>
      </x:c>
      <x:c r="O422" t="n">
        <x:v>1</x:v>
      </x:c>
      <x:c r="P422" t="n">
        <x:v>0</x:v>
      </x:c>
      <x:c r="Q422" t="n">
        <x:v>0</x:v>
      </x:c>
      <x:c r="R422" t="n">
        <x:v>0</x:v>
      </x:c>
      <x:c r="S422" t="n">
        <x:v>1</x:v>
      </x:c>
      <x:c r="T422" t="n">
        <x:v>1</x:v>
      </x:c>
      <x:c r="U422" t="n">
        <x:v>1</x:v>
      </x:c>
      <x:c r="V422" t="n">
        <x:v>1</x:v>
      </x:c>
      <x:c r="W422" t="n">
        <x:v>0</x:v>
      </x:c>
      <x:c r="X422" t="n">
        <x:v>0</x:v>
      </x:c>
      <x:c r="Y422" t="n">
        <x:v>0</x:v>
      </x:c>
      <x:c r="Z422" t="n">
        <x:v>1</x:v>
      </x:c>
      <x:c r="AA422" t="n">
        <x:v>4</x:v>
      </x:c>
      <x:c r="AB422" t="str">
        <x:v>Pass</x:v>
      </x:c>
      <x:c r="AC422" t="str"/>
      <x:c r="AD422" t="str"/>
    </x:row>
    <x:row r="423">
      <x:c r="A423" t="str">
        <x:v>REC0422</x:v>
      </x:c>
      <x:c r="B423" t="n">
        <x:v>421</x:v>
      </x:c>
      <x:c r="C423" t="str">
        <x:v>St. John, USVI</x:v>
      </x:c>
      <x:c r="D423" t="str">
        <x:v>GV</x:v>
      </x:c>
      <x:c r="E423" t="str">
        <x:v>Ground Validation</x:v>
      </x:c>
      <x:c r="F423" t="str">
        <x:v>Seaviewer Drop Camera</x:v>
      </x:c>
      <x:c r="G423" t="str">
        <x:v>GV2010_525</x:v>
      </x:c>
      <x:c r="H423" s="28" t="n">
        <x:v>40270</x:v>
      </x:c>
      <x:c r="I423" t="str">
        <x:v>09:55:14</x:v>
      </x:c>
      <x:c r="J423" t="n">
        <x:v>2010</x:v>
      </x:c>
      <x:c r="K423" t="n">
        <x:v>18.18675926</x:v>
      </x:c>
      <x:c r="L423" t="n">
        <x:v>-64.76780237</x:v>
      </x:c>
      <x:c r="M423" t="n">
        <x:v>55.989</x:v>
      </x:c>
      <x:c r="N423" t="str">
        <x:v>https://nccospublicstor.blob.core.windows.net/biomapper/usviinsularshelf2017/videos/low/GV2010_525.mp4</x:v>
      </x:c>
      <x:c r="O423" t="n">
        <x:v>0</x:v>
      </x:c>
      <x:c r="P423" t="n">
        <x:v>0</x:v>
      </x:c>
      <x:c r="Q423" t="n">
        <x:v>1</x:v>
      </x:c>
      <x:c r="R423" t="n">
        <x:v>0</x:v>
      </x:c>
      <x:c r="S423" t="n">
        <x:v>0</x:v>
      </x:c>
      <x:c r="T423" t="n">
        <x:v>0</x:v>
      </x:c>
      <x:c r="U423" t="n">
        <x:v>1</x:v>
      </x:c>
      <x:c r="V423" t="n">
        <x:v>1</x:v>
      </x:c>
      <x:c r="W423" t="n">
        <x:v>0</x:v>
      </x:c>
      <x:c r="X423" t="n">
        <x:v>0</x:v>
      </x:c>
      <x:c r="Y423" t="n">
        <x:v>0</x:v>
      </x:c>
      <x:c r="Z423" t="n">
        <x:v>1</x:v>
      </x:c>
      <x:c r="AA423" t="n">
        <x:v>2</x:v>
      </x:c>
      <x:c r="AB423" t="str">
        <x:v>Pass</x:v>
      </x:c>
      <x:c r="AC423" t="str"/>
      <x:c r="AD423" t="str"/>
    </x:row>
    <x:row r="424">
      <x:c r="A424" t="str">
        <x:v>REC0423</x:v>
      </x:c>
      <x:c r="B424" t="n">
        <x:v>422</x:v>
      </x:c>
      <x:c r="C424" t="str">
        <x:v>St. John, USVI</x:v>
      </x:c>
      <x:c r="D424" t="str">
        <x:v>GV</x:v>
      </x:c>
      <x:c r="E424" t="str">
        <x:v>Ground Validation</x:v>
      </x:c>
      <x:c r="F424" t="str">
        <x:v>Seaviewer Drop Camera</x:v>
      </x:c>
      <x:c r="G424" t="str">
        <x:v>GV2010_527</x:v>
      </x:c>
      <x:c r="H424" s="28" t="n">
        <x:v>40270</x:v>
      </x:c>
      <x:c r="I424" t="str">
        <x:v>10:05:56</x:v>
      </x:c>
      <x:c r="J424" t="n">
        <x:v>2010</x:v>
      </x:c>
      <x:c r="K424" t="n">
        <x:v>18.19258894</x:v>
      </x:c>
      <x:c r="L424" t="n">
        <x:v>-64.77823434</x:v>
      </x:c>
      <x:c r="M424" t="n">
        <x:v>56.547</x:v>
      </x:c>
      <x:c r="N424" t="str">
        <x:v>https://nccospublicstor.blob.core.windows.net/biomapper/usviinsularshelf2017/videos/low/GV2010_527.mp4</x:v>
      </x:c>
      <x:c r="O424" t="n">
        <x:v>0</x:v>
      </x:c>
      <x:c r="P424" t="n">
        <x:v>0</x:v>
      </x:c>
      <x:c r="Q424" t="n">
        <x:v>1</x:v>
      </x:c>
      <x:c r="R424" t="n">
        <x:v>0</x:v>
      </x:c>
      <x:c r="S424" t="n">
        <x:v>1</x:v>
      </x:c>
      <x:c r="T424" t="n">
        <x:v>0</x:v>
      </x:c>
      <x:c r="U424" t="n">
        <x:v>1</x:v>
      </x:c>
      <x:c r="V424" t="n">
        <x:v>1</x:v>
      </x:c>
      <x:c r="W424" t="n">
        <x:v>0</x:v>
      </x:c>
      <x:c r="X424" t="n">
        <x:v>0</x:v>
      </x:c>
      <x:c r="Y424" t="n">
        <x:v>0</x:v>
      </x:c>
      <x:c r="Z424" t="n">
        <x:v>1</x:v>
      </x:c>
      <x:c r="AA424" t="n">
        <x:v>3</x:v>
      </x:c>
      <x:c r="AB424" t="str">
        <x:v>Pass</x:v>
      </x:c>
      <x:c r="AC424" t="str"/>
      <x:c r="AD424" t="str"/>
    </x:row>
    <x:row r="425">
      <x:c r="A425" t="str">
        <x:v>REC0424</x:v>
      </x:c>
      <x:c r="B425" t="n">
        <x:v>423</x:v>
      </x:c>
      <x:c r="C425" t="str">
        <x:v>St. John, USVI</x:v>
      </x:c>
      <x:c r="D425" t="str">
        <x:v>GV</x:v>
      </x:c>
      <x:c r="E425" t="str">
        <x:v>Ground Validation</x:v>
      </x:c>
      <x:c r="F425" t="str">
        <x:v>Seaviewer Drop Camera</x:v>
      </x:c>
      <x:c r="G425" t="str">
        <x:v>GV2010_531</x:v>
      </x:c>
      <x:c r="H425" s="28" t="n">
        <x:v>40270</x:v>
      </x:c>
      <x:c r="I425" t="str">
        <x:v>08:33:30</x:v>
      </x:c>
      <x:c r="J425" t="n">
        <x:v>2010</x:v>
      </x:c>
      <x:c r="K425" t="n">
        <x:v>18.20805546</x:v>
      </x:c>
      <x:c r="L425" t="n">
        <x:v>-64.72259183</x:v>
      </x:c>
      <x:c r="M425" t="n">
        <x:v>54.08</x:v>
      </x:c>
      <x:c r="N425" t="str">
        <x:v>https://nccospublicstor.blob.core.windows.net/biomapper/usviinsularshelf2017/videos/low/GV2010_531.mp4</x:v>
      </x:c>
      <x:c r="O425" t="n">
        <x:v>0</x:v>
      </x:c>
      <x:c r="P425" t="n">
        <x:v>0</x:v>
      </x:c>
      <x:c r="Q425" t="n">
        <x:v>1</x:v>
      </x:c>
      <x:c r="R425" t="n">
        <x:v>0</x:v>
      </x:c>
      <x:c r="S425" t="n">
        <x:v>1</x:v>
      </x:c>
      <x:c r="T425" t="n">
        <x:v>0</x:v>
      </x:c>
      <x:c r="U425" t="n">
        <x:v>1</x:v>
      </x:c>
      <x:c r="V425" t="n">
        <x:v>1</x:v>
      </x:c>
      <x:c r="W425" t="n">
        <x:v>0</x:v>
      </x:c>
      <x:c r="X425" t="n">
        <x:v>0</x:v>
      </x:c>
      <x:c r="Y425" t="n">
        <x:v>0</x:v>
      </x:c>
      <x:c r="Z425" t="n">
        <x:v>1</x:v>
      </x:c>
      <x:c r="AA425" t="n">
        <x:v>3</x:v>
      </x:c>
      <x:c r="AB425" t="str">
        <x:v>Pass</x:v>
      </x:c>
      <x:c r="AC425" t="str"/>
      <x:c r="AD425" t="str"/>
    </x:row>
    <x:row r="426">
      <x:c r="A426" t="str">
        <x:v>REC0425</x:v>
      </x:c>
      <x:c r="B426" t="n">
        <x:v>424</x:v>
      </x:c>
      <x:c r="C426" t="str">
        <x:v>St. John, USVI</x:v>
      </x:c>
      <x:c r="D426" t="str">
        <x:v>GV</x:v>
      </x:c>
      <x:c r="E426" t="str">
        <x:v>Ground Validation</x:v>
      </x:c>
      <x:c r="F426" t="str">
        <x:v>Seaviewer Drop Camera</x:v>
      </x:c>
      <x:c r="G426" t="str">
        <x:v>GV2010_532</x:v>
      </x:c>
      <x:c r="H426" s="28" t="n">
        <x:v>40270</x:v>
      </x:c>
      <x:c r="I426" t="str">
        <x:v>08:25:23</x:v>
      </x:c>
      <x:c r="J426" t="n">
        <x:v>2010</x:v>
      </x:c>
      <x:c r="K426" t="n">
        <x:v>18.21081891</x:v>
      </x:c>
      <x:c r="L426" t="n">
        <x:v>-64.71260244</x:v>
      </x:c>
      <x:c r="M426" t="n">
        <x:v>57.112</x:v>
      </x:c>
      <x:c r="N426" t="str">
        <x:v>https://nccospublicstor.blob.core.windows.net/biomapper/usviinsularshelf2017/videos/low/GV2010_532.mp4</x:v>
      </x:c>
      <x:c r="O426" t="n">
        <x:v>0</x:v>
      </x:c>
      <x:c r="P426" t="n">
        <x:v>0</x:v>
      </x:c>
      <x:c r="Q426" t="n">
        <x:v>1</x:v>
      </x:c>
      <x:c r="R426" t="n">
        <x:v>0</x:v>
      </x:c>
      <x:c r="S426" t="n">
        <x:v>1</x:v>
      </x:c>
      <x:c r="T426" t="n">
        <x:v>0</x:v>
      </x:c>
      <x:c r="U426" t="n">
        <x:v>1</x:v>
      </x:c>
      <x:c r="V426" t="n">
        <x:v>1</x:v>
      </x:c>
      <x:c r="W426" t="n">
        <x:v>0</x:v>
      </x:c>
      <x:c r="X426" t="n">
        <x:v>0</x:v>
      </x:c>
      <x:c r="Y426" t="n">
        <x:v>0</x:v>
      </x:c>
      <x:c r="Z426" t="n">
        <x:v>1</x:v>
      </x:c>
      <x:c r="AA426" t="n">
        <x:v>3</x:v>
      </x:c>
      <x:c r="AB426" t="str">
        <x:v>Pass</x:v>
      </x:c>
      <x:c r="AC426" t="str"/>
      <x:c r="AD426" t="str"/>
    </x:row>
    <x:row r="427">
      <x:c r="A427" t="str">
        <x:v>REC0426</x:v>
      </x:c>
      <x:c r="B427" t="n">
        <x:v>425</x:v>
      </x:c>
      <x:c r="C427" t="str">
        <x:v>St. John, USVI</x:v>
      </x:c>
      <x:c r="D427" t="str">
        <x:v>GV</x:v>
      </x:c>
      <x:c r="E427" t="str">
        <x:v>Ground Validation</x:v>
      </x:c>
      <x:c r="F427" t="str">
        <x:v>Seaviewer Drop Camera</x:v>
      </x:c>
      <x:c r="G427" t="str">
        <x:v>GV2010_534</x:v>
      </x:c>
      <x:c r="H427" s="28" t="n">
        <x:v>40270</x:v>
      </x:c>
      <x:c r="I427" t="str">
        <x:v>08:16:27</x:v>
      </x:c>
      <x:c r="J427" t="n">
        <x:v>2010</x:v>
      </x:c>
      <x:c r="K427" t="n">
        <x:v>18.21564954</x:v>
      </x:c>
      <x:c r="L427" t="n">
        <x:v>-64.70354945</x:v>
      </x:c>
      <x:c r="M427" t="n">
        <x:v>55.351</x:v>
      </x:c>
      <x:c r="N427" t="str">
        <x:v>https://nccospublicstor.blob.core.windows.net/biomapper/usviinsularshelf2017/videos/low/GV2010_534.mp4</x:v>
      </x:c>
      <x:c r="O427" t="n">
        <x:v>0</x:v>
      </x:c>
      <x:c r="P427" t="n">
        <x:v>0</x:v>
      </x:c>
      <x:c r="Q427" t="n">
        <x:v>1</x:v>
      </x:c>
      <x:c r="R427" t="n">
        <x:v>0</x:v>
      </x:c>
      <x:c r="S427" t="n">
        <x:v>1</x:v>
      </x:c>
      <x:c r="T427" t="n">
        <x:v>0</x:v>
      </x:c>
      <x:c r="U427" t="n">
        <x:v>1</x:v>
      </x:c>
      <x:c r="V427" t="n">
        <x:v>1</x:v>
      </x:c>
      <x:c r="W427" t="n">
        <x:v>0</x:v>
      </x:c>
      <x:c r="X427" t="n">
        <x:v>0</x:v>
      </x:c>
      <x:c r="Y427" t="n">
        <x:v>0</x:v>
      </x:c>
      <x:c r="Z427" t="n">
        <x:v>1</x:v>
      </x:c>
      <x:c r="AA427" t="n">
        <x:v>3</x:v>
      </x:c>
      <x:c r="AB427" t="str">
        <x:v>Pass</x:v>
      </x:c>
      <x:c r="AC427" t="str"/>
      <x:c r="AD427" t="str"/>
    </x:row>
    <x:row r="428">
      <x:c r="A428" t="str">
        <x:v>REC0427</x:v>
      </x:c>
      <x:c r="B428" t="n">
        <x:v>426</x:v>
      </x:c>
      <x:c r="C428" t="str">
        <x:v>St. John, USVI</x:v>
      </x:c>
      <x:c r="D428" t="str">
        <x:v>GV</x:v>
      </x:c>
      <x:c r="E428" t="str">
        <x:v>Ground Validation</x:v>
      </x:c>
      <x:c r="F428" t="str">
        <x:v>Seaviewer Drop Camera</x:v>
      </x:c>
      <x:c r="G428" t="str">
        <x:v>GV2010_536</x:v>
      </x:c>
      <x:c r="H428" s="28" t="n">
        <x:v>40270</x:v>
      </x:c>
      <x:c r="I428" t="str">
        <x:v>10:42:27</x:v>
      </x:c>
      <x:c r="J428" t="n">
        <x:v>2010</x:v>
      </x:c>
      <x:c r="K428" t="n">
        <x:v>18.21340448</x:v>
      </x:c>
      <x:c r="L428" t="n">
        <x:v>-64.78032692</x:v>
      </x:c>
      <x:c r="M428" t="n">
        <x:v>52.092</x:v>
      </x:c>
      <x:c r="N428" t="str">
        <x:v>https://nccospublicstor.blob.core.windows.net/biomapper/usviinsularshelf2017/videos/low/GV2010_536.mp4</x:v>
      </x:c>
      <x:c r="O428" t="n">
        <x:v>0</x:v>
      </x:c>
      <x:c r="P428" t="n">
        <x:v>0</x:v>
      </x:c>
      <x:c r="Q428" t="n">
        <x:v>1</x:v>
      </x:c>
      <x:c r="R428" t="n">
        <x:v>0</x:v>
      </x:c>
      <x:c r="S428" t="n">
        <x:v>1</x:v>
      </x:c>
      <x:c r="T428" t="n">
        <x:v>0</x:v>
      </x:c>
      <x:c r="U428" t="n">
        <x:v>1</x:v>
      </x:c>
      <x:c r="V428" t="n">
        <x:v>1</x:v>
      </x:c>
      <x:c r="W428" t="n">
        <x:v>0</x:v>
      </x:c>
      <x:c r="X428" t="n">
        <x:v>0</x:v>
      </x:c>
      <x:c r="Y428" t="n">
        <x:v>0</x:v>
      </x:c>
      <x:c r="Z428" t="n">
        <x:v>1</x:v>
      </x:c>
      <x:c r="AA428" t="n">
        <x:v>3</x:v>
      </x:c>
      <x:c r="AB428" t="str">
        <x:v>Pass</x:v>
      </x:c>
      <x:c r="AC428" t="str"/>
      <x:c r="AD428" t="str"/>
    </x:row>
    <x:row r="429">
      <x:c r="A429" t="str">
        <x:v>REC0428</x:v>
      </x:c>
      <x:c r="B429" t="n">
        <x:v>427</x:v>
      </x:c>
      <x:c r="C429" t="str">
        <x:v>St. John, USVI</x:v>
      </x:c>
      <x:c r="D429" t="str">
        <x:v>GV</x:v>
      </x:c>
      <x:c r="E429" t="str">
        <x:v>Ground Validation</x:v>
      </x:c>
      <x:c r="F429" t="str">
        <x:v>Seaviewer Drop Camera</x:v>
      </x:c>
      <x:c r="G429" t="str">
        <x:v>GV2010_539</x:v>
      </x:c>
      <x:c r="H429" s="28" t="n">
        <x:v>40270</x:v>
      </x:c>
      <x:c r="I429" t="str">
        <x:v>11:06:01</x:v>
      </x:c>
      <x:c r="J429" t="n">
        <x:v>2010</x:v>
      </x:c>
      <x:c r="K429" t="n">
        <x:v>18.22061249</x:v>
      </x:c>
      <x:c r="L429" t="n">
        <x:v>-64.76181499</x:v>
      </x:c>
      <x:c r="M429" t="n">
        <x:v>54.883</x:v>
      </x:c>
      <x:c r="N429" t="str">
        <x:v>https://nccospublicstor.blob.core.windows.net/biomapper/usviinsularshelf2017/videos/low/GV2010_539.mp4</x:v>
      </x:c>
      <x:c r="O429" t="n">
        <x:v>0</x:v>
      </x:c>
      <x:c r="P429" t="n">
        <x:v>0</x:v>
      </x:c>
      <x:c r="Q429" t="n">
        <x:v>1</x:v>
      </x:c>
      <x:c r="R429" t="n">
        <x:v>1</x:v>
      </x:c>
      <x:c r="S429" t="n">
        <x:v>0</x:v>
      </x:c>
      <x:c r="T429" t="n">
        <x:v>0</x:v>
      </x:c>
      <x:c r="U429" t="n">
        <x:v>1</x:v>
      </x:c>
      <x:c r="V429" t="n">
        <x:v>1</x:v>
      </x:c>
      <x:c r="W429" t="n">
        <x:v>0</x:v>
      </x:c>
      <x:c r="X429" t="n">
        <x:v>0</x:v>
      </x:c>
      <x:c r="Y429" t="n">
        <x:v>0</x:v>
      </x:c>
      <x:c r="Z429" t="n">
        <x:v>2</x:v>
      </x:c>
      <x:c r="AA429" t="n">
        <x:v>2</x:v>
      </x:c>
      <x:c r="AB429" t="str">
        <x:v>Pass</x:v>
      </x:c>
      <x:c r="AC429" t="str"/>
      <x:c r="AD429" t="str"/>
    </x:row>
    <x:row r="430">
      <x:c r="A430" t="str">
        <x:v>REC0429</x:v>
      </x:c>
      <x:c r="B430" t="n">
        <x:v>428</x:v>
      </x:c>
      <x:c r="C430" t="str">
        <x:v>St. John, USVI</x:v>
      </x:c>
      <x:c r="D430" t="str">
        <x:v>GV</x:v>
      </x:c>
      <x:c r="E430" t="str">
        <x:v>Ground Validation</x:v>
      </x:c>
      <x:c r="F430" t="str">
        <x:v>Seaviewer Drop Camera</x:v>
      </x:c>
      <x:c r="G430" t="str">
        <x:v>GV2010_549</x:v>
      </x:c>
      <x:c r="H430" s="28" t="n">
        <x:v>40270</x:v>
      </x:c>
      <x:c r="I430" t="str">
        <x:v>10:13:54</x:v>
      </x:c>
      <x:c r="J430" t="n">
        <x:v>2010</x:v>
      </x:c>
      <x:c r="K430" t="n">
        <x:v>18.19029087</x:v>
      </x:c>
      <x:c r="L430" t="n">
        <x:v>-64.78659578</x:v>
      </x:c>
      <x:c r="M430" t="n">
        <x:v>58.882</x:v>
      </x:c>
      <x:c r="N430" t="str">
        <x:v>https://nccospublicstor.blob.core.windows.net/biomapper/usviinsularshelf2017/videos/low/GV2010_549.mp4</x:v>
      </x:c>
      <x:c r="O430" t="n">
        <x:v>0</x:v>
      </x:c>
      <x:c r="P430" t="n">
        <x:v>0</x:v>
      </x:c>
      <x:c r="Q430" t="n">
        <x:v>1</x:v>
      </x:c>
      <x:c r="R430" t="n">
        <x:v>0</x:v>
      </x:c>
      <x:c r="S430" t="n">
        <x:v>1</x:v>
      </x:c>
      <x:c r="T430" t="n">
        <x:v>0</x:v>
      </x:c>
      <x:c r="U430" t="n">
        <x:v>1</x:v>
      </x:c>
      <x:c r="V430" t="n">
        <x:v>1</x:v>
      </x:c>
      <x:c r="W430" t="n">
        <x:v>0</x:v>
      </x:c>
      <x:c r="X430" t="n">
        <x:v>0</x:v>
      </x:c>
      <x:c r="Y430" t="n">
        <x:v>0</x:v>
      </x:c>
      <x:c r="Z430" t="n">
        <x:v>1</x:v>
      </x:c>
      <x:c r="AA430" t="n">
        <x:v>3</x:v>
      </x:c>
      <x:c r="AB430" t="str">
        <x:v>Pass</x:v>
      </x:c>
      <x:c r="AC430" t="str"/>
      <x:c r="AD430" t="str"/>
    </x:row>
    <x:row r="431">
      <x:c r="A431" t="str">
        <x:v>REC0430</x:v>
      </x:c>
      <x:c r="B431" t="n">
        <x:v>429</x:v>
      </x:c>
      <x:c r="C431" t="str">
        <x:v>St. John, USVI</x:v>
      </x:c>
      <x:c r="D431" t="str">
        <x:v>GV</x:v>
      </x:c>
      <x:c r="E431" t="str">
        <x:v>Ground Validation</x:v>
      </x:c>
      <x:c r="F431" t="str">
        <x:v>Seaviewer Drop Camera</x:v>
      </x:c>
      <x:c r="G431" t="str">
        <x:v>GV2010_550</x:v>
      </x:c>
      <x:c r="H431" s="28" t="n">
        <x:v>40270</x:v>
      </x:c>
      <x:c r="I431" t="str">
        <x:v>09:22:58</x:v>
      </x:c>
      <x:c r="J431" t="n">
        <x:v>2010</x:v>
      </x:c>
      <x:c r="K431" t="n">
        <x:v>18.18149494</x:v>
      </x:c>
      <x:c r="L431" t="n">
        <x:v>-64.7570543</x:v>
      </x:c>
      <x:c r="M431" t="n">
        <x:v>55.416</x:v>
      </x:c>
      <x:c r="N431" t="str">
        <x:v>https://nccospublicstor.blob.core.windows.net/biomapper/usviinsularshelf2017/videos/low/GV2010_550.mp4</x:v>
      </x:c>
      <x:c r="O431" t="n">
        <x:v>0</x:v>
      </x:c>
      <x:c r="P431" t="n">
        <x:v>0</x:v>
      </x:c>
      <x:c r="Q431" t="n">
        <x:v>1</x:v>
      </x:c>
      <x:c r="R431" t="n">
        <x:v>0</x:v>
      </x:c>
      <x:c r="S431" t="n">
        <x:v>0</x:v>
      </x:c>
      <x:c r="T431" t="n">
        <x:v>0</x:v>
      </x:c>
      <x:c r="U431" t="n">
        <x:v>1</x:v>
      </x:c>
      <x:c r="V431" t="n">
        <x:v>1</x:v>
      </x:c>
      <x:c r="W431" t="n">
        <x:v>0</x:v>
      </x:c>
      <x:c r="X431" t="n">
        <x:v>0</x:v>
      </x:c>
      <x:c r="Y431" t="n">
        <x:v>0</x:v>
      </x:c>
      <x:c r="Z431" t="n">
        <x:v>1</x:v>
      </x:c>
      <x:c r="AA431" t="n">
        <x:v>2</x:v>
      </x:c>
      <x:c r="AB431" t="str">
        <x:v>Pass</x:v>
      </x:c>
      <x:c r="AC431" t="str"/>
      <x:c r="AD431" t="str"/>
    </x:row>
    <x:row r="432">
      <x:c r="A432" t="str">
        <x:v>REC0431</x:v>
      </x:c>
      <x:c r="B432" t="n">
        <x:v>430</x:v>
      </x:c>
      <x:c r="C432" t="str">
        <x:v>St. John, USVI</x:v>
      </x:c>
      <x:c r="D432" t="str">
        <x:v>GV</x:v>
      </x:c>
      <x:c r="E432" t="str">
        <x:v>Ground Validation</x:v>
      </x:c>
      <x:c r="F432" t="str">
        <x:v>Seaviewer Drop Camera</x:v>
      </x:c>
      <x:c r="G432" t="str">
        <x:v>GV2010_590</x:v>
      </x:c>
      <x:c r="H432" s="28" t="n">
        <x:v>40273</x:v>
      </x:c>
      <x:c r="I432" t="str">
        <x:v>08:29:09</x:v>
      </x:c>
      <x:c r="J432" t="n">
        <x:v>2010</x:v>
      </x:c>
      <x:c r="K432" t="n">
        <x:v>18.2347901</x:v>
      </x:c>
      <x:c r="L432" t="n">
        <x:v>-64.71254086</x:v>
      </x:c>
      <x:c r="M432" t="n">
        <x:v>49.966</x:v>
      </x:c>
      <x:c r="N432" t="str">
        <x:v>https://nccospublicstor.blob.core.windows.net/biomapper/usviinsularshelf2017/videos/low/GV2010_590.mp4</x:v>
      </x:c>
      <x:c r="O432" t="n">
        <x:v>0</x:v>
      </x:c>
      <x:c r="P432" t="n">
        <x:v>0</x:v>
      </x:c>
      <x:c r="Q432" t="n">
        <x:v>1</x:v>
      </x:c>
      <x:c r="R432" t="n">
        <x:v>0</x:v>
      </x:c>
      <x:c r="S432" t="n">
        <x:v>0</x:v>
      </x:c>
      <x:c r="T432" t="n">
        <x:v>0</x:v>
      </x:c>
      <x:c r="U432" t="n">
        <x:v>1</x:v>
      </x:c>
      <x:c r="V432" t="n">
        <x:v>1</x:v>
      </x:c>
      <x:c r="W432" t="n">
        <x:v>0</x:v>
      </x:c>
      <x:c r="X432" t="n">
        <x:v>0</x:v>
      </x:c>
      <x:c r="Y432" t="n">
        <x:v>0</x:v>
      </x:c>
      <x:c r="Z432" t="n">
        <x:v>1</x:v>
      </x:c>
      <x:c r="AA432" t="n">
        <x:v>2</x:v>
      </x:c>
      <x:c r="AB432" t="str">
        <x:v>Pass</x:v>
      </x:c>
      <x:c r="AC432" t="str"/>
      <x:c r="AD432" t="str"/>
    </x:row>
    <x:row r="433">
      <x:c r="A433" t="str">
        <x:v>REC0432</x:v>
      </x:c>
      <x:c r="B433" t="n">
        <x:v>431</x:v>
      </x:c>
      <x:c r="C433" t="str">
        <x:v>St. John, USVI</x:v>
      </x:c>
      <x:c r="D433" t="str">
        <x:v>GV</x:v>
      </x:c>
      <x:c r="E433" t="str">
        <x:v>Ground Validation</x:v>
      </x:c>
      <x:c r="F433" t="str">
        <x:v>Seaviewer Drop Camera</x:v>
      </x:c>
      <x:c r="G433" t="str">
        <x:v>GV2010_591</x:v>
      </x:c>
      <x:c r="H433" s="28" t="n">
        <x:v>40273</x:v>
      </x:c>
      <x:c r="I433" t="str">
        <x:v>08:46:00</x:v>
      </x:c>
      <x:c r="J433" t="n">
        <x:v>2010</x:v>
      </x:c>
      <x:c r="K433" t="n">
        <x:v>18.23412871</x:v>
      </x:c>
      <x:c r="L433" t="n">
        <x:v>-64.7213275</x:v>
      </x:c>
      <x:c r="M433" t="n">
        <x:v>48.578</x:v>
      </x:c>
      <x:c r="N433" t="str">
        <x:v>https://nccospublicstor.blob.core.windows.net/biomapper/usviinsularshelf2017/videos/low/GV2010_591.mp4</x:v>
      </x:c>
      <x:c r="O433" t="n">
        <x:v>0</x:v>
      </x:c>
      <x:c r="P433" t="n">
        <x:v>1</x:v>
      </x:c>
      <x:c r="Q433" t="n">
        <x:v>1</x:v>
      </x:c>
      <x:c r="R433" t="n">
        <x:v>1</x:v>
      </x:c>
      <x:c r="S433" t="n">
        <x:v>0</x:v>
      </x:c>
      <x:c r="T433" t="n">
        <x:v>0</x:v>
      </x:c>
      <x:c r="U433" t="n">
        <x:v>1</x:v>
      </x:c>
      <x:c r="V433" t="n">
        <x:v>1</x:v>
      </x:c>
      <x:c r="W433" t="n">
        <x:v>0</x:v>
      </x:c>
      <x:c r="X433" t="n">
        <x:v>0</x:v>
      </x:c>
      <x:c r="Y433" t="n">
        <x:v>0</x:v>
      </x:c>
      <x:c r="Z433" t="n">
        <x:v>3</x:v>
      </x:c>
      <x:c r="AA433" t="n">
        <x:v>2</x:v>
      </x:c>
      <x:c r="AB433" t="str">
        <x:v>Pass</x:v>
      </x:c>
      <x:c r="AC433" t="str"/>
      <x:c r="AD433" t="str"/>
    </x:row>
    <x:row r="434">
      <x:c r="A434" t="str">
        <x:v>REC0433</x:v>
      </x:c>
      <x:c r="B434" t="n">
        <x:v>432</x:v>
      </x:c>
      <x:c r="C434" t="str">
        <x:v>St. John, USVI</x:v>
      </x:c>
      <x:c r="D434" t="str">
        <x:v>GV</x:v>
      </x:c>
      <x:c r="E434" t="str">
        <x:v>Ground Validation</x:v>
      </x:c>
      <x:c r="F434" t="str">
        <x:v>Seaviewer Drop Camera</x:v>
      </x:c>
      <x:c r="G434" t="str">
        <x:v>GV2010_592</x:v>
      </x:c>
      <x:c r="H434" s="28" t="n">
        <x:v>40273</x:v>
      </x:c>
      <x:c r="I434" t="str">
        <x:v>09:00:14</x:v>
      </x:c>
      <x:c r="J434" t="n">
        <x:v>2010</x:v>
      </x:c>
      <x:c r="K434" t="n">
        <x:v>18.23200521</x:v>
      </x:c>
      <x:c r="L434" t="n">
        <x:v>-64.72963216</x:v>
      </x:c>
      <x:c r="M434" t="n">
        <x:v>48.545</x:v>
      </x:c>
      <x:c r="N434" t="str">
        <x:v>https://nccospublicstor.blob.core.windows.net/biomapper/usviinsularshelf2017/videos/low/GV2010_592.mp4</x:v>
      </x:c>
      <x:c r="O434" t="n">
        <x:v>0</x:v>
      </x:c>
      <x:c r="P434" t="n">
        <x:v>1</x:v>
      </x:c>
      <x:c r="Q434" t="n">
        <x:v>0</x:v>
      </x:c>
      <x:c r="R434" t="n">
        <x:v>0</x:v>
      </x:c>
      <x:c r="S434" t="n">
        <x:v>1</x:v>
      </x:c>
      <x:c r="T434" t="n">
        <x:v>0</x:v>
      </x:c>
      <x:c r="U434" t="n">
        <x:v>1</x:v>
      </x:c>
      <x:c r="V434" t="n">
        <x:v>1</x:v>
      </x:c>
      <x:c r="W434" t="n">
        <x:v>0</x:v>
      </x:c>
      <x:c r="X434" t="n">
        <x:v>0</x:v>
      </x:c>
      <x:c r="Y434" t="n">
        <x:v>0</x:v>
      </x:c>
      <x:c r="Z434" t="n">
        <x:v>1</x:v>
      </x:c>
      <x:c r="AA434" t="n">
        <x:v>3</x:v>
      </x:c>
      <x:c r="AB434" t="str">
        <x:v>Pass</x:v>
      </x:c>
      <x:c r="AC434" t="str"/>
      <x:c r="AD434" t="str"/>
    </x:row>
    <x:row r="435">
      <x:c r="A435" t="str">
        <x:v>REC0434</x:v>
      </x:c>
      <x:c r="B435" t="n">
        <x:v>433</x:v>
      </x:c>
      <x:c r="C435" t="str">
        <x:v>St. John, USVI</x:v>
      </x:c>
      <x:c r="D435" t="str">
        <x:v>GV</x:v>
      </x:c>
      <x:c r="E435" t="str">
        <x:v>Ground Validation</x:v>
      </x:c>
      <x:c r="F435" t="str">
        <x:v>Seaviewer Drop Camera</x:v>
      </x:c>
      <x:c r="G435" t="str">
        <x:v>GV2010_593</x:v>
      </x:c>
      <x:c r="H435" s="28" t="n">
        <x:v>40273</x:v>
      </x:c>
      <x:c r="I435" t="str">
        <x:v>08:51:56</x:v>
      </x:c>
      <x:c r="J435" t="n">
        <x:v>2010</x:v>
      </x:c>
      <x:c r="K435" t="n">
        <x:v>18.22891766</x:v>
      </x:c>
      <x:c r="L435" t="n">
        <x:v>-64.720935</x:v>
      </x:c>
      <x:c r="M435" t="n">
        <x:v>54.331</x:v>
      </x:c>
      <x:c r="N435" t="str">
        <x:v>https://nccospublicstor.blob.core.windows.net/biomapper/usviinsularshelf2017/videos/low/GV2010_593.mp4</x:v>
      </x:c>
      <x:c r="O435" t="n">
        <x:v>0</x:v>
      </x:c>
      <x:c r="P435" t="n">
        <x:v>0</x:v>
      </x:c>
      <x:c r="Q435" t="n">
        <x:v>1</x:v>
      </x:c>
      <x:c r="R435" t="n">
        <x:v>0</x:v>
      </x:c>
      <x:c r="S435" t="n">
        <x:v>1</x:v>
      </x:c>
      <x:c r="T435" t="n">
        <x:v>0</x:v>
      </x:c>
      <x:c r="U435" t="n">
        <x:v>1</x:v>
      </x:c>
      <x:c r="V435" t="n">
        <x:v>1</x:v>
      </x:c>
      <x:c r="W435" t="n">
        <x:v>0</x:v>
      </x:c>
      <x:c r="X435" t="n">
        <x:v>0</x:v>
      </x:c>
      <x:c r="Y435" t="n">
        <x:v>0</x:v>
      </x:c>
      <x:c r="Z435" t="n">
        <x:v>1</x:v>
      </x:c>
      <x:c r="AA435" t="n">
        <x:v>3</x:v>
      </x:c>
      <x:c r="AB435" t="str">
        <x:v>Pass</x:v>
      </x:c>
      <x:c r="AC435" t="str"/>
      <x:c r="AD435" t="str"/>
    </x:row>
    <x:row r="436">
      <x:c r="A436" t="str">
        <x:v>REC0435</x:v>
      </x:c>
      <x:c r="B436" t="n">
        <x:v>434</x:v>
      </x:c>
      <x:c r="C436" t="str">
        <x:v>St. John, USVI</x:v>
      </x:c>
      <x:c r="D436" t="str">
        <x:v>GV</x:v>
      </x:c>
      <x:c r="E436" t="str">
        <x:v>Ground Validation</x:v>
      </x:c>
      <x:c r="F436" t="str">
        <x:v>Seaviewer Drop Camera</x:v>
      </x:c>
      <x:c r="G436" t="str">
        <x:v>GV2010_594</x:v>
      </x:c>
      <x:c r="H436" s="28" t="n">
        <x:v>40273</x:v>
      </x:c>
      <x:c r="I436" t="str">
        <x:v>09:23:56</x:v>
      </x:c>
      <x:c r="J436" t="n">
        <x:v>2010</x:v>
      </x:c>
      <x:c r="K436" t="n">
        <x:v>18.22800301</x:v>
      </x:c>
      <x:c r="L436" t="n">
        <x:v>-64.73763562</x:v>
      </x:c>
      <x:c r="M436" t="n">
        <x:v>53.835</x:v>
      </x:c>
      <x:c r="N436" t="str">
        <x:v>https://nccospublicstor.blob.core.windows.net/biomapper/usviinsularshelf2017/videos/low/GV2010_594.mp4</x:v>
      </x:c>
      <x:c r="O436" t="n">
        <x:v>0</x:v>
      </x:c>
      <x:c r="P436" t="n">
        <x:v>1</x:v>
      </x:c>
      <x:c r="Q436" t="n">
        <x:v>1</x:v>
      </x:c>
      <x:c r="R436" t="n">
        <x:v>0</x:v>
      </x:c>
      <x:c r="S436" t="n">
        <x:v>1</x:v>
      </x:c>
      <x:c r="T436" t="n">
        <x:v>0</x:v>
      </x:c>
      <x:c r="U436" t="n">
        <x:v>1</x:v>
      </x:c>
      <x:c r="V436" t="n">
        <x:v>1</x:v>
      </x:c>
      <x:c r="W436" t="n">
        <x:v>0</x:v>
      </x:c>
      <x:c r="X436" t="n">
        <x:v>0</x:v>
      </x:c>
      <x:c r="Y436" t="n">
        <x:v>0</x:v>
      </x:c>
      <x:c r="Z436" t="n">
        <x:v>2</x:v>
      </x:c>
      <x:c r="AA436" t="n">
        <x:v>3</x:v>
      </x:c>
      <x:c r="AB436" t="str">
        <x:v>Pass</x:v>
      </x:c>
      <x:c r="AC436" t="str"/>
      <x:c r="AD436" t="str"/>
    </x:row>
    <x:row r="437">
      <x:c r="A437" t="str">
        <x:v>REC0436</x:v>
      </x:c>
      <x:c r="B437" t="n">
        <x:v>435</x:v>
      </x:c>
      <x:c r="C437" t="str">
        <x:v>St. John, USVI</x:v>
      </x:c>
      <x:c r="D437" t="str">
        <x:v>GV</x:v>
      </x:c>
      <x:c r="E437" t="str">
        <x:v>Ground Validation</x:v>
      </x:c>
      <x:c r="F437" t="str">
        <x:v>Seaviewer Drop Camera</x:v>
      </x:c>
      <x:c r="G437" t="str">
        <x:v>GV2010_595</x:v>
      </x:c>
      <x:c r="H437" s="28" t="n">
        <x:v>40273</x:v>
      </x:c>
      <x:c r="I437" t="str">
        <x:v>09:31:59</x:v>
      </x:c>
      <x:c r="J437" t="n">
        <x:v>2010</x:v>
      </x:c>
      <x:c r="K437" t="n">
        <x:v>18.22562874</x:v>
      </x:c>
      <x:c r="L437" t="n">
        <x:v>-64.75250291</x:v>
      </x:c>
      <x:c r="M437" t="n">
        <x:v>53.883</x:v>
      </x:c>
      <x:c r="N437" t="str">
        <x:v>https://nccospublicstor.blob.core.windows.net/biomapper/usviinsularshelf2017/videos/low/GV2010_595.mp4</x:v>
      </x:c>
      <x:c r="O437" t="n">
        <x:v>0</x:v>
      </x:c>
      <x:c r="P437" t="n">
        <x:v>0</x:v>
      </x:c>
      <x:c r="Q437" t="n">
        <x:v>1</x:v>
      </x:c>
      <x:c r="R437" t="n">
        <x:v>0</x:v>
      </x:c>
      <x:c r="S437" t="n">
        <x:v>1</x:v>
      </x:c>
      <x:c r="T437" t="n">
        <x:v>0</x:v>
      </x:c>
      <x:c r="U437" t="n">
        <x:v>1</x:v>
      </x:c>
      <x:c r="V437" t="n">
        <x:v>1</x:v>
      </x:c>
      <x:c r="W437" t="n">
        <x:v>0</x:v>
      </x:c>
      <x:c r="X437" t="n">
        <x:v>0</x:v>
      </x:c>
      <x:c r="Y437" t="n">
        <x:v>0</x:v>
      </x:c>
      <x:c r="Z437" t="n">
        <x:v>1</x:v>
      </x:c>
      <x:c r="AA437" t="n">
        <x:v>3</x:v>
      </x:c>
      <x:c r="AB437" t="str">
        <x:v>Pass</x:v>
      </x:c>
      <x:c r="AC437" t="str"/>
      <x:c r="AD437" t="str"/>
    </x:row>
    <x:row r="438">
      <x:c r="A438" t="str">
        <x:v>REC0437</x:v>
      </x:c>
      <x:c r="B438" t="n">
        <x:v>436</x:v>
      </x:c>
      <x:c r="C438" t="str">
        <x:v>St. John, USVI</x:v>
      </x:c>
      <x:c r="D438" t="str">
        <x:v>GV</x:v>
      </x:c>
      <x:c r="E438" t="str">
        <x:v>Ground Validation</x:v>
      </x:c>
      <x:c r="F438" t="str">
        <x:v>Seaviewer Drop Camera</x:v>
      </x:c>
      <x:c r="G438" t="str">
        <x:v>GV2010_598</x:v>
      </x:c>
      <x:c r="H438" s="28" t="n">
        <x:v>40273</x:v>
      </x:c>
      <x:c r="I438" t="str">
        <x:v>09:54:08</x:v>
      </x:c>
      <x:c r="J438" t="n">
        <x:v>2010</x:v>
      </x:c>
      <x:c r="K438" t="n">
        <x:v>18.20806287</x:v>
      </x:c>
      <x:c r="L438" t="n">
        <x:v>-64.7695247</x:v>
      </x:c>
      <x:c r="M438" t="n">
        <x:v>53.957</x:v>
      </x:c>
      <x:c r="N438" t="str">
        <x:v>https://nccospublicstor.blob.core.windows.net/biomapper/usviinsularshelf2017/videos/low/GV2010_598.mp4</x:v>
      </x:c>
      <x:c r="O438" t="n">
        <x:v>0</x:v>
      </x:c>
      <x:c r="P438" t="n">
        <x:v>0</x:v>
      </x:c>
      <x:c r="Q438" t="n">
        <x:v>1</x:v>
      </x:c>
      <x:c r="R438" t="n">
        <x:v>0</x:v>
      </x:c>
      <x:c r="S438" t="n">
        <x:v>1</x:v>
      </x:c>
      <x:c r="T438" t="n">
        <x:v>0</x:v>
      </x:c>
      <x:c r="U438" t="n">
        <x:v>1</x:v>
      </x:c>
      <x:c r="V438" t="n">
        <x:v>1</x:v>
      </x:c>
      <x:c r="W438" t="n">
        <x:v>0</x:v>
      </x:c>
      <x:c r="X438" t="n">
        <x:v>0</x:v>
      </x:c>
      <x:c r="Y438" t="n">
        <x:v>0</x:v>
      </x:c>
      <x:c r="Z438" t="n">
        <x:v>1</x:v>
      </x:c>
      <x:c r="AA438" t="n">
        <x:v>3</x:v>
      </x:c>
      <x:c r="AB438" t="str">
        <x:v>Pass</x:v>
      </x:c>
      <x:c r="AC438" t="str"/>
      <x:c r="AD438" t="str"/>
    </x:row>
    <x:row r="439">
      <x:c r="A439" t="str">
        <x:v>REC0438</x:v>
      </x:c>
      <x:c r="B439" t="n">
        <x:v>437</x:v>
      </x:c>
      <x:c r="C439" t="str">
        <x:v>St. John, USVI</x:v>
      </x:c>
      <x:c r="D439" t="str">
        <x:v>GV</x:v>
      </x:c>
      <x:c r="E439" t="str">
        <x:v>Ground Validation</x:v>
      </x:c>
      <x:c r="F439" t="str">
        <x:v>Seaviewer Drop Camera</x:v>
      </x:c>
      <x:c r="G439" t="str">
        <x:v>GV2010_599</x:v>
      </x:c>
      <x:c r="H439" s="28" t="n">
        <x:v>40273</x:v>
      </x:c>
      <x:c r="I439" t="str">
        <x:v>10:30:51</x:v>
      </x:c>
      <x:c r="J439" t="n">
        <x:v>2010</x:v>
      </x:c>
      <x:c r="K439" t="n">
        <x:v>18.20493293</x:v>
      </x:c>
      <x:c r="L439" t="n">
        <x:v>-64.78000995</x:v>
      </x:c>
      <x:c r="M439" t="n">
        <x:v>55.798</x:v>
      </x:c>
      <x:c r="N439" t="str">
        <x:v>https://nccospublicstor.blob.core.windows.net/biomapper/usviinsularshelf2017/videos/low/GV2010_599.mp4</x:v>
      </x:c>
      <x:c r="O439" t="n">
        <x:v>0</x:v>
      </x:c>
      <x:c r="P439" t="n">
        <x:v>0</x:v>
      </x:c>
      <x:c r="Q439" t="n">
        <x:v>1</x:v>
      </x:c>
      <x:c r="R439" t="n">
        <x:v>0</x:v>
      </x:c>
      <x:c r="S439" t="n">
        <x:v>1</x:v>
      </x:c>
      <x:c r="T439" t="n">
        <x:v>0</x:v>
      </x:c>
      <x:c r="U439" t="n">
        <x:v>1</x:v>
      </x:c>
      <x:c r="V439" t="n">
        <x:v>1</x:v>
      </x:c>
      <x:c r="W439" t="n">
        <x:v>0</x:v>
      </x:c>
      <x:c r="X439" t="n">
        <x:v>0</x:v>
      </x:c>
      <x:c r="Y439" t="n">
        <x:v>0</x:v>
      </x:c>
      <x:c r="Z439" t="n">
        <x:v>1</x:v>
      </x:c>
      <x:c r="AA439" t="n">
        <x:v>3</x:v>
      </x:c>
      <x:c r="AB439" t="str">
        <x:v>Pass</x:v>
      </x:c>
      <x:c r="AC439" t="str"/>
      <x:c r="AD439" t="str"/>
    </x:row>
    <x:row r="440">
      <x:c r="A440" t="str">
        <x:v>REC0439</x:v>
      </x:c>
      <x:c r="B440" t="n">
        <x:v>438</x:v>
      </x:c>
      <x:c r="C440" t="str">
        <x:v>St. John, USVI</x:v>
      </x:c>
      <x:c r="D440" t="str">
        <x:v>GV</x:v>
      </x:c>
      <x:c r="E440" t="str">
        <x:v>Ground Validation</x:v>
      </x:c>
      <x:c r="F440" t="str">
        <x:v>Seaviewer Drop Camera</x:v>
      </x:c>
      <x:c r="G440" t="str">
        <x:v>GV2010_613</x:v>
      </x:c>
      <x:c r="H440" s="28" t="n">
        <x:v>40273</x:v>
      </x:c>
      <x:c r="I440" t="str">
        <x:v>09:16:04</x:v>
      </x:c>
      <x:c r="J440" t="n">
        <x:v>2010</x:v>
      </x:c>
      <x:c r="K440" t="n">
        <x:v>18.23558926</x:v>
      </x:c>
      <x:c r="L440" t="n">
        <x:v>-64.74373444</x:v>
      </x:c>
      <x:c r="M440" t="n">
        <x:v>51.989</x:v>
      </x:c>
      <x:c r="N440" t="str">
        <x:v>https://nccospublicstor.blob.core.windows.net/biomapper/usviinsularshelf2017/videos/low/GV2010_613.mp4</x:v>
      </x:c>
      <x:c r="O440" t="n">
        <x:v>0</x:v>
      </x:c>
      <x:c r="P440" t="n">
        <x:v>0</x:v>
      </x:c>
      <x:c r="Q440" t="n">
        <x:v>1</x:v>
      </x:c>
      <x:c r="R440" t="n">
        <x:v>1</x:v>
      </x:c>
      <x:c r="S440" t="n">
        <x:v>0</x:v>
      </x:c>
      <x:c r="T440" t="n">
        <x:v>0</x:v>
      </x:c>
      <x:c r="U440" t="n">
        <x:v>1</x:v>
      </x:c>
      <x:c r="V440" t="n">
        <x:v>1</x:v>
      </x:c>
      <x:c r="W440" t="n">
        <x:v>0</x:v>
      </x:c>
      <x:c r="X440" t="n">
        <x:v>0</x:v>
      </x:c>
      <x:c r="Y440" t="n">
        <x:v>0</x:v>
      </x:c>
      <x:c r="Z440" t="n">
        <x:v>2</x:v>
      </x:c>
      <x:c r="AA440" t="n">
        <x:v>2</x:v>
      </x:c>
      <x:c r="AB440" t="str">
        <x:v>Pass</x:v>
      </x:c>
      <x:c r="AC440" t="str"/>
      <x:c r="AD440" t="str"/>
    </x:row>
    <x:row r="441">
      <x:c r="A441" t="str">
        <x:v>REC0440</x:v>
      </x:c>
      <x:c r="B441" t="n">
        <x:v>439</x:v>
      </x:c>
      <x:c r="C441" t="str">
        <x:v>St. John, USVI</x:v>
      </x:c>
      <x:c r="D441" t="str">
        <x:v>GV</x:v>
      </x:c>
      <x:c r="E441" t="str">
        <x:v>Ground Validation</x:v>
      </x:c>
      <x:c r="F441" t="str">
        <x:v>Seaviewer Drop Camera</x:v>
      </x:c>
      <x:c r="G441" t="str">
        <x:v>GV2010_614</x:v>
      </x:c>
      <x:c r="H441" s="28" t="n">
        <x:v>40273</x:v>
      </x:c>
      <x:c r="I441" t="str">
        <x:v>09:10:11</x:v>
      </x:c>
      <x:c r="J441" t="n">
        <x:v>2010</x:v>
      </x:c>
      <x:c r="K441" t="n">
        <x:v>18.2372083</x:v>
      </x:c>
      <x:c r="L441" t="n">
        <x:v>-64.73892316</x:v>
      </x:c>
      <x:c r="M441" t="n">
        <x:v>54.746</x:v>
      </x:c>
      <x:c r="N441" t="str">
        <x:v>https://nccospublicstor.blob.core.windows.net/biomapper/usviinsularshelf2017/videos/low/GV2010_614.mp4</x:v>
      </x:c>
      <x:c r="O441" t="n">
        <x:v>0</x:v>
      </x:c>
      <x:c r="P441" t="n">
        <x:v>0</x:v>
      </x:c>
      <x:c r="Q441" t="n">
        <x:v>1</x:v>
      </x:c>
      <x:c r="R441" t="n">
        <x:v>1</x:v>
      </x:c>
      <x:c r="S441" t="n">
        <x:v>0</x:v>
      </x:c>
      <x:c r="T441" t="n">
        <x:v>0</x:v>
      </x:c>
      <x:c r="U441" t="n">
        <x:v>1</x:v>
      </x:c>
      <x:c r="V441" t="n">
        <x:v>1</x:v>
      </x:c>
      <x:c r="W441" t="n">
        <x:v>0</x:v>
      </x:c>
      <x:c r="X441" t="n">
        <x:v>0</x:v>
      </x:c>
      <x:c r="Y441" t="n">
        <x:v>0</x:v>
      </x:c>
      <x:c r="Z441" t="n">
        <x:v>2</x:v>
      </x:c>
      <x:c r="AA441" t="n">
        <x:v>2</x:v>
      </x:c>
      <x:c r="AB441" t="str">
        <x:v>Pass</x:v>
      </x:c>
      <x:c r="AC441" t="str"/>
      <x:c r="AD441" t="str"/>
    </x:row>
    <x:row r="442">
      <x:c r="A442" t="str">
        <x:v>REC0441</x:v>
      </x:c>
      <x:c r="B442" t="n">
        <x:v>440</x:v>
      </x:c>
      <x:c r="C442" t="str">
        <x:v>St. John, USVI</x:v>
      </x:c>
      <x:c r="D442" t="str">
        <x:v>GV</x:v>
      </x:c>
      <x:c r="E442" t="str">
        <x:v>Ground Validation</x:v>
      </x:c>
      <x:c r="F442" t="str">
        <x:v>Seaviewer Drop Camera</x:v>
      </x:c>
      <x:c r="G442" t="str">
        <x:v>GV2010_622</x:v>
      </x:c>
      <x:c r="H442" s="28" t="n">
        <x:v>40273</x:v>
      </x:c>
      <x:c r="I442" t="str">
        <x:v>10:22:33</x:v>
      </x:c>
      <x:c r="J442" t="n">
        <x:v>2010</x:v>
      </x:c>
      <x:c r="K442" t="n">
        <x:v>18.20758194</x:v>
      </x:c>
      <x:c r="L442" t="n">
        <x:v>-64.78110291</x:v>
      </x:c>
      <x:c r="M442" t="n">
        <x:v>48.003</x:v>
      </x:c>
      <x:c r="N442" t="str">
        <x:v>https://nccospublicstor.blob.core.windows.net/biomapper/usviinsularshelf2017/videos/low/GV2010_622.mp4</x:v>
      </x:c>
      <x:c r="O442" t="n">
        <x:v>0</x:v>
      </x:c>
      <x:c r="P442" t="n">
        <x:v>1</x:v>
      </x:c>
      <x:c r="Q442" t="n">
        <x:v>1</x:v>
      </x:c>
      <x:c r="R442" t="n">
        <x:v>0</x:v>
      </x:c>
      <x:c r="S442" t="n">
        <x:v>0</x:v>
      </x:c>
      <x:c r="T442" t="n">
        <x:v>0</x:v>
      </x:c>
      <x:c r="U442" t="n">
        <x:v>1</x:v>
      </x:c>
      <x:c r="V442" t="n">
        <x:v>1</x:v>
      </x:c>
      <x:c r="W442" t="n">
        <x:v>0</x:v>
      </x:c>
      <x:c r="X442" t="n">
        <x:v>0</x:v>
      </x:c>
      <x:c r="Y442" t="n">
        <x:v>0</x:v>
      </x:c>
      <x:c r="Z442" t="n">
        <x:v>2</x:v>
      </x:c>
      <x:c r="AA442" t="n">
        <x:v>2</x:v>
      </x:c>
      <x:c r="AB442" t="str">
        <x:v>Pass</x:v>
      </x:c>
      <x:c r="AC442" t="str"/>
      <x:c r="AD442" t="str"/>
    </x:row>
    <x:row r="443">
      <x:c r="A443" t="str">
        <x:v>REC0442</x:v>
      </x:c>
      <x:c r="B443" t="n">
        <x:v>441</x:v>
      </x:c>
      <x:c r="C443" t="str">
        <x:v>St. John, USVI</x:v>
      </x:c>
      <x:c r="D443" t="str">
        <x:v>GV</x:v>
      </x:c>
      <x:c r="E443" t="str">
        <x:v>Ground Validation</x:v>
      </x:c>
      <x:c r="F443" t="str">
        <x:v>Seaviewer Drop Camera</x:v>
      </x:c>
      <x:c r="G443" t="str">
        <x:v>GV2010_623</x:v>
      </x:c>
      <x:c r="H443" s="28" t="n">
        <x:v>40273</x:v>
      </x:c>
      <x:c r="I443" t="str">
        <x:v>10:01:59</x:v>
      </x:c>
      <x:c r="J443" t="n">
        <x:v>2010</x:v>
      </x:c>
      <x:c r="K443" t="n">
        <x:v>18.21032482</x:v>
      </x:c>
      <x:c r="L443" t="n">
        <x:v>-64.77358015</x:v>
      </x:c>
      <x:c r="M443" t="n">
        <x:v>46.837</x:v>
      </x:c>
      <x:c r="N443" t="str">
        <x:v>https://nccospublicstor.blob.core.windows.net/biomapper/usviinsularshelf2017/videos/low/GV2010_623.mp4</x:v>
      </x:c>
      <x:c r="O443" t="n">
        <x:v>0</x:v>
      </x:c>
      <x:c r="P443" t="n">
        <x:v>1</x:v>
      </x:c>
      <x:c r="Q443" t="n">
        <x:v>1</x:v>
      </x:c>
      <x:c r="R443" t="n">
        <x:v>1</x:v>
      </x:c>
      <x:c r="S443" t="n">
        <x:v>0</x:v>
      </x:c>
      <x:c r="T443" t="n">
        <x:v>0</x:v>
      </x:c>
      <x:c r="U443" t="n">
        <x:v>1</x:v>
      </x:c>
      <x:c r="V443" t="n">
        <x:v>1</x:v>
      </x:c>
      <x:c r="W443" t="n">
        <x:v>0</x:v>
      </x:c>
      <x:c r="X443" t="n">
        <x:v>0</x:v>
      </x:c>
      <x:c r="Y443" t="n">
        <x:v>0</x:v>
      </x:c>
      <x:c r="Z443" t="n">
        <x:v>3</x:v>
      </x:c>
      <x:c r="AA443" t="n">
        <x:v>2</x:v>
      </x:c>
      <x:c r="AB443" t="str">
        <x:v>Pass</x:v>
      </x:c>
      <x:c r="AC443" t="str"/>
      <x:c r="AD443" t="str"/>
    </x:row>
    <x:row r="444">
      <x:c r="A444" t="str">
        <x:v>REC0443</x:v>
      </x:c>
      <x:c r="B444" t="n">
        <x:v>442</x:v>
      </x:c>
      <x:c r="C444" t="str">
        <x:v>St. John, USVI</x:v>
      </x:c>
      <x:c r="D444" t="str">
        <x:v>GV</x:v>
      </x:c>
      <x:c r="E444" t="str">
        <x:v>Ground Validation</x:v>
      </x:c>
      <x:c r="F444" t="str">
        <x:v>Seaviewer Drop Camera</x:v>
      </x:c>
      <x:c r="G444" t="str">
        <x:v>GV2010_624</x:v>
      </x:c>
      <x:c r="H444" s="28" t="n">
        <x:v>40273</x:v>
      </x:c>
      <x:c r="I444" t="str">
        <x:v>10:08:41</x:v>
      </x:c>
      <x:c r="J444" t="n">
        <x:v>2010</x:v>
      </x:c>
      <x:c r="K444" t="n">
        <x:v>18.21152545</x:v>
      </x:c>
      <x:c r="L444" t="n">
        <x:v>-64.77535622</x:v>
      </x:c>
      <x:c r="M444" t="n">
        <x:v>52.807</x:v>
      </x:c>
      <x:c r="N444" t="str">
        <x:v>https://nccospublicstor.blob.core.windows.net/biomapper/usviinsularshelf2017/videos/low/GV2010_624.mp4</x:v>
      </x:c>
      <x:c r="O444" t="n">
        <x:v>0</x:v>
      </x:c>
      <x:c r="P444" t="n">
        <x:v>1</x:v>
      </x:c>
      <x:c r="Q444" t="n">
        <x:v>1</x:v>
      </x:c>
      <x:c r="R444" t="n">
        <x:v>1</x:v>
      </x:c>
      <x:c r="S444" t="n">
        <x:v>1</x:v>
      </x:c>
      <x:c r="T444" t="n">
        <x:v>0</x:v>
      </x:c>
      <x:c r="U444" t="n">
        <x:v>1</x:v>
      </x:c>
      <x:c r="V444" t="n">
        <x:v>1</x:v>
      </x:c>
      <x:c r="W444" t="n">
        <x:v>0</x:v>
      </x:c>
      <x:c r="X444" t="n">
        <x:v>0</x:v>
      </x:c>
      <x:c r="Y444" t="n">
        <x:v>0</x:v>
      </x:c>
      <x:c r="Z444" t="n">
        <x:v>3</x:v>
      </x:c>
      <x:c r="AA444" t="n">
        <x:v>3</x:v>
      </x:c>
      <x:c r="AB444" t="str">
        <x:v>Pass</x:v>
      </x:c>
      <x:c r="AC444" t="str"/>
      <x:c r="AD444" t="str"/>
    </x:row>
    <x:row r="445">
      <x:c r="A445" t="str">
        <x:v>REC0444</x:v>
      </x:c>
      <x:c r="B445" t="n">
        <x:v>443</x:v>
      </x:c>
      <x:c r="C445" t="str">
        <x:v>St. John, USVI</x:v>
      </x:c>
      <x:c r="D445" t="str">
        <x:v>GV</x:v>
      </x:c>
      <x:c r="E445" t="str">
        <x:v>Ground Validation</x:v>
      </x:c>
      <x:c r="F445" t="str">
        <x:v>Seaviewer Drop Camera</x:v>
      </x:c>
      <x:c r="G445" t="str">
        <x:v>GV2010_625</x:v>
      </x:c>
      <x:c r="H445" s="28" t="n">
        <x:v>40273</x:v>
      </x:c>
      <x:c r="I445" t="str">
        <x:v>07:52:06</x:v>
      </x:c>
      <x:c r="J445" t="n">
        <x:v>2010</x:v>
      </x:c>
      <x:c r="K445" t="n">
        <x:v>18.22272989</x:v>
      </x:c>
      <x:c r="L445" t="n">
        <x:v>-64.71101885</x:v>
      </x:c>
      <x:c r="M445" t="n">
        <x:v>52.58</x:v>
      </x:c>
      <x:c r="N445" t="str">
        <x:v>https://nccospublicstor.blob.core.windows.net/biomapper/usviinsularshelf2017/videos/low/GV2010_625.mp4</x:v>
      </x:c>
      <x:c r="O445" t="n">
        <x:v>0</x:v>
      </x:c>
      <x:c r="P445" t="n">
        <x:v>0</x:v>
      </x:c>
      <x:c r="Q445" t="n">
        <x:v>1</x:v>
      </x:c>
      <x:c r="R445" t="n">
        <x:v>1</x:v>
      </x:c>
      <x:c r="S445" t="n">
        <x:v>1</x:v>
      </x:c>
      <x:c r="T445" t="n">
        <x:v>0</x:v>
      </x:c>
      <x:c r="U445" t="n">
        <x:v>1</x:v>
      </x:c>
      <x:c r="V445" t="n">
        <x:v>1</x:v>
      </x:c>
      <x:c r="W445" t="n">
        <x:v>0</x:v>
      </x:c>
      <x:c r="X445" t="n">
        <x:v>0</x:v>
      </x:c>
      <x:c r="Y445" t="n">
        <x:v>0</x:v>
      </x:c>
      <x:c r="Z445" t="n">
        <x:v>2</x:v>
      </x:c>
      <x:c r="AA445" t="n">
        <x:v>3</x:v>
      </x:c>
      <x:c r="AB445" t="str">
        <x:v>Pass</x:v>
      </x:c>
      <x:c r="AC445" t="str"/>
      <x:c r="AD445" t="str">
        <x:v>School of Bar Jacks</x:v>
      </x:c>
    </x:row>
    <x:row r="446">
      <x:c r="A446" t="str">
        <x:v>REC0445</x:v>
      </x:c>
      <x:c r="B446" t="n">
        <x:v>444</x:v>
      </x:c>
      <x:c r="C446" t="str">
        <x:v>St. John, USVI</x:v>
      </x:c>
      <x:c r="D446" t="str">
        <x:v>GV</x:v>
      </x:c>
      <x:c r="E446" t="str">
        <x:v>Ground Validation</x:v>
      </x:c>
      <x:c r="F446" t="str">
        <x:v>Seaviewer Drop Camera</x:v>
      </x:c>
      <x:c r="G446" t="str">
        <x:v>GV2010_627</x:v>
      </x:c>
      <x:c r="H446" s="28" t="n">
        <x:v>40273</x:v>
      </x:c>
      <x:c r="I446" t="str">
        <x:v>08:12:49</x:v>
      </x:c>
      <x:c r="J446" t="n">
        <x:v>2010</x:v>
      </x:c>
      <x:c r="K446" t="n">
        <x:v>18.2285796</x:v>
      </x:c>
      <x:c r="L446" t="n">
        <x:v>-64.71255879</x:v>
      </x:c>
      <x:c r="M446" t="n">
        <x:v>55.373</x:v>
      </x:c>
      <x:c r="N446" t="str">
        <x:v>https://nccospublicstor.blob.core.windows.net/biomapper/usviinsularshelf2017/videos/low/GV2010_627.mp4</x:v>
      </x:c>
      <x:c r="O446" t="n">
        <x:v>0</x:v>
      </x:c>
      <x:c r="P446" t="n">
        <x:v>0</x:v>
      </x:c>
      <x:c r="Q446" t="n">
        <x:v>1</x:v>
      </x:c>
      <x:c r="R446" t="n">
        <x:v>0</x:v>
      </x:c>
      <x:c r="S446" t="n">
        <x:v>1</x:v>
      </x:c>
      <x:c r="T446" t="n">
        <x:v>0</x:v>
      </x:c>
      <x:c r="U446" t="n">
        <x:v>1</x:v>
      </x:c>
      <x:c r="V446" t="n">
        <x:v>1</x:v>
      </x:c>
      <x:c r="W446" t="n">
        <x:v>0</x:v>
      </x:c>
      <x:c r="X446" t="n">
        <x:v>0</x:v>
      </x:c>
      <x:c r="Y446" t="n">
        <x:v>0</x:v>
      </x:c>
      <x:c r="Z446" t="n">
        <x:v>1</x:v>
      </x:c>
      <x:c r="AA446" t="n">
        <x:v>3</x:v>
      </x:c>
      <x:c r="AB446" t="str">
        <x:v>Pass</x:v>
      </x:c>
      <x:c r="AC446" t="str"/>
      <x:c r="AD446" t="str"/>
    </x:row>
    <x:row r="447">
      <x:c r="A447" t="str">
        <x:v>REC0446</x:v>
      </x:c>
      <x:c r="B447" t="n">
        <x:v>445</x:v>
      </x:c>
      <x:c r="C447" t="str">
        <x:v>St. John, USVI</x:v>
      </x:c>
      <x:c r="D447" t="str">
        <x:v>GV</x:v>
      </x:c>
      <x:c r="E447" t="str">
        <x:v>Ground Validation</x:v>
      </x:c>
      <x:c r="F447" t="str">
        <x:v>Seaviewer Drop Camera</x:v>
      </x:c>
      <x:c r="G447" t="str">
        <x:v>GV2010_628</x:v>
      </x:c>
      <x:c r="H447" s="28" t="n">
        <x:v>40273</x:v>
      </x:c>
      <x:c r="I447" t="str">
        <x:v>08:23:05</x:v>
      </x:c>
      <x:c r="J447" t="n">
        <x:v>2010</x:v>
      </x:c>
      <x:c r="K447" t="n">
        <x:v>18.2354852</x:v>
      </x:c>
      <x:c r="L447" t="n">
        <x:v>-64.70863026</x:v>
      </x:c>
      <x:c r="M447" t="n">
        <x:v>45.587</x:v>
      </x:c>
      <x:c r="N447" t="str">
        <x:v>https://nccospublicstor.blob.core.windows.net/biomapper/usviinsularshelf2017/videos/low/GV2010_628.mp4</x:v>
      </x:c>
      <x:c r="O447" t="n">
        <x:v>0</x:v>
      </x:c>
      <x:c r="P447" t="n">
        <x:v>1</x:v>
      </x:c>
      <x:c r="Q447" t="n">
        <x:v>0</x:v>
      </x:c>
      <x:c r="R447" t="n">
        <x:v>1</x:v>
      </x:c>
      <x:c r="S447" t="n">
        <x:v>1</x:v>
      </x:c>
      <x:c r="T447" t="n">
        <x:v>0</x:v>
      </x:c>
      <x:c r="U447" t="n">
        <x:v>1</x:v>
      </x:c>
      <x:c r="V447" t="n">
        <x:v>1</x:v>
      </x:c>
      <x:c r="W447" t="n">
        <x:v>0</x:v>
      </x:c>
      <x:c r="X447" t="n">
        <x:v>0</x:v>
      </x:c>
      <x:c r="Y447" t="n">
        <x:v>0</x:v>
      </x:c>
      <x:c r="Z447" t="n">
        <x:v>2</x:v>
      </x:c>
      <x:c r="AA447" t="n">
        <x:v>3</x:v>
      </x:c>
      <x:c r="AB447" t="str">
        <x:v>Pass</x:v>
      </x:c>
      <x:c r="AC447" t="str"/>
      <x:c r="AD447" t="str"/>
    </x:row>
    <x:row r="448">
      <x:c r="A448" t="str">
        <x:v>REC0447</x:v>
      </x:c>
      <x:c r="B448" t="n">
        <x:v>446</x:v>
      </x:c>
      <x:c r="C448" t="str">
        <x:v>St. John, USVI</x:v>
      </x:c>
      <x:c r="D448" t="str">
        <x:v>GV</x:v>
      </x:c>
      <x:c r="E448" t="str">
        <x:v>Ground Validation</x:v>
      </x:c>
      <x:c r="F448" t="str">
        <x:v>Seaviewer Drop Camera</x:v>
      </x:c>
      <x:c r="G448" t="str">
        <x:v>GV2010_639</x:v>
      </x:c>
      <x:c r="H448" s="28" t="n">
        <x:v>40273</x:v>
      </x:c>
      <x:c r="I448" t="str">
        <x:v>11:08:08</x:v>
      </x:c>
      <x:c r="J448" t="n">
        <x:v>2010</x:v>
      </x:c>
      <x:c r="K448" t="n">
        <x:v>18.21651072</x:v>
      </x:c>
      <x:c r="L448" t="n">
        <x:v>-64.71826453</x:v>
      </x:c>
      <x:c r="M448" t="n">
        <x:v>56.129</x:v>
      </x:c>
      <x:c r="N448" t="str">
        <x:v>https://nccospublicstor.blob.core.windows.net/biomapper/usviinsularshelf2017/videos/low/GV2010_639.mp4</x:v>
      </x:c>
      <x:c r="O448" t="n">
        <x:v>0</x:v>
      </x:c>
      <x:c r="P448" t="n">
        <x:v>0</x:v>
      </x:c>
      <x:c r="Q448" t="n">
        <x:v>1</x:v>
      </x:c>
      <x:c r="R448" t="n">
        <x:v>0</x:v>
      </x:c>
      <x:c r="S448" t="n">
        <x:v>0</x:v>
      </x:c>
      <x:c r="T448" t="n">
        <x:v>0</x:v>
      </x:c>
      <x:c r="U448" t="n">
        <x:v>1</x:v>
      </x:c>
      <x:c r="V448" t="n">
        <x:v>1</x:v>
      </x:c>
      <x:c r="W448" t="n">
        <x:v>0</x:v>
      </x:c>
      <x:c r="X448" t="n">
        <x:v>0</x:v>
      </x:c>
      <x:c r="Y448" t="n">
        <x:v>0</x:v>
      </x:c>
      <x:c r="Z448" t="n">
        <x:v>1</x:v>
      </x:c>
      <x:c r="AA448" t="n">
        <x:v>2</x:v>
      </x:c>
      <x:c r="AB448" t="str">
        <x:v>Pass</x:v>
      </x:c>
      <x:c r="AC448" t="str"/>
      <x:c r="AD448" t="str"/>
    </x:row>
    <x:row r="449">
      <x:c r="A449" t="str">
        <x:v>REC0448</x:v>
      </x:c>
      <x:c r="B449" t="n">
        <x:v>447</x:v>
      </x:c>
      <x:c r="C449" t="str">
        <x:v>St. John, USVI</x:v>
      </x:c>
      <x:c r="D449" t="str">
        <x:v>GV</x:v>
      </x:c>
      <x:c r="E449" t="str">
        <x:v>Ground Validation</x:v>
      </x:c>
      <x:c r="F449" t="str">
        <x:v>Seaviewer Drop Camera</x:v>
      </x:c>
      <x:c r="G449" t="str">
        <x:v>GV2010_640</x:v>
      </x:c>
      <x:c r="H449" s="28" t="n">
        <x:v>40273</x:v>
      </x:c>
      <x:c r="I449" t="str">
        <x:v>11:16:27</x:v>
      </x:c>
      <x:c r="J449" t="n">
        <x:v>2010</x:v>
      </x:c>
      <x:c r="K449" t="n">
        <x:v>18.22125231</x:v>
      </x:c>
      <x:c r="L449" t="n">
        <x:v>-64.7198081</x:v>
      </x:c>
      <x:c r="M449" t="n">
        <x:v>51.222</x:v>
      </x:c>
      <x:c r="N449" t="str">
        <x:v>https://nccospublicstor.blob.core.windows.net/biomapper/usviinsularshelf2017/videos/low/GV2010_640.mp4</x:v>
      </x:c>
      <x:c r="O449" t="n">
        <x:v>0</x:v>
      </x:c>
      <x:c r="P449" t="n">
        <x:v>1</x:v>
      </x:c>
      <x:c r="Q449" t="n">
        <x:v>1</x:v>
      </x:c>
      <x:c r="R449" t="n">
        <x:v>0</x:v>
      </x:c>
      <x:c r="S449" t="n">
        <x:v>1</x:v>
      </x:c>
      <x:c r="T449" t="n">
        <x:v>0</x:v>
      </x:c>
      <x:c r="U449" t="n">
        <x:v>1</x:v>
      </x:c>
      <x:c r="V449" t="n">
        <x:v>1</x:v>
      </x:c>
      <x:c r="W449" t="n">
        <x:v>0</x:v>
      </x:c>
      <x:c r="X449" t="n">
        <x:v>0</x:v>
      </x:c>
      <x:c r="Y449" t="n">
        <x:v>0</x:v>
      </x:c>
      <x:c r="Z449" t="n">
        <x:v>2</x:v>
      </x:c>
      <x:c r="AA449" t="n">
        <x:v>3</x:v>
      </x:c>
      <x:c r="AB449" t="str">
        <x:v>Pass</x:v>
      </x:c>
      <x:c r="AC449" t="str"/>
      <x:c r="AD449" t="str"/>
    </x:row>
    <x:row r="450">
      <x:c r="A450" t="str">
        <x:v>REC0449</x:v>
      </x:c>
      <x:c r="B450" t="n">
        <x:v>448</x:v>
      </x:c>
      <x:c r="C450" t="str">
        <x:v>St. John, USVI</x:v>
      </x:c>
      <x:c r="D450" t="str">
        <x:v>GV</x:v>
      </x:c>
      <x:c r="E450" t="str">
        <x:v>Ground Validation</x:v>
      </x:c>
      <x:c r="F450" t="str">
        <x:v>Seaviewer Drop Camera</x:v>
      </x:c>
      <x:c r="G450" t="str">
        <x:v>GV2010_642</x:v>
      </x:c>
      <x:c r="H450" s="28" t="n">
        <x:v>40273</x:v>
      </x:c>
      <x:c r="I450" t="str">
        <x:v>08:04:10</x:v>
      </x:c>
      <x:c r="J450" t="n">
        <x:v>2010</x:v>
      </x:c>
      <x:c r="K450" t="n">
        <x:v>18.22691948</x:v>
      </x:c>
      <x:c r="L450" t="n">
        <x:v>-64.70895808</x:v>
      </x:c>
      <x:c r="M450" t="n">
        <x:v>54.255</x:v>
      </x:c>
      <x:c r="N450" t="str">
        <x:v>https://nccospublicstor.blob.core.windows.net/biomapper/usviinsularshelf2017/videos/low/GV2010_642.mp4</x:v>
      </x:c>
      <x:c r="O450" t="n">
        <x:v>0</x:v>
      </x:c>
      <x:c r="P450" t="n">
        <x:v>0</x:v>
      </x:c>
      <x:c r="Q450" t="n">
        <x:v>1</x:v>
      </x:c>
      <x:c r="R450" t="n">
        <x:v>0</x:v>
      </x:c>
      <x:c r="S450" t="n">
        <x:v>0</x:v>
      </x:c>
      <x:c r="T450" t="n">
        <x:v>0</x:v>
      </x:c>
      <x:c r="U450" t="n">
        <x:v>1</x:v>
      </x:c>
      <x:c r="V450" t="n">
        <x:v>1</x:v>
      </x:c>
      <x:c r="W450" t="n">
        <x:v>0</x:v>
      </x:c>
      <x:c r="X450" t="n">
        <x:v>0</x:v>
      </x:c>
      <x:c r="Y450" t="n">
        <x:v>0</x:v>
      </x:c>
      <x:c r="Z450" t="n">
        <x:v>1</x:v>
      </x:c>
      <x:c r="AA450" t="n">
        <x:v>2</x:v>
      </x:c>
      <x:c r="AB450" t="str">
        <x:v>Pass</x:v>
      </x:c>
      <x:c r="AC450" t="str"/>
      <x:c r="AD450" t="str"/>
    </x:row>
    <x:row r="451">
      <x:c r="A451" t="str">
        <x:v>REC0450</x:v>
      </x:c>
      <x:c r="B451" t="n">
        <x:v>449</x:v>
      </x:c>
      <x:c r="C451" t="str">
        <x:v>St. John, USVI</x:v>
      </x:c>
      <x:c r="D451" t="str">
        <x:v>GV</x:v>
      </x:c>
      <x:c r="E451" t="str">
        <x:v>Ground Validation</x:v>
      </x:c>
      <x:c r="F451" t="str">
        <x:v>Seaviewer Drop Camera</x:v>
      </x:c>
      <x:c r="G451" t="str">
        <x:v>GV2010_644</x:v>
      </x:c>
      <x:c r="H451" s="28" t="n">
        <x:v>40273</x:v>
      </x:c>
      <x:c r="I451" t="str">
        <x:v>10:15:47</x:v>
      </x:c>
      <x:c r="J451" t="n">
        <x:v>2010</x:v>
      </x:c>
      <x:c r="K451" t="n">
        <x:v>18.2099781</x:v>
      </x:c>
      <x:c r="L451" t="n">
        <x:v>-64.78190493</x:v>
      </x:c>
      <x:c r="M451" t="n">
        <x:v>50.733</x:v>
      </x:c>
      <x:c r="N451" t="str">
        <x:v>https://nccospublicstor.blob.core.windows.net/biomapper/usviinsularshelf2017/videos/low/GV2010_644.mp4</x:v>
      </x:c>
      <x:c r="O451" t="n">
        <x:v>0</x:v>
      </x:c>
      <x:c r="P451" t="n">
        <x:v>0</x:v>
      </x:c>
      <x:c r="Q451" t="n">
        <x:v>1</x:v>
      </x:c>
      <x:c r="R451" t="n">
        <x:v>0</x:v>
      </x:c>
      <x:c r="S451" t="n">
        <x:v>0</x:v>
      </x:c>
      <x:c r="T451" t="n">
        <x:v>0</x:v>
      </x:c>
      <x:c r="U451" t="n">
        <x:v>1</x:v>
      </x:c>
      <x:c r="V451" t="n">
        <x:v>1</x:v>
      </x:c>
      <x:c r="W451" t="n">
        <x:v>0</x:v>
      </x:c>
      <x:c r="X451" t="n">
        <x:v>0</x:v>
      </x:c>
      <x:c r="Y451" t="n">
        <x:v>0</x:v>
      </x:c>
      <x:c r="Z451" t="n">
        <x:v>1</x:v>
      </x:c>
      <x:c r="AA451" t="n">
        <x:v>2</x:v>
      </x:c>
      <x:c r="AB451" t="str">
        <x:v>Pass</x:v>
      </x:c>
      <x:c r="AC451" t="str"/>
      <x:c r="AD451" t="str"/>
    </x:row>
    <x:row r="452">
      <x:c r="A452" t="str">
        <x:v>REC0451</x:v>
      </x:c>
      <x:c r="B452" t="n">
        <x:v>450</x:v>
      </x:c>
      <x:c r="C452" t="str">
        <x:v>St. John, USVI</x:v>
      </x:c>
      <x:c r="D452" t="str">
        <x:v>GV</x:v>
      </x:c>
      <x:c r="E452" t="str">
        <x:v>Ground Validation</x:v>
      </x:c>
      <x:c r="F452" t="str">
        <x:v>Seaviewer Drop Camera</x:v>
      </x:c>
      <x:c r="G452" t="str">
        <x:v>GV2010_645</x:v>
      </x:c>
      <x:c r="H452" s="28" t="n">
        <x:v>40273</x:v>
      </x:c>
      <x:c r="I452" t="str">
        <x:v>09:39:45</x:v>
      </x:c>
      <x:c r="J452" t="n">
        <x:v>2010</x:v>
      </x:c>
      <x:c r="K452" t="n">
        <x:v>18.21666631</x:v>
      </x:c>
      <x:c r="L452" t="n">
        <x:v>-64.74813484</x:v>
      </x:c>
      <x:c r="M452" t="n">
        <x:v>51.829</x:v>
      </x:c>
      <x:c r="N452" t="str">
        <x:v>https://nccospublicstor.blob.core.windows.net/biomapper/usviinsularshelf2017/videos/low/GV2010_645.mp4</x:v>
      </x:c>
      <x:c r="O452" t="n">
        <x:v>0</x:v>
      </x:c>
      <x:c r="P452" t="n">
        <x:v>0</x:v>
      </x:c>
      <x:c r="Q452" t="n">
        <x:v>1</x:v>
      </x:c>
      <x:c r="R452" t="n">
        <x:v>0</x:v>
      </x:c>
      <x:c r="S452" t="n">
        <x:v>1</x:v>
      </x:c>
      <x:c r="T452" t="n">
        <x:v>0</x:v>
      </x:c>
      <x:c r="U452" t="n">
        <x:v>1</x:v>
      </x:c>
      <x:c r="V452" t="n">
        <x:v>1</x:v>
      </x:c>
      <x:c r="W452" t="n">
        <x:v>0</x:v>
      </x:c>
      <x:c r="X452" t="n">
        <x:v>0</x:v>
      </x:c>
      <x:c r="Y452" t="n">
        <x:v>0</x:v>
      </x:c>
      <x:c r="Z452" t="n">
        <x:v>1</x:v>
      </x:c>
      <x:c r="AA452" t="n">
        <x:v>3</x:v>
      </x:c>
      <x:c r="AB452" t="str">
        <x:v>Pass</x:v>
      </x:c>
      <x:c r="AC452" t="str"/>
      <x:c r="AD452" t="str"/>
    </x:row>
    <x:row r="453">
      <x:c r="A453" t="str">
        <x:v>REC0452</x:v>
      </x:c>
      <x:c r="B453" t="n">
        <x:v>451</x:v>
      </x:c>
      <x:c r="C453" t="str">
        <x:v>St. John, USVI</x:v>
      </x:c>
      <x:c r="D453" t="str">
        <x:v>GV</x:v>
      </x:c>
      <x:c r="E453" t="str">
        <x:v>Ground Validation</x:v>
      </x:c>
      <x:c r="F453" t="str">
        <x:v>Seaviewer Drop Camera</x:v>
      </x:c>
      <x:c r="G453" t="str">
        <x:v>GV2010_647</x:v>
      </x:c>
      <x:c r="H453" s="28" t="n">
        <x:v>40273</x:v>
      </x:c>
      <x:c r="I453" t="str">
        <x:v>08:38:37</x:v>
      </x:c>
      <x:c r="J453" t="n">
        <x:v>2010</x:v>
      </x:c>
      <x:c r="K453" t="n">
        <x:v>18.24466626</x:v>
      </x:c>
      <x:c r="L453" t="n">
        <x:v>-64.71779717</x:v>
      </x:c>
      <x:c r="M453" t="n">
        <x:v>46.785</x:v>
      </x:c>
      <x:c r="N453" t="str">
        <x:v>https://nccospublicstor.blob.core.windows.net/biomapper/usviinsularshelf2017/videos/low/GV2010_647.mp4</x:v>
      </x:c>
      <x:c r="O453" t="n">
        <x:v>0</x:v>
      </x:c>
      <x:c r="P453" t="n">
        <x:v>1</x:v>
      </x:c>
      <x:c r="Q453" t="n">
        <x:v>1</x:v>
      </x:c>
      <x:c r="R453" t="n">
        <x:v>1</x:v>
      </x:c>
      <x:c r="S453" t="n">
        <x:v>1</x:v>
      </x:c>
      <x:c r="T453" t="n">
        <x:v>1</x:v>
      </x:c>
      <x:c r="U453" t="n">
        <x:v>1</x:v>
      </x:c>
      <x:c r="V453" t="n">
        <x:v>1</x:v>
      </x:c>
      <x:c r="W453" t="n">
        <x:v>0</x:v>
      </x:c>
      <x:c r="X453" t="n">
        <x:v>0</x:v>
      </x:c>
      <x:c r="Y453" t="n">
        <x:v>0</x:v>
      </x:c>
      <x:c r="Z453" t="n">
        <x:v>3</x:v>
      </x:c>
      <x:c r="AA453" t="n">
        <x:v>4</x:v>
      </x:c>
      <x:c r="AB453" t="str">
        <x:v>Pass</x:v>
      </x:c>
      <x:c r="AC453" t="str"/>
      <x:c r="AD453" t="str"/>
    </x:row>
    <x:row r="454">
      <x:c r="A454" t="str">
        <x:v>REC0453</x:v>
      </x:c>
      <x:c r="B454" t="n">
        <x:v>452</x:v>
      </x:c>
      <x:c r="C454" t="str">
        <x:v>St. Thomas, USVI</x:v>
      </x:c>
      <x:c r="D454" t="str">
        <x:v>GV</x:v>
      </x:c>
      <x:c r="E454" t="str">
        <x:v>Ground Validation</x:v>
      </x:c>
      <x:c r="F454" t="str">
        <x:v>Seaviewer Drop Camera</x:v>
      </x:c>
      <x:c r="G454" t="str">
        <x:v>GV2011_002</x:v>
      </x:c>
      <x:c r="H454" s="28" t="n">
        <x:v>40644</x:v>
      </x:c>
      <x:c r="I454" t="str">
        <x:v>13:23:00</x:v>
      </x:c>
      <x:c r="J454" t="n">
        <x:v>2011</x:v>
      </x:c>
      <x:c r="K454" t="n">
        <x:v>18.2672611</x:v>
      </x:c>
      <x:c r="L454" t="n">
        <x:v>-65.10094965</x:v>
      </x:c>
      <x:c r="M454" t="n">
        <x:v>26.704</x:v>
      </x:c>
      <x:c r="N454" t="str">
        <x:v>https://nccospublicstor.blob.core.windows.net/biomapper/usviinsularshelf2017/videos/low/GV2011_002.mp4</x:v>
      </x:c>
      <x:c r="O454" t="n">
        <x:v>1</x:v>
      </x:c>
      <x:c r="P454" t="n">
        <x:v>0</x:v>
      </x:c>
      <x:c r="Q454" t="n">
        <x:v>0</x:v>
      </x:c>
      <x:c r="R454" t="n">
        <x:v>0</x:v>
      </x:c>
      <x:c r="S454" t="n">
        <x:v>1</x:v>
      </x:c>
      <x:c r="T454" t="n">
        <x:v>0</x:v>
      </x:c>
      <x:c r="U454" t="n">
        <x:v>1</x:v>
      </x:c>
      <x:c r="V454" t="n">
        <x:v>1</x:v>
      </x:c>
      <x:c r="W454" t="n">
        <x:v>0</x:v>
      </x:c>
      <x:c r="X454" t="n">
        <x:v>0</x:v>
      </x:c>
      <x:c r="Y454" t="n">
        <x:v>0</x:v>
      </x:c>
      <x:c r="Z454" t="n">
        <x:v>1</x:v>
      </x:c>
      <x:c r="AA454" t="n">
        <x:v>3</x:v>
      </x:c>
      <x:c r="AB454" t="str">
        <x:v>Pass</x:v>
      </x:c>
      <x:c r="AC454" t="str"/>
      <x:c r="AD454" t="str"/>
    </x:row>
    <x:row r="455">
      <x:c r="A455" t="str">
        <x:v>REC0454</x:v>
      </x:c>
      <x:c r="B455" t="n">
        <x:v>453</x:v>
      </x:c>
      <x:c r="C455" t="str">
        <x:v>St. Thomas, USVI</x:v>
      </x:c>
      <x:c r="D455" t="str">
        <x:v>GV</x:v>
      </x:c>
      <x:c r="E455" t="str">
        <x:v>Ground Validation</x:v>
      </x:c>
      <x:c r="F455" t="str">
        <x:v>Seaviewer Drop Camera</x:v>
      </x:c>
      <x:c r="G455" t="str">
        <x:v>GV2011_003</x:v>
      </x:c>
      <x:c r="H455" s="28" t="n">
        <x:v>40644</x:v>
      </x:c>
      <x:c r="I455" t="str">
        <x:v>13:52:01</x:v>
      </x:c>
      <x:c r="J455" t="n">
        <x:v>2011</x:v>
      </x:c>
      <x:c r="K455" t="n">
        <x:v>18.23908596</x:v>
      </x:c>
      <x:c r="L455" t="n">
        <x:v>-65.09111737</x:v>
      </x:c>
      <x:c r="M455" t="n">
        <x:v>31.882</x:v>
      </x:c>
      <x:c r="N455" t="str">
        <x:v>https://nccospublicstor.blob.core.windows.net/biomapper/usviinsularshelf2017/videos/low/GV2011_003.mp4</x:v>
      </x:c>
      <x:c r="O455" t="n">
        <x:v>1</x:v>
      </x:c>
      <x:c r="P455" t="n">
        <x:v>0</x:v>
      </x:c>
      <x:c r="Q455" t="n">
        <x:v>0</x:v>
      </x:c>
      <x:c r="R455" t="n">
        <x:v>0</x:v>
      </x:c>
      <x:c r="S455" t="n">
        <x:v>1</x:v>
      </x:c>
      <x:c r="T455" t="n">
        <x:v>0</x:v>
      </x:c>
      <x:c r="U455" t="n">
        <x:v>1</x:v>
      </x:c>
      <x:c r="V455" t="n">
        <x:v>1</x:v>
      </x:c>
      <x:c r="W455" t="n">
        <x:v>0</x:v>
      </x:c>
      <x:c r="X455" t="n">
        <x:v>0</x:v>
      </x:c>
      <x:c r="Y455" t="n">
        <x:v>0</x:v>
      </x:c>
      <x:c r="Z455" t="n">
        <x:v>1</x:v>
      </x:c>
      <x:c r="AA455" t="n">
        <x:v>3</x:v>
      </x:c>
      <x:c r="AB455" t="str">
        <x:v>Pass</x:v>
      </x:c>
      <x:c r="AC455" t="str"/>
      <x:c r="AD455" t="str"/>
    </x:row>
    <x:row r="456">
      <x:c r="A456" t="str">
        <x:v>REC0455</x:v>
      </x:c>
      <x:c r="B456" t="n">
        <x:v>454</x:v>
      </x:c>
      <x:c r="C456" t="str">
        <x:v>St. Thomas, USVI</x:v>
      </x:c>
      <x:c r="D456" t="str">
        <x:v>GV</x:v>
      </x:c>
      <x:c r="E456" t="str">
        <x:v>Ground Validation</x:v>
      </x:c>
      <x:c r="F456" t="str">
        <x:v>Seaviewer Drop Camera</x:v>
      </x:c>
      <x:c r="G456" t="str">
        <x:v>GV2011_005</x:v>
      </x:c>
      <x:c r="H456" s="28" t="n">
        <x:v>40644</x:v>
      </x:c>
      <x:c r="I456" t="str">
        <x:v>14:32:48</x:v>
      </x:c>
      <x:c r="J456" t="n">
        <x:v>2011</x:v>
      </x:c>
      <x:c r="K456" t="n">
        <x:v>18.23171863</x:v>
      </x:c>
      <x:c r="L456" t="n">
        <x:v>-65.11407017</x:v>
      </x:c>
      <x:c r="M456" t="n">
        <x:v>35.13</x:v>
      </x:c>
      <x:c r="N456" t="str">
        <x:v>https://nccospublicstor.blob.core.windows.net/biomapper/usviinsularshelf2017/videos/low/GV2011_005.mp4</x:v>
      </x:c>
      <x:c r="O456" t="n">
        <x:v>1</x:v>
      </x:c>
      <x:c r="P456" t="n">
        <x:v>0</x:v>
      </x:c>
      <x:c r="Q456" t="n">
        <x:v>0</x:v>
      </x:c>
      <x:c r="R456" t="n">
        <x:v>1</x:v>
      </x:c>
      <x:c r="S456" t="n">
        <x:v>1</x:v>
      </x:c>
      <x:c r="T456" t="n">
        <x:v>0</x:v>
      </x:c>
      <x:c r="U456" t="n">
        <x:v>1</x:v>
      </x:c>
      <x:c r="V456" t="n">
        <x:v>1</x:v>
      </x:c>
      <x:c r="W456" t="n">
        <x:v>0</x:v>
      </x:c>
      <x:c r="X456" t="n">
        <x:v>0</x:v>
      </x:c>
      <x:c r="Y456" t="n">
        <x:v>0</x:v>
      </x:c>
      <x:c r="Z456" t="n">
        <x:v>2</x:v>
      </x:c>
      <x:c r="AA456" t="n">
        <x:v>3</x:v>
      </x:c>
      <x:c r="AB456" t="str">
        <x:v>Pass</x:v>
      </x:c>
      <x:c r="AC456" t="str"/>
      <x:c r="AD456" t="str"/>
    </x:row>
    <x:row r="457">
      <x:c r="A457" t="str">
        <x:v>REC0456</x:v>
      </x:c>
      <x:c r="B457" t="n">
        <x:v>455</x:v>
      </x:c>
      <x:c r="C457" t="str">
        <x:v>St. Thomas, USVI</x:v>
      </x:c>
      <x:c r="D457" t="str">
        <x:v>GV</x:v>
      </x:c>
      <x:c r="E457" t="str">
        <x:v>Ground Validation</x:v>
      </x:c>
      <x:c r="F457" t="str">
        <x:v>Seaviewer Drop Camera</x:v>
      </x:c>
      <x:c r="G457" t="str">
        <x:v>GV2011_006</x:v>
      </x:c>
      <x:c r="H457" s="28" t="n">
        <x:v>40644</x:v>
      </x:c>
      <x:c r="I457" t="str">
        <x:v>14:27:56</x:v>
      </x:c>
      <x:c r="J457" t="n">
        <x:v>2011</x:v>
      </x:c>
      <x:c r="K457" t="n">
        <x:v>18.23093021</x:v>
      </x:c>
      <x:c r="L457" t="n">
        <x:v>-65.11367165</x:v>
      </x:c>
      <x:c r="M457" t="n">
        <x:v>37.532</x:v>
      </x:c>
      <x:c r="N457" t="str">
        <x:v>https://nccospublicstor.blob.core.windows.net/biomapper/usviinsularshelf2017/videos/low/GV2011_006.mp4</x:v>
      </x:c>
      <x:c r="O457" t="n">
        <x:v>1</x:v>
      </x:c>
      <x:c r="P457" t="n">
        <x:v>0</x:v>
      </x:c>
      <x:c r="Q457" t="n">
        <x:v>0</x:v>
      </x:c>
      <x:c r="R457" t="n">
        <x:v>0</x:v>
      </x:c>
      <x:c r="S457" t="n">
        <x:v>1</x:v>
      </x:c>
      <x:c r="T457" t="n">
        <x:v>0</x:v>
      </x:c>
      <x:c r="U457" t="n">
        <x:v>1</x:v>
      </x:c>
      <x:c r="V457" t="n">
        <x:v>1</x:v>
      </x:c>
      <x:c r="W457" t="n">
        <x:v>0</x:v>
      </x:c>
      <x:c r="X457" t="n">
        <x:v>0</x:v>
      </x:c>
      <x:c r="Y457" t="n">
        <x:v>0</x:v>
      </x:c>
      <x:c r="Z457" t="n">
        <x:v>1</x:v>
      </x:c>
      <x:c r="AA457" t="n">
        <x:v>3</x:v>
      </x:c>
      <x:c r="AB457" t="str">
        <x:v>Pass</x:v>
      </x:c>
      <x:c r="AC457" t="str"/>
      <x:c r="AD457" t="str"/>
    </x:row>
    <x:row r="458">
      <x:c r="A458" t="str">
        <x:v>REC0457</x:v>
      </x:c>
      <x:c r="B458" t="n">
        <x:v>456</x:v>
      </x:c>
      <x:c r="C458" t="str">
        <x:v>St. Thomas, USVI</x:v>
      </x:c>
      <x:c r="D458" t="str">
        <x:v>GV</x:v>
      </x:c>
      <x:c r="E458" t="str">
        <x:v>Ground Validation</x:v>
      </x:c>
      <x:c r="F458" t="str">
        <x:v>Seaviewer Drop Camera</x:v>
      </x:c>
      <x:c r="G458" t="str">
        <x:v>GV2011_009</x:v>
      </x:c>
      <x:c r="H458" s="28" t="n">
        <x:v>40644</x:v>
      </x:c>
      <x:c r="I458" t="str">
        <x:v>12:36:52</x:v>
      </x:c>
      <x:c r="J458" t="n">
        <x:v>2011</x:v>
      </x:c>
      <x:c r="K458" t="n">
        <x:v>18.27161349</x:v>
      </x:c>
      <x:c r="L458" t="n">
        <x:v>-65.0604169</x:v>
      </x:c>
      <x:c r="M458" t="n">
        <x:v>34.06</x:v>
      </x:c>
      <x:c r="N458" t="str">
        <x:v>https://nccospublicstor.blob.core.windows.net/biomapper/usviinsularshelf2017/videos/low/GV2011_009.mp4</x:v>
      </x:c>
      <x:c r="O458" t="n">
        <x:v>0</x:v>
      </x:c>
      <x:c r="P458" t="n">
        <x:v>0</x:v>
      </x:c>
      <x:c r="Q458" t="n">
        <x:v>1</x:v>
      </x:c>
      <x:c r="R458" t="n">
        <x:v>0</x:v>
      </x:c>
      <x:c r="S458" t="n">
        <x:v>0</x:v>
      </x:c>
      <x:c r="T458" t="n">
        <x:v>0</x:v>
      </x:c>
      <x:c r="U458" t="n">
        <x:v>1</x:v>
      </x:c>
      <x:c r="V458" t="n">
        <x:v>1</x:v>
      </x:c>
      <x:c r="W458" t="n">
        <x:v>0</x:v>
      </x:c>
      <x:c r="X458" t="n">
        <x:v>0</x:v>
      </x:c>
      <x:c r="Y458" t="n">
        <x:v>0</x:v>
      </x:c>
      <x:c r="Z458" t="n">
        <x:v>1</x:v>
      </x:c>
      <x:c r="AA458" t="n">
        <x:v>2</x:v>
      </x:c>
      <x:c r="AB458" t="str">
        <x:v>Pass</x:v>
      </x:c>
      <x:c r="AC458" t="str"/>
      <x:c r="AD458" t="str"/>
    </x:row>
    <x:row r="459">
      <x:c r="A459" t="str">
        <x:v>REC0458</x:v>
      </x:c>
      <x:c r="B459" t="n">
        <x:v>457</x:v>
      </x:c>
      <x:c r="C459" t="str">
        <x:v>St. Thomas, USVI</x:v>
      </x:c>
      <x:c r="D459" t="str">
        <x:v>GV</x:v>
      </x:c>
      <x:c r="E459" t="str">
        <x:v>Ground Validation</x:v>
      </x:c>
      <x:c r="F459" t="str">
        <x:v>Seaviewer Drop Camera</x:v>
      </x:c>
      <x:c r="G459" t="str">
        <x:v>GV2011_010</x:v>
      </x:c>
      <x:c r="H459" s="28" t="n">
        <x:v>40644</x:v>
      </x:c>
      <x:c r="I459" t="str">
        <x:v>12:55:08</x:v>
      </x:c>
      <x:c r="J459" t="n">
        <x:v>2011</x:v>
      </x:c>
      <x:c r="K459" t="n">
        <x:v>18.2815063</x:v>
      </x:c>
      <x:c r="L459" t="n">
        <x:v>-65.07295049</x:v>
      </x:c>
      <x:c r="M459" t="n">
        <x:v>33.349</x:v>
      </x:c>
      <x:c r="N459" t="str">
        <x:v>https://nccospublicstor.blob.core.windows.net/biomapper/usviinsularshelf2017/videos/low/GV2011_010.mp4</x:v>
      </x:c>
      <x:c r="O459" t="n">
        <x:v>0</x:v>
      </x:c>
      <x:c r="P459" t="n">
        <x:v>1</x:v>
      </x:c>
      <x:c r="Q459" t="n">
        <x:v>1</x:v>
      </x:c>
      <x:c r="R459" t="n">
        <x:v>0</x:v>
      </x:c>
      <x:c r="S459" t="n">
        <x:v>0</x:v>
      </x:c>
      <x:c r="T459" t="n">
        <x:v>0</x:v>
      </x:c>
      <x:c r="U459" t="n">
        <x:v>1</x:v>
      </x:c>
      <x:c r="V459" t="n">
        <x:v>1</x:v>
      </x:c>
      <x:c r="W459" t="n">
        <x:v>0</x:v>
      </x:c>
      <x:c r="X459" t="n">
        <x:v>0</x:v>
      </x:c>
      <x:c r="Y459" t="n">
        <x:v>0</x:v>
      </x:c>
      <x:c r="Z459" t="n">
        <x:v>2</x:v>
      </x:c>
      <x:c r="AA459" t="n">
        <x:v>2</x:v>
      </x:c>
      <x:c r="AB459" t="str">
        <x:v>Pass</x:v>
      </x:c>
      <x:c r="AC459" t="str"/>
      <x:c r="AD459" t="str"/>
    </x:row>
    <x:row r="460">
      <x:c r="A460" t="str">
        <x:v>REC0459</x:v>
      </x:c>
      <x:c r="B460" t="n">
        <x:v>458</x:v>
      </x:c>
      <x:c r="C460" t="str">
        <x:v>St. Thomas, USVI</x:v>
      </x:c>
      <x:c r="D460" t="str">
        <x:v>GV</x:v>
      </x:c>
      <x:c r="E460" t="str">
        <x:v>Ground Validation</x:v>
      </x:c>
      <x:c r="F460" t="str">
        <x:v>Seaviewer Drop Camera</x:v>
      </x:c>
      <x:c r="G460" t="str">
        <x:v>GV2011_011</x:v>
      </x:c>
      <x:c r="H460" s="28" t="n">
        <x:v>40644</x:v>
      </x:c>
      <x:c r="I460" t="str">
        <x:v>13:12:32</x:v>
      </x:c>
      <x:c r="J460" t="n">
        <x:v>2011</x:v>
      </x:c>
      <x:c r="K460" t="n">
        <x:v>18.27305191</x:v>
      </x:c>
      <x:c r="L460" t="n">
        <x:v>-65.09171494</x:v>
      </x:c>
      <x:c r="M460" t="n">
        <x:v>34.077</x:v>
      </x:c>
      <x:c r="N460" t="str">
        <x:v>https://nccospublicstor.blob.core.windows.net/biomapper/usviinsularshelf2017/videos/low/GV2011_011.mp4</x:v>
      </x:c>
      <x:c r="O460" t="n">
        <x:v>1</x:v>
      </x:c>
      <x:c r="P460" t="n">
        <x:v>0</x:v>
      </x:c>
      <x:c r="Q460" t="n">
        <x:v>0</x:v>
      </x:c>
      <x:c r="R460" t="n">
        <x:v>1</x:v>
      </x:c>
      <x:c r="S460" t="n">
        <x:v>1</x:v>
      </x:c>
      <x:c r="T460" t="n">
        <x:v>0</x:v>
      </x:c>
      <x:c r="U460" t="n">
        <x:v>1</x:v>
      </x:c>
      <x:c r="V460" t="n">
        <x:v>1</x:v>
      </x:c>
      <x:c r="W460" t="n">
        <x:v>0</x:v>
      </x:c>
      <x:c r="X460" t="n">
        <x:v>0</x:v>
      </x:c>
      <x:c r="Y460" t="n">
        <x:v>0</x:v>
      </x:c>
      <x:c r="Z460" t="n">
        <x:v>2</x:v>
      </x:c>
      <x:c r="AA460" t="n">
        <x:v>3</x:v>
      </x:c>
      <x:c r="AB460" t="str">
        <x:v>Pass</x:v>
      </x:c>
      <x:c r="AC460" t="str"/>
      <x:c r="AD460" t="str"/>
    </x:row>
    <x:row r="461">
      <x:c r="A461" t="str">
        <x:v>REC0460</x:v>
      </x:c>
      <x:c r="B461" t="n">
        <x:v>459</x:v>
      </x:c>
      <x:c r="C461" t="str">
        <x:v>St. Thomas, USVI</x:v>
      </x:c>
      <x:c r="D461" t="str">
        <x:v>GV</x:v>
      </x:c>
      <x:c r="E461" t="str">
        <x:v>Ground Validation</x:v>
      </x:c>
      <x:c r="F461" t="str">
        <x:v>Seaviewer Drop Camera</x:v>
      </x:c>
      <x:c r="G461" t="str">
        <x:v>GV2011_012</x:v>
      </x:c>
      <x:c r="H461" s="28" t="n">
        <x:v>40644</x:v>
      </x:c>
      <x:c r="I461" t="str">
        <x:v>13:04:54</x:v>
      </x:c>
      <x:c r="J461" t="n">
        <x:v>2011</x:v>
      </x:c>
      <x:c r="K461" t="n">
        <x:v>18.27497196</x:v>
      </x:c>
      <x:c r="L461" t="n">
        <x:v>-65.08506428</x:v>
      </x:c>
      <x:c r="M461" t="n">
        <x:v>34.459</x:v>
      </x:c>
      <x:c r="N461" t="str">
        <x:v>https://nccospublicstor.blob.core.windows.net/biomapper/usviinsularshelf2017/videos/low/GV2011_012.mp4</x:v>
      </x:c>
      <x:c r="O461" t="n">
        <x:v>0</x:v>
      </x:c>
      <x:c r="P461" t="n">
        <x:v>1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1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1</x:v>
      </x:c>
      <x:c r="AA461" t="n">
        <x:v>1</x:v>
      </x:c>
      <x:c r="AB461" t="str">
        <x:v>Pass</x:v>
      </x:c>
      <x:c r="AC461" t="str"/>
      <x:c r="AD461" t="str"/>
    </x:row>
    <x:row r="462">
      <x:c r="A462" t="str">
        <x:v>REC0461</x:v>
      </x:c>
      <x:c r="B462" t="n">
        <x:v>460</x:v>
      </x:c>
      <x:c r="C462" t="str">
        <x:v>St. Thomas, USVI</x:v>
      </x:c>
      <x:c r="D462" t="str">
        <x:v>GV</x:v>
      </x:c>
      <x:c r="E462" t="str">
        <x:v>Ground Validation</x:v>
      </x:c>
      <x:c r="F462" t="str">
        <x:v>Seaviewer Drop Camera</x:v>
      </x:c>
      <x:c r="G462" t="str">
        <x:v>GV2011_013</x:v>
      </x:c>
      <x:c r="H462" s="28" t="n">
        <x:v>40644</x:v>
      </x:c>
      <x:c r="I462" t="str">
        <x:v>13:38:11</x:v>
      </x:c>
      <x:c r="J462" t="n">
        <x:v>2011</x:v>
      </x:c>
      <x:c r="K462" t="n">
        <x:v>18.25631069</x:v>
      </x:c>
      <x:c r="L462" t="n">
        <x:v>-65.09115318</x:v>
      </x:c>
      <x:c r="M462" t="n">
        <x:v>28.468</x:v>
      </x:c>
      <x:c r="N462" t="str">
        <x:v>https://nccospublicstor.blob.core.windows.net/biomapper/usviinsularshelf2017/videos/low/GV2011_013.mp4</x:v>
      </x:c>
      <x:c r="O462" t="n">
        <x:v>1</x:v>
      </x:c>
      <x:c r="P462" t="n">
        <x:v>0</x:v>
      </x:c>
      <x:c r="Q462" t="n">
        <x:v>0</x:v>
      </x:c>
      <x:c r="R462" t="n">
        <x:v>0</x:v>
      </x:c>
      <x:c r="S462" t="n">
        <x:v>1</x:v>
      </x:c>
      <x:c r="T462" t="n">
        <x:v>1</x:v>
      </x:c>
      <x:c r="U462" t="n">
        <x:v>1</x:v>
      </x:c>
      <x:c r="V462" t="n">
        <x:v>1</x:v>
      </x:c>
      <x:c r="W462" t="n">
        <x:v>0</x:v>
      </x:c>
      <x:c r="X462" t="n">
        <x:v>0</x:v>
      </x:c>
      <x:c r="Y462" t="n">
        <x:v>0</x:v>
      </x:c>
      <x:c r="Z462" t="n">
        <x:v>1</x:v>
      </x:c>
      <x:c r="AA462" t="n">
        <x:v>4</x:v>
      </x:c>
      <x:c r="AB462" t="str">
        <x:v>Pass</x:v>
      </x:c>
      <x:c r="AC462" t="str"/>
      <x:c r="AD462" t="str"/>
    </x:row>
    <x:row r="463">
      <x:c r="A463" t="str">
        <x:v>REC0462</x:v>
      </x:c>
      <x:c r="B463" t="n">
        <x:v>461</x:v>
      </x:c>
      <x:c r="C463" t="str">
        <x:v>St. Thomas, USVI</x:v>
      </x:c>
      <x:c r="D463" t="str">
        <x:v>GV</x:v>
      </x:c>
      <x:c r="E463" t="str">
        <x:v>Ground Validation</x:v>
      </x:c>
      <x:c r="F463" t="str">
        <x:v>Seaviewer Drop Camera</x:v>
      </x:c>
      <x:c r="G463" t="str">
        <x:v>GV2011_015</x:v>
      </x:c>
      <x:c r="H463" s="28" t="n">
        <x:v>40634</x:v>
      </x:c>
      <x:c r="I463" t="str">
        <x:v>14:41:52</x:v>
      </x:c>
      <x:c r="J463" t="n">
        <x:v>2011</x:v>
      </x:c>
      <x:c r="K463" t="n">
        <x:v>18.24937429</x:v>
      </x:c>
      <x:c r="L463" t="n">
        <x:v>-65.06296432</x:v>
      </x:c>
      <x:c r="M463" t="n">
        <x:v>35.827</x:v>
      </x:c>
      <x:c r="N463" t="str">
        <x:v>https://nccospublicstor.blob.core.windows.net/biomapper/usviinsularshelf2017/videos/low/GV2011_015.mp4</x:v>
      </x:c>
      <x:c r="O463" t="n">
        <x:v>0</x:v>
      </x:c>
      <x:c r="P463" t="n">
        <x:v>0</x:v>
      </x:c>
      <x:c r="Q463" t="n">
        <x:v>1</x:v>
      </x:c>
      <x:c r="R463" t="n">
        <x:v>0</x:v>
      </x:c>
      <x:c r="S463" t="n">
        <x:v>0</x:v>
      </x:c>
      <x:c r="T463" t="n">
        <x:v>0</x:v>
      </x:c>
      <x:c r="U463" t="n">
        <x:v>1</x:v>
      </x:c>
      <x:c r="V463" t="n">
        <x:v>1</x:v>
      </x:c>
      <x:c r="W463" t="n">
        <x:v>0</x:v>
      </x:c>
      <x:c r="X463" t="n">
        <x:v>0</x:v>
      </x:c>
      <x:c r="Y463" t="n">
        <x:v>0</x:v>
      </x:c>
      <x:c r="Z463" t="n">
        <x:v>1</x:v>
      </x:c>
      <x:c r="AA463" t="n">
        <x:v>2</x:v>
      </x:c>
      <x:c r="AB463" t="str">
        <x:v>Pass</x:v>
      </x:c>
      <x:c r="AC463" t="str"/>
      <x:c r="AD463" t="str"/>
    </x:row>
    <x:row r="464">
      <x:c r="A464" t="str">
        <x:v>REC0463</x:v>
      </x:c>
      <x:c r="B464" t="n">
        <x:v>462</x:v>
      </x:c>
      <x:c r="C464" t="str">
        <x:v>St. Thomas, USVI</x:v>
      </x:c>
      <x:c r="D464" t="str">
        <x:v>GV</x:v>
      </x:c>
      <x:c r="E464" t="str">
        <x:v>Ground Validation</x:v>
      </x:c>
      <x:c r="F464" t="str">
        <x:v>Seaviewer Drop Camera</x:v>
      </x:c>
      <x:c r="G464" t="str">
        <x:v>GV2011_016</x:v>
      </x:c>
      <x:c r="H464" s="28" t="n">
        <x:v>40634</x:v>
      </x:c>
      <x:c r="I464" t="str">
        <x:v>14:05:57</x:v>
      </x:c>
      <x:c r="J464" t="n">
        <x:v>2011</x:v>
      </x:c>
      <x:c r="K464" t="n">
        <x:v>18.2383361</x:v>
      </x:c>
      <x:c r="L464" t="n">
        <x:v>-65.0336633</x:v>
      </x:c>
      <x:c r="M464" t="n">
        <x:v>39.637</x:v>
      </x:c>
      <x:c r="N464" t="str">
        <x:v>https://nccospublicstor.blob.core.windows.net/biomapper/usviinsularshelf2017/videos/low/GV2011_016.mp4</x:v>
      </x:c>
      <x:c r="O464" t="n">
        <x:v>0</x:v>
      </x:c>
      <x:c r="P464" t="n">
        <x:v>0</x:v>
      </x:c>
      <x:c r="Q464" t="n">
        <x:v>1</x:v>
      </x:c>
      <x:c r="R464" t="n">
        <x:v>1</x:v>
      </x:c>
      <x:c r="S464" t="n">
        <x:v>0</x:v>
      </x:c>
      <x:c r="T464" t="n">
        <x:v>0</x:v>
      </x:c>
      <x:c r="U464" t="n">
        <x:v>1</x:v>
      </x:c>
      <x:c r="V464" t="n">
        <x:v>1</x:v>
      </x:c>
      <x:c r="W464" t="n">
        <x:v>0</x:v>
      </x:c>
      <x:c r="X464" t="n">
        <x:v>0</x:v>
      </x:c>
      <x:c r="Y464" t="n">
        <x:v>0</x:v>
      </x:c>
      <x:c r="Z464" t="n">
        <x:v>2</x:v>
      </x:c>
      <x:c r="AA464" t="n">
        <x:v>2</x:v>
      </x:c>
      <x:c r="AB464" t="str">
        <x:v>Pass</x:v>
      </x:c>
      <x:c r="AC464" t="str"/>
      <x:c r="AD464" t="str"/>
    </x:row>
    <x:row r="465">
      <x:c r="A465" t="str">
        <x:v>REC0464</x:v>
      </x:c>
      <x:c r="B465" t="n">
        <x:v>463</x:v>
      </x:c>
      <x:c r="C465" t="str">
        <x:v>St. Thomas, USVI</x:v>
      </x:c>
      <x:c r="D465" t="str">
        <x:v>GV</x:v>
      </x:c>
      <x:c r="E465" t="str">
        <x:v>Ground Validation</x:v>
      </x:c>
      <x:c r="F465" t="str">
        <x:v>Seaviewer Drop Camera</x:v>
      </x:c>
      <x:c r="G465" t="str">
        <x:v>GV2011_019</x:v>
      </x:c>
      <x:c r="H465" s="28" t="n">
        <x:v>40644</x:v>
      </x:c>
      <x:c r="I465" t="str">
        <x:v>14:00:06</x:v>
      </x:c>
      <x:c r="J465" t="n">
        <x:v>2011</x:v>
      </x:c>
      <x:c r="K465" t="n">
        <x:v>18.22946493</x:v>
      </x:c>
      <x:c r="L465" t="n">
        <x:v>-65.09052515</x:v>
      </x:c>
      <x:c r="M465" t="n">
        <x:v>33.723</x:v>
      </x:c>
      <x:c r="N465" t="str">
        <x:v>https://nccospublicstor.blob.core.windows.net/biomapper/usviinsularshelf2017/videos/low/GV2011_019.mp4</x:v>
      </x:c>
      <x:c r="O465" t="n">
        <x:v>1</x:v>
      </x:c>
      <x:c r="P465" t="n">
        <x:v>0</x:v>
      </x:c>
      <x:c r="Q465" t="n">
        <x:v>0</x:v>
      </x:c>
      <x:c r="R465" t="n">
        <x:v>0</x:v>
      </x:c>
      <x:c r="S465" t="n">
        <x:v>1</x:v>
      </x:c>
      <x:c r="T465" t="n">
        <x:v>1</x:v>
      </x:c>
      <x:c r="U465" t="n">
        <x:v>1</x:v>
      </x:c>
      <x:c r="V465" t="n">
        <x:v>1</x:v>
      </x:c>
      <x:c r="W465" t="n">
        <x:v>0</x:v>
      </x:c>
      <x:c r="X465" t="n">
        <x:v>0</x:v>
      </x:c>
      <x:c r="Y465" t="n">
        <x:v>0</x:v>
      </x:c>
      <x:c r="Z465" t="n">
        <x:v>1</x:v>
      </x:c>
      <x:c r="AA465" t="n">
        <x:v>4</x:v>
      </x:c>
      <x:c r="AB465" t="str">
        <x:v>Pass</x:v>
      </x:c>
      <x:c r="AC465" t="str"/>
      <x:c r="AD465" t="str"/>
    </x:row>
    <x:row r="466">
      <x:c r="A466" t="str">
        <x:v>REC0465</x:v>
      </x:c>
      <x:c r="B466" t="n">
        <x:v>464</x:v>
      </x:c>
      <x:c r="C466" t="str">
        <x:v>St. Thomas, USVI</x:v>
      </x:c>
      <x:c r="D466" t="str">
        <x:v>GV</x:v>
      </x:c>
      <x:c r="E466" t="str">
        <x:v>Ground Validation</x:v>
      </x:c>
      <x:c r="F466" t="str">
        <x:v>Seaviewer Drop Camera</x:v>
      </x:c>
      <x:c r="G466" t="str">
        <x:v>GV2011_022</x:v>
      </x:c>
      <x:c r="H466" s="28" t="n">
        <x:v>40642</x:v>
      </x:c>
      <x:c r="I466" t="str">
        <x:v>13:48:13</x:v>
      </x:c>
      <x:c r="J466" t="n">
        <x:v>2011</x:v>
      </x:c>
      <x:c r="K466" t="n">
        <x:v>18.21281933</x:v>
      </x:c>
      <x:c r="L466" t="n">
        <x:v>-65.0335204</x:v>
      </x:c>
      <x:c r="M466" t="n">
        <x:v>44.148</x:v>
      </x:c>
      <x:c r="N466" t="str">
        <x:v>https://nccospublicstor.blob.core.windows.net/biomapper/usviinsularshelf2017/videos/low/GV2011_022.mp4</x:v>
      </x:c>
      <x:c r="O466" t="n">
        <x:v>0</x:v>
      </x:c>
      <x:c r="P466" t="n">
        <x:v>0</x:v>
      </x:c>
      <x:c r="Q466" t="n">
        <x:v>1</x:v>
      </x:c>
      <x:c r="R466" t="n">
        <x:v>0</x:v>
      </x:c>
      <x:c r="S466" t="n">
        <x:v>0</x:v>
      </x:c>
      <x:c r="T466" t="n">
        <x:v>0</x:v>
      </x:c>
      <x:c r="U466" t="n">
        <x:v>1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1</x:v>
      </x:c>
      <x:c r="AA466" t="n">
        <x:v>1</x:v>
      </x:c>
      <x:c r="AB466" t="str">
        <x:v>Pass</x:v>
      </x:c>
      <x:c r="AC466" t="str"/>
      <x:c r="AD466" t="str"/>
    </x:row>
    <x:row r="467">
      <x:c r="A467" t="str">
        <x:v>REC0466</x:v>
      </x:c>
      <x:c r="B467" t="n">
        <x:v>465</x:v>
      </x:c>
      <x:c r="C467" t="str">
        <x:v>St. Thomas, USVI</x:v>
      </x:c>
      <x:c r="D467" t="str">
        <x:v>GV</x:v>
      </x:c>
      <x:c r="E467" t="str">
        <x:v>Ground Validation</x:v>
      </x:c>
      <x:c r="F467" t="str">
        <x:v>Seaviewer Drop Camera</x:v>
      </x:c>
      <x:c r="G467" t="str">
        <x:v>GV2011_025_1</x:v>
      </x:c>
      <x:c r="H467" s="28" t="n">
        <x:v>40634</x:v>
      </x:c>
      <x:c r="I467" t="str">
        <x:v>13:23:33</x:v>
      </x:c>
      <x:c r="J467" t="n">
        <x:v>2011</x:v>
      </x:c>
      <x:c r="K467" t="n">
        <x:v>18.2124014</x:v>
      </x:c>
      <x:c r="L467" t="n">
        <x:v>-65.01567146</x:v>
      </x:c>
      <x:c r="M467" t="n">
        <x:v>44.62</x:v>
      </x:c>
      <x:c r="N467" t="str">
        <x:v>https://nccospublicstor.blob.core.windows.net/biomapper/usviinsularshelf2017/videos/low/GV2011_025_1.mp4</x:v>
      </x:c>
      <x:c r="O467" t="n">
        <x:v>0</x:v>
      </x:c>
      <x:c r="P467" t="n">
        <x:v>0</x:v>
      </x:c>
      <x:c r="Q467" t="n">
        <x:v>1</x:v>
      </x:c>
      <x:c r="R467" t="n">
        <x:v>1</x:v>
      </x:c>
      <x:c r="S467" t="n">
        <x:v>0</x:v>
      </x:c>
      <x:c r="T467" t="n">
        <x:v>0</x:v>
      </x:c>
      <x:c r="U467" t="n">
        <x:v>1</x:v>
      </x:c>
      <x:c r="V467" t="n">
        <x:v>0</x:v>
      </x:c>
      <x:c r="W467" t="n">
        <x:v>0</x:v>
      </x:c>
      <x:c r="X467" t="n">
        <x:v>1</x:v>
      </x:c>
      <x:c r="Y467" t="n">
        <x:v>0</x:v>
      </x:c>
      <x:c r="Z467" t="n">
        <x:v>2</x:v>
      </x:c>
      <x:c r="AA467" t="n">
        <x:v>1</x:v>
      </x:c>
      <x:c r="AB467" t="str">
        <x:v>Pass</x:v>
      </x:c>
      <x:c r="AC467" t="str"/>
      <x:c r="AD467" t="str">
        <x:v>Cable  or Trap Line</x:v>
      </x:c>
    </x:row>
    <x:row r="468">
      <x:c r="A468" t="str">
        <x:v>REC0467</x:v>
      </x:c>
      <x:c r="B468" t="n">
        <x:v>466</x:v>
      </x:c>
      <x:c r="C468" t="str">
        <x:v>St. Thomas, USVI</x:v>
      </x:c>
      <x:c r="D468" t="str">
        <x:v>GV</x:v>
      </x:c>
      <x:c r="E468" t="str">
        <x:v>Ground Validation</x:v>
      </x:c>
      <x:c r="F468" t="str">
        <x:v>Seaviewer Drop Camera</x:v>
      </x:c>
      <x:c r="G468" t="str">
        <x:v>GV2011_025_2</x:v>
      </x:c>
      <x:c r="H468" s="28" t="n">
        <x:v>40642</x:v>
      </x:c>
      <x:c r="I468" t="str">
        <x:v>13:31:33</x:v>
      </x:c>
      <x:c r="J468" t="n">
        <x:v>2011</x:v>
      </x:c>
      <x:c r="K468" t="n">
        <x:v>18.21204031</x:v>
      </x:c>
      <x:c r="L468" t="n">
        <x:v>-65.01552087</x:v>
      </x:c>
      <x:c r="M468" t="n">
        <x:v>44.486</x:v>
      </x:c>
      <x:c r="N468" t="str">
        <x:v>https://nccospublicstor.blob.core.windows.net/biomapper/usviinsularshelf2017/videos/low/GV2011_025_2.mp4</x:v>
      </x:c>
      <x:c r="O468" t="n">
        <x:v>0</x:v>
      </x:c>
      <x:c r="P468" t="n">
        <x:v>0</x:v>
      </x:c>
      <x:c r="Q468" t="n">
        <x:v>1</x:v>
      </x:c>
      <x:c r="R468" t="n">
        <x:v>1</x:v>
      </x:c>
      <x:c r="S468" t="n">
        <x:v>0</x:v>
      </x:c>
      <x:c r="T468" t="n">
        <x:v>0</x:v>
      </x:c>
      <x:c r="U468" t="n">
        <x:v>1</x:v>
      </x:c>
      <x:c r="V468" t="n">
        <x:v>1</x:v>
      </x:c>
      <x:c r="W468" t="n">
        <x:v>0</x:v>
      </x:c>
      <x:c r="X468" t="n">
        <x:v>1</x:v>
      </x:c>
      <x:c r="Y468" t="n">
        <x:v>0</x:v>
      </x:c>
      <x:c r="Z468" t="n">
        <x:v>2</x:v>
      </x:c>
      <x:c r="AA468" t="n">
        <x:v>2</x:v>
      </x:c>
      <x:c r="AB468" t="str">
        <x:v>Pass</x:v>
      </x:c>
      <x:c r="AC468" t="str"/>
      <x:c r="AD468" t="str">
        <x:v>Cable or Trap Line</x:v>
      </x:c>
    </x:row>
    <x:row r="469">
      <x:c r="A469" t="str">
        <x:v>REC0468</x:v>
      </x:c>
      <x:c r="B469" t="n">
        <x:v>467</x:v>
      </x:c>
      <x:c r="C469" t="str">
        <x:v>St. Thomas, USVI</x:v>
      </x:c>
      <x:c r="D469" t="str">
        <x:v>GV</x:v>
      </x:c>
      <x:c r="E469" t="str">
        <x:v>Ground Validation</x:v>
      </x:c>
      <x:c r="F469" t="str">
        <x:v>Seaviewer Drop Camera</x:v>
      </x:c>
      <x:c r="G469" t="str">
        <x:v>GV2011_026_1</x:v>
      </x:c>
      <x:c r="H469" s="28" t="n">
        <x:v>40634</x:v>
      </x:c>
      <x:c r="I469" t="str">
        <x:v>12:37:36</x:v>
      </x:c>
      <x:c r="J469" t="n">
        <x:v>2011</x:v>
      </x:c>
      <x:c r="K469" t="n">
        <x:v>18.21712094</x:v>
      </x:c>
      <x:c r="L469" t="n">
        <x:v>-65.00439588</x:v>
      </x:c>
      <x:c r="M469" t="n">
        <x:v>42.617</x:v>
      </x:c>
      <x:c r="N469" t="str">
        <x:v>https://nccospublicstor.blob.core.windows.net/biomapper/usviinsularshelf2017/videos/low/GV2011_026_1.mp4</x:v>
      </x:c>
      <x:c r="O469" t="n">
        <x:v>0</x:v>
      </x:c>
      <x:c r="P469" t="n">
        <x:v>0</x:v>
      </x:c>
      <x:c r="Q469" t="n">
        <x:v>0</x:v>
      </x:c>
      <x:c r="R469" t="n">
        <x:v>1</x:v>
      </x:c>
      <x:c r="S469" t="n">
        <x:v>0</x:v>
      </x:c>
      <x:c r="T469" t="n">
        <x:v>0</x:v>
      </x:c>
      <x:c r="U469" t="n">
        <x:v>1</x:v>
      </x:c>
      <x:c r="V469" t="n">
        <x:v>1</x:v>
      </x:c>
      <x:c r="W469" t="n">
        <x:v>0</x:v>
      </x:c>
      <x:c r="X469" t="n">
        <x:v>0</x:v>
      </x:c>
      <x:c r="Y469" t="n">
        <x:v>0</x:v>
      </x:c>
      <x:c r="Z469" t="n">
        <x:v>1</x:v>
      </x:c>
      <x:c r="AA469" t="n">
        <x:v>2</x:v>
      </x:c>
      <x:c r="AB469" t="str">
        <x:v>Pass</x:v>
      </x:c>
      <x:c r="AC469" t="str"/>
      <x:c r="AD469" t="str"/>
    </x:row>
    <x:row r="470">
      <x:c r="A470" t="str">
        <x:v>REC0469</x:v>
      </x:c>
      <x:c r="B470" t="n">
        <x:v>468</x:v>
      </x:c>
      <x:c r="C470" t="str">
        <x:v>St. Thomas, USVI</x:v>
      </x:c>
      <x:c r="D470" t="str">
        <x:v>GV</x:v>
      </x:c>
      <x:c r="E470" t="str">
        <x:v>Ground Validation</x:v>
      </x:c>
      <x:c r="F470" t="str">
        <x:v>Seaviewer Drop Camera</x:v>
      </x:c>
      <x:c r="G470" t="str">
        <x:v>GV2011_026_2</x:v>
      </x:c>
      <x:c r="H470" s="28" t="n">
        <x:v>40642</x:v>
      </x:c>
      <x:c r="I470" t="str">
        <x:v>12:56:12</x:v>
      </x:c>
      <x:c r="J470" t="n">
        <x:v>2011</x:v>
      </x:c>
      <x:c r="K470" t="n">
        <x:v>18.21695161</x:v>
      </x:c>
      <x:c r="L470" t="n">
        <x:v>-65.00416833</x:v>
      </x:c>
      <x:c r="M470" t="n">
        <x:v>42.573</x:v>
      </x:c>
      <x:c r="N470" t="str">
        <x:v>https://nccospublicstor.blob.core.windows.net/biomapper/usviinsularshelf2017/videos/low/GV2011_026_2.mp4</x:v>
      </x:c>
      <x:c r="O470" t="n">
        <x:v>0</x:v>
      </x:c>
      <x:c r="P470" t="n">
        <x:v>0</x:v>
      </x:c>
      <x:c r="Q470" t="n">
        <x:v>0</x:v>
      </x:c>
      <x:c r="R470" t="n">
        <x:v>1</x:v>
      </x:c>
      <x:c r="S470" t="n">
        <x:v>0</x:v>
      </x:c>
      <x:c r="T470" t="n">
        <x:v>0</x:v>
      </x:c>
      <x:c r="U470" t="n">
        <x:v>1</x:v>
      </x:c>
      <x:c r="V470" t="n">
        <x:v>1</x:v>
      </x:c>
      <x:c r="W470" t="n">
        <x:v>0</x:v>
      </x:c>
      <x:c r="X470" t="n">
        <x:v>0</x:v>
      </x:c>
      <x:c r="Y470" t="n">
        <x:v>0</x:v>
      </x:c>
      <x:c r="Z470" t="n">
        <x:v>1</x:v>
      </x:c>
      <x:c r="AA470" t="n">
        <x:v>2</x:v>
      </x:c>
      <x:c r="AB470" t="str">
        <x:v>Pass</x:v>
      </x:c>
      <x:c r="AC470" t="str"/>
      <x:c r="AD470" t="str"/>
    </x:row>
    <x:row r="471">
      <x:c r="A471" t="str">
        <x:v>REC0470</x:v>
      </x:c>
      <x:c r="B471" t="n">
        <x:v>469</x:v>
      </x:c>
      <x:c r="C471" t="str">
        <x:v>St. Thomas, USVI</x:v>
      </x:c>
      <x:c r="D471" t="str">
        <x:v>GV</x:v>
      </x:c>
      <x:c r="E471" t="str">
        <x:v>Ground Validation</x:v>
      </x:c>
      <x:c r="F471" t="str">
        <x:v>Seaviewer Drop Camera</x:v>
      </x:c>
      <x:c r="G471" t="str">
        <x:v>GV2011_027_1</x:v>
      </x:c>
      <x:c r="H471" s="28" t="n">
        <x:v>40634</x:v>
      </x:c>
      <x:c r="I471" t="str">
        <x:v>11:29:38</x:v>
      </x:c>
      <x:c r="J471" t="n">
        <x:v>2011</x:v>
      </x:c>
      <x:c r="K471" t="n">
        <x:v>18.2175635</x:v>
      </x:c>
      <x:c r="L471" t="n">
        <x:v>-64.98628219</x:v>
      </x:c>
      <x:c r="M471" t="n">
        <x:v>41.894</x:v>
      </x:c>
      <x:c r="N471" t="str">
        <x:v>https://nccospublicstor.blob.core.windows.net/biomapper/usviinsularshelf2017/videos/low/GV2011_027_1.mp4</x:v>
      </x:c>
      <x:c r="O471" t="n">
        <x:v>0</x:v>
      </x:c>
      <x:c r="P471" t="n">
        <x:v>0</x:v>
      </x:c>
      <x:c r="Q471" t="n">
        <x:v>1</x:v>
      </x:c>
      <x:c r="R471" t="n">
        <x:v>1</x:v>
      </x:c>
      <x:c r="S471" t="n">
        <x:v>0</x:v>
      </x:c>
      <x:c r="T471" t="n">
        <x:v>0</x:v>
      </x:c>
      <x:c r="U471" t="n">
        <x:v>1</x:v>
      </x:c>
      <x:c r="V471" t="n">
        <x:v>1</x:v>
      </x:c>
      <x:c r="W471" t="n">
        <x:v>0</x:v>
      </x:c>
      <x:c r="X471" t="n">
        <x:v>0</x:v>
      </x:c>
      <x:c r="Y471" t="n">
        <x:v>0</x:v>
      </x:c>
      <x:c r="Z471" t="n">
        <x:v>2</x:v>
      </x:c>
      <x:c r="AA471" t="n">
        <x:v>2</x:v>
      </x:c>
      <x:c r="AB471" t="str">
        <x:v>Pass</x:v>
      </x:c>
      <x:c r="AC471" t="str"/>
      <x:c r="AD471" t="str"/>
    </x:row>
    <x:row r="472">
      <x:c r="A472" t="str">
        <x:v>REC0471</x:v>
      </x:c>
      <x:c r="B472" t="n">
        <x:v>470</x:v>
      </x:c>
      <x:c r="C472" t="str">
        <x:v>St. Thomas, USVI</x:v>
      </x:c>
      <x:c r="D472" t="str">
        <x:v>GV</x:v>
      </x:c>
      <x:c r="E472" t="str">
        <x:v>Ground Validation</x:v>
      </x:c>
      <x:c r="F472" t="str">
        <x:v>Seaviewer Drop Camera</x:v>
      </x:c>
      <x:c r="G472" t="str">
        <x:v>GV2011_027_2</x:v>
      </x:c>
      <x:c r="H472" s="28" t="n">
        <x:v>40642</x:v>
      </x:c>
      <x:c r="I472" t="str">
        <x:v>12:03:58</x:v>
      </x:c>
      <x:c r="J472" t="n">
        <x:v>2011</x:v>
      </x:c>
      <x:c r="K472" t="n">
        <x:v>18.217393</x:v>
      </x:c>
      <x:c r="L472" t="n">
        <x:v>-64.98606332</x:v>
      </x:c>
      <x:c r="M472" t="n">
        <x:v>41.945</x:v>
      </x:c>
      <x:c r="N472" t="str">
        <x:v>https://nccospublicstor.blob.core.windows.net/biomapper/usviinsularshelf2017/videos/low/GV2011_027_2.mp4</x:v>
      </x:c>
      <x:c r="O472" t="n">
        <x:v>0</x:v>
      </x:c>
      <x:c r="P472" t="n">
        <x:v>0</x:v>
      </x:c>
      <x:c r="Q472" t="n">
        <x:v>1</x:v>
      </x:c>
      <x:c r="R472" t="n">
        <x:v>1</x:v>
      </x:c>
      <x:c r="S472" t="n">
        <x:v>0</x:v>
      </x:c>
      <x:c r="T472" t="n">
        <x:v>0</x:v>
      </x:c>
      <x:c r="U472" t="n">
        <x:v>1</x:v>
      </x:c>
      <x:c r="V472" t="n">
        <x:v>1</x:v>
      </x:c>
      <x:c r="W472" t="n">
        <x:v>0</x:v>
      </x:c>
      <x:c r="X472" t="n">
        <x:v>0</x:v>
      </x:c>
      <x:c r="Y472" t="n">
        <x:v>0</x:v>
      </x:c>
      <x:c r="Z472" t="n">
        <x:v>2</x:v>
      </x:c>
      <x:c r="AA472" t="n">
        <x:v>2</x:v>
      </x:c>
      <x:c r="AB472" t="str">
        <x:v>Pass</x:v>
      </x:c>
      <x:c r="AC472" t="str"/>
      <x:c r="AD472" t="str"/>
    </x:row>
    <x:row r="473">
      <x:c r="A473" t="str">
        <x:v>REC0472</x:v>
      </x:c>
      <x:c r="B473" t="n">
        <x:v>471</x:v>
      </x:c>
      <x:c r="C473" t="str">
        <x:v>St. Thomas, USVI</x:v>
      </x:c>
      <x:c r="D473" t="str">
        <x:v>GV</x:v>
      </x:c>
      <x:c r="E473" t="str">
        <x:v>Ground Validation</x:v>
      </x:c>
      <x:c r="F473" t="str">
        <x:v>Seaviewer Drop Camera</x:v>
      </x:c>
      <x:c r="G473" t="str">
        <x:v>GV2011_028_1</x:v>
      </x:c>
      <x:c r="H473" s="28" t="n">
        <x:v>40634</x:v>
      </x:c>
      <x:c r="I473" t="str">
        <x:v>12:26:27</x:v>
      </x:c>
      <x:c r="J473" t="n">
        <x:v>2011</x:v>
      </x:c>
      <x:c r="K473" t="n">
        <x:v>18.21199007</x:v>
      </x:c>
      <x:c r="L473" t="n">
        <x:v>-64.99423055</x:v>
      </x:c>
      <x:c r="M473" t="n">
        <x:v>44.496</x:v>
      </x:c>
      <x:c r="N473" t="str">
        <x:v>https://nccospublicstor.blob.core.windows.net/biomapper/usviinsularshelf2017/videos/low/GV2011_028_1.mp4</x:v>
      </x:c>
      <x:c r="O473" t="n">
        <x:v>0</x:v>
      </x:c>
      <x:c r="P473" t="n">
        <x:v>1</x:v>
      </x:c>
      <x:c r="Q473" t="n">
        <x:v>1</x:v>
      </x:c>
      <x:c r="R473" t="n">
        <x:v>0</x:v>
      </x:c>
      <x:c r="S473" t="n">
        <x:v>1</x:v>
      </x:c>
      <x:c r="T473" t="n">
        <x:v>1</x:v>
      </x:c>
      <x:c r="U473" t="n">
        <x:v>1</x:v>
      </x:c>
      <x:c r="V473" t="n">
        <x:v>1</x:v>
      </x:c>
      <x:c r="W473" t="n">
        <x:v>0</x:v>
      </x:c>
      <x:c r="X473" t="n">
        <x:v>0</x:v>
      </x:c>
      <x:c r="Y473" t="n">
        <x:v>0</x:v>
      </x:c>
      <x:c r="Z473" t="n">
        <x:v>2</x:v>
      </x:c>
      <x:c r="AA473" t="n">
        <x:v>4</x:v>
      </x:c>
      <x:c r="AB473" t="str">
        <x:v>Pass</x:v>
      </x:c>
      <x:c r="AC473" t="str"/>
      <x:c r="AD473" t="str"/>
    </x:row>
    <x:row r="474">
      <x:c r="A474" t="str">
        <x:v>REC0473</x:v>
      </x:c>
      <x:c r="B474" t="n">
        <x:v>472</x:v>
      </x:c>
      <x:c r="C474" t="str">
        <x:v>St. Thomas, USVI</x:v>
      </x:c>
      <x:c r="D474" t="str">
        <x:v>GV</x:v>
      </x:c>
      <x:c r="E474" t="str">
        <x:v>Ground Validation</x:v>
      </x:c>
      <x:c r="F474" t="str">
        <x:v>Seaviewer Drop Camera</x:v>
      </x:c>
      <x:c r="G474" t="str">
        <x:v>GV2011_028_2</x:v>
      </x:c>
      <x:c r="H474" s="28" t="n">
        <x:v>40642</x:v>
      </x:c>
      <x:c r="I474" t="str">
        <x:v>12:47:33</x:v>
      </x:c>
      <x:c r="J474" t="n">
        <x:v>2011</x:v>
      </x:c>
      <x:c r="K474" t="n">
        <x:v>18.21173267</x:v>
      </x:c>
      <x:c r="L474" t="n">
        <x:v>-64.99413449</x:v>
      </x:c>
      <x:c r="M474" t="n">
        <x:v>44.565</x:v>
      </x:c>
      <x:c r="N474" t="str">
        <x:v>https://nccospublicstor.blob.core.windows.net/biomapper/usviinsularshelf2017/videos/low/GV2011_028_2.mp4</x:v>
      </x:c>
      <x:c r="O474" t="n">
        <x:v>0</x:v>
      </x:c>
      <x:c r="P474" t="n">
        <x:v>1</x:v>
      </x:c>
      <x:c r="Q474" t="n">
        <x:v>1</x:v>
      </x:c>
      <x:c r="R474" t="n">
        <x:v>0</x:v>
      </x:c>
      <x:c r="S474" t="n">
        <x:v>1</x:v>
      </x:c>
      <x:c r="T474" t="n">
        <x:v>1</x:v>
      </x:c>
      <x:c r="U474" t="n">
        <x:v>1</x:v>
      </x:c>
      <x:c r="V474" t="n">
        <x:v>1</x:v>
      </x:c>
      <x:c r="W474" t="n">
        <x:v>0</x:v>
      </x:c>
      <x:c r="X474" t="n">
        <x:v>0</x:v>
      </x:c>
      <x:c r="Y474" t="n">
        <x:v>0</x:v>
      </x:c>
      <x:c r="Z474" t="n">
        <x:v>2</x:v>
      </x:c>
      <x:c r="AA474" t="n">
        <x:v>4</x:v>
      </x:c>
      <x:c r="AB474" t="str">
        <x:v>Pass</x:v>
      </x:c>
      <x:c r="AC474" t="str"/>
      <x:c r="AD474" t="str"/>
    </x:row>
    <x:row r="475">
      <x:c r="A475" t="str">
        <x:v>REC0474</x:v>
      </x:c>
      <x:c r="B475" t="n">
        <x:v>473</x:v>
      </x:c>
      <x:c r="C475" t="str">
        <x:v>St. Thomas, USVI</x:v>
      </x:c>
      <x:c r="D475" t="str">
        <x:v>GV</x:v>
      </x:c>
      <x:c r="E475" t="str">
        <x:v>Ground Validation</x:v>
      </x:c>
      <x:c r="F475" t="str">
        <x:v>Seaviewer Drop Camera</x:v>
      </x:c>
      <x:c r="G475" t="str">
        <x:v>GV2011_029_1</x:v>
      </x:c>
      <x:c r="H475" s="28" t="n">
        <x:v>40634</x:v>
      </x:c>
      <x:c r="I475" t="str">
        <x:v>13:42:58</x:v>
      </x:c>
      <x:c r="J475" t="n">
        <x:v>2011</x:v>
      </x:c>
      <x:c r="K475" t="n">
        <x:v>18.2221007</x:v>
      </x:c>
      <x:c r="L475" t="n">
        <x:v>-65.01597904</x:v>
      </x:c>
      <x:c r="M475" t="n">
        <x:v>39.938</x:v>
      </x:c>
      <x:c r="N475" t="str">
        <x:v>https://nccospublicstor.blob.core.windows.net/biomapper/usviinsularshelf2017/videos/low/GV2011_029_1.mp4</x:v>
      </x:c>
      <x:c r="O475" t="n">
        <x:v>1</x:v>
      </x:c>
      <x:c r="P475" t="n">
        <x:v>0</x:v>
      </x:c>
      <x:c r="Q475" t="n">
        <x:v>0</x:v>
      </x:c>
      <x:c r="R475" t="n">
        <x:v>1</x:v>
      </x:c>
      <x:c r="S475" t="n">
        <x:v>1</x:v>
      </x:c>
      <x:c r="T475" t="n">
        <x:v>0</x:v>
      </x:c>
      <x:c r="U475" t="n">
        <x:v>1</x:v>
      </x:c>
      <x:c r="V475" t="n">
        <x:v>1</x:v>
      </x:c>
      <x:c r="W475" t="n">
        <x:v>0</x:v>
      </x:c>
      <x:c r="X475" t="n">
        <x:v>0</x:v>
      </x:c>
      <x:c r="Y475" t="n">
        <x:v>0</x:v>
      </x:c>
      <x:c r="Z475" t="n">
        <x:v>2</x:v>
      </x:c>
      <x:c r="AA475" t="n">
        <x:v>3</x:v>
      </x:c>
      <x:c r="AB475" t="str">
        <x:v>Pass</x:v>
      </x:c>
      <x:c r="AC475" t="str"/>
      <x:c r="AD475" t="str"/>
    </x:row>
    <x:row r="476">
      <x:c r="A476" t="str">
        <x:v>REC0475</x:v>
      </x:c>
      <x:c r="B476" t="n">
        <x:v>474</x:v>
      </x:c>
      <x:c r="C476" t="str">
        <x:v>St. Thomas, USVI</x:v>
      </x:c>
      <x:c r="D476" t="str">
        <x:v>GV</x:v>
      </x:c>
      <x:c r="E476" t="str">
        <x:v>Ground Validation</x:v>
      </x:c>
      <x:c r="F476" t="str">
        <x:v>Seaviewer Drop Camera</x:v>
      </x:c>
      <x:c r="G476" t="str">
        <x:v>GV2011_029_2</x:v>
      </x:c>
      <x:c r="H476" s="28" t="n">
        <x:v>40642</x:v>
      </x:c>
      <x:c r="I476" t="str">
        <x:v>14:04:09</x:v>
      </x:c>
      <x:c r="J476" t="n">
        <x:v>2011</x:v>
      </x:c>
      <x:c r="K476" t="n">
        <x:v>18.22069343</x:v>
      </x:c>
      <x:c r="L476" t="n">
        <x:v>-65.02224682</x:v>
      </x:c>
      <x:c r="M476" t="n">
        <x:v>38.554</x:v>
      </x:c>
      <x:c r="N476" t="str">
        <x:v>https://nccospublicstor.blob.core.windows.net/biomapper/usviinsularshelf2017/videos/low/GV2011_029_2.mp4</x:v>
      </x:c>
      <x:c r="O476" t="n">
        <x:v>1</x:v>
      </x:c>
      <x:c r="P476" t="n">
        <x:v>0</x:v>
      </x:c>
      <x:c r="Q476" t="n">
        <x:v>0</x:v>
      </x:c>
      <x:c r="R476" t="n">
        <x:v>1</x:v>
      </x:c>
      <x:c r="S476" t="n">
        <x:v>1</x:v>
      </x:c>
      <x:c r="T476" t="n">
        <x:v>1</x:v>
      </x:c>
      <x:c r="U476" t="n">
        <x:v>1</x:v>
      </x:c>
      <x:c r="V476" t="n">
        <x:v>1</x:v>
      </x:c>
      <x:c r="W476" t="n">
        <x:v>0</x:v>
      </x:c>
      <x:c r="X476" t="n">
        <x:v>0</x:v>
      </x:c>
      <x:c r="Y476" t="n">
        <x:v>0</x:v>
      </x:c>
      <x:c r="Z476" t="n">
        <x:v>2</x:v>
      </x:c>
      <x:c r="AA476" t="n">
        <x:v>4</x:v>
      </x:c>
      <x:c r="AB476" t="str">
        <x:v>Pass</x:v>
      </x:c>
      <x:c r="AC476" t="str"/>
      <x:c r="AD476" t="str"/>
    </x:row>
    <x:row r="477">
      <x:c r="A477" t="str">
        <x:v>REC0476</x:v>
      </x:c>
      <x:c r="B477" t="n">
        <x:v>475</x:v>
      </x:c>
      <x:c r="C477" t="str">
        <x:v>Puerto Rico</x:v>
      </x:c>
      <x:c r="D477" t="str">
        <x:v>GV</x:v>
      </x:c>
      <x:c r="E477" t="str">
        <x:v>Ground Validation</x:v>
      </x:c>
      <x:c r="F477" t="str">
        <x:v>Seaviewer Drop Camera</x:v>
      </x:c>
      <x:c r="G477" t="str">
        <x:v>GV2011_030</x:v>
      </x:c>
      <x:c r="H477" s="28" t="n">
        <x:v>40636</x:v>
      </x:c>
      <x:c r="I477" t="str">
        <x:v>07:16:21</x:v>
      </x:c>
      <x:c r="J477" t="n">
        <x:v>2011</x:v>
      </x:c>
      <x:c r="K477" t="n">
        <x:v>18.1895949</x:v>
      </x:c>
      <x:c r="L477" t="n">
        <x:v>-65.15385426</x:v>
      </x:c>
      <x:c r="M477" t="n">
        <x:v>38.668</x:v>
      </x:c>
      <x:c r="N477" t="str">
        <x:v>https://nccospublicstor.blob.core.windows.net/biomapper/usviinsularshelf2017/videos/low/GV2011_030.mp4</x:v>
      </x:c>
      <x:c r="O477" t="n">
        <x:v>1</x:v>
      </x:c>
      <x:c r="P477" t="n">
        <x:v>0</x:v>
      </x:c>
      <x:c r="Q477" t="n">
        <x:v>0</x:v>
      </x:c>
      <x:c r="R477" t="n">
        <x:v>0</x:v>
      </x:c>
      <x:c r="S477" t="n">
        <x:v>1</x:v>
      </x:c>
      <x:c r="T477" t="n">
        <x:v>1</x:v>
      </x:c>
      <x:c r="U477" t="n">
        <x:v>1</x:v>
      </x:c>
      <x:c r="V477" t="n">
        <x:v>1</x:v>
      </x:c>
      <x:c r="W477" t="n">
        <x:v>0</x:v>
      </x:c>
      <x:c r="X477" t="n">
        <x:v>0</x:v>
      </x:c>
      <x:c r="Y477" t="n">
        <x:v>0</x:v>
      </x:c>
      <x:c r="Z477" t="n">
        <x:v>1</x:v>
      </x:c>
      <x:c r="AA477" t="n">
        <x:v>4</x:v>
      </x:c>
      <x:c r="AB477" t="str">
        <x:v>Pass</x:v>
      </x:c>
      <x:c r="AC477" t="str"/>
      <x:c r="AD477" t="str"/>
    </x:row>
    <x:row r="478">
      <x:c r="A478" t="str">
        <x:v>REC0477</x:v>
      </x:c>
      <x:c r="B478" t="n">
        <x:v>476</x:v>
      </x:c>
      <x:c r="C478" t="str">
        <x:v>Puerto Rico</x:v>
      </x:c>
      <x:c r="D478" t="str">
        <x:v>GV</x:v>
      </x:c>
      <x:c r="E478" t="str">
        <x:v>Ground Validation</x:v>
      </x:c>
      <x:c r="F478" t="str">
        <x:v>Seaviewer Drop Camera</x:v>
      </x:c>
      <x:c r="G478" t="str">
        <x:v>GV2011_031</x:v>
      </x:c>
      <x:c r="H478" s="28" t="n">
        <x:v>40636</x:v>
      </x:c>
      <x:c r="I478" t="str">
        <x:v>07:21:50</x:v>
      </x:c>
      <x:c r="J478" t="n">
        <x:v>2011</x:v>
      </x:c>
      <x:c r="K478" t="n">
        <x:v>18.18689962</x:v>
      </x:c>
      <x:c r="L478" t="n">
        <x:v>-65.15455465</x:v>
      </x:c>
      <x:c r="M478" t="n">
        <x:v>38.899</x:v>
      </x:c>
      <x:c r="N478" t="str">
        <x:v>https://nccospublicstor.blob.core.windows.net/biomapper/usviinsularshelf2017/videos/low/GV2011_031.mp4</x:v>
      </x:c>
      <x:c r="O478" t="n">
        <x:v>1</x:v>
      </x:c>
      <x:c r="P478" t="n">
        <x:v>0</x:v>
      </x:c>
      <x:c r="Q478" t="n">
        <x:v>0</x:v>
      </x:c>
      <x:c r="R478" t="n">
        <x:v>0</x:v>
      </x:c>
      <x:c r="S478" t="n">
        <x:v>1</x:v>
      </x:c>
      <x:c r="T478" t="n">
        <x:v>0</x:v>
      </x:c>
      <x:c r="U478" t="n">
        <x:v>1</x:v>
      </x:c>
      <x:c r="V478" t="n">
        <x:v>1</x:v>
      </x:c>
      <x:c r="W478" t="n">
        <x:v>0</x:v>
      </x:c>
      <x:c r="X478" t="n">
        <x:v>0</x:v>
      </x:c>
      <x:c r="Y478" t="n">
        <x:v>0</x:v>
      </x:c>
      <x:c r="Z478" t="n">
        <x:v>1</x:v>
      </x:c>
      <x:c r="AA478" t="n">
        <x:v>3</x:v>
      </x:c>
      <x:c r="AB478" t="str">
        <x:v>Pass</x:v>
      </x:c>
      <x:c r="AC478" t="str"/>
      <x:c r="AD478" t="str"/>
    </x:row>
    <x:row r="479">
      <x:c r="A479" t="str">
        <x:v>REC0478</x:v>
      </x:c>
      <x:c r="B479" t="n">
        <x:v>477</x:v>
      </x:c>
      <x:c r="C479" t="str">
        <x:v>Puerto Rico</x:v>
      </x:c>
      <x:c r="D479" t="str">
        <x:v>GV</x:v>
      </x:c>
      <x:c r="E479" t="str">
        <x:v>Ground Validation</x:v>
      </x:c>
      <x:c r="F479" t="str">
        <x:v>Seaviewer Drop Camera</x:v>
      </x:c>
      <x:c r="G479" t="str">
        <x:v>GV2011_032</x:v>
      </x:c>
      <x:c r="H479" s="28" t="n">
        <x:v>40636</x:v>
      </x:c>
      <x:c r="I479" t="str">
        <x:v>07:28:06</x:v>
      </x:c>
      <x:c r="J479" t="n">
        <x:v>2011</x:v>
      </x:c>
      <x:c r="K479" t="n">
        <x:v>18.18452454</x:v>
      </x:c>
      <x:c r="L479" t="n">
        <x:v>-65.15542771</x:v>
      </x:c>
      <x:c r="M479" t="n">
        <x:v>40.707</x:v>
      </x:c>
      <x:c r="N479" t="str">
        <x:v>https://nccospublicstor.blob.core.windows.net/biomapper/usviinsularshelf2017/videos/low/GV2011_032.mp4</x:v>
      </x:c>
      <x:c r="O479" t="n">
        <x:v>1</x:v>
      </x:c>
      <x:c r="P479" t="n">
        <x:v>0</x:v>
      </x:c>
      <x:c r="Q479" t="n">
        <x:v>0</x:v>
      </x:c>
      <x:c r="R479" t="n">
        <x:v>0</x:v>
      </x:c>
      <x:c r="S479" t="n">
        <x:v>1</x:v>
      </x:c>
      <x:c r="T479" t="n">
        <x:v>0</x:v>
      </x:c>
      <x:c r="U479" t="n">
        <x:v>1</x:v>
      </x:c>
      <x:c r="V479" t="n">
        <x:v>1</x:v>
      </x:c>
      <x:c r="W479" t="n">
        <x:v>0</x:v>
      </x:c>
      <x:c r="X479" t="n">
        <x:v>0</x:v>
      </x:c>
      <x:c r="Y479" t="n">
        <x:v>0</x:v>
      </x:c>
      <x:c r="Z479" t="n">
        <x:v>1</x:v>
      </x:c>
      <x:c r="AA479" t="n">
        <x:v>3</x:v>
      </x:c>
      <x:c r="AB479" t="str">
        <x:v>Pass</x:v>
      </x:c>
      <x:c r="AC479" t="str"/>
      <x:c r="AD479" t="str">
        <x:v>Coral colonies with bleaching</x:v>
      </x:c>
    </x:row>
    <x:row r="480">
      <x:c r="A480" t="str">
        <x:v>REC0479</x:v>
      </x:c>
      <x:c r="B480" t="n">
        <x:v>478</x:v>
      </x:c>
      <x:c r="C480" t="str">
        <x:v>Puerto Rico</x:v>
      </x:c>
      <x:c r="D480" t="str">
        <x:v>GV</x:v>
      </x:c>
      <x:c r="E480" t="str">
        <x:v>Ground Validation</x:v>
      </x:c>
      <x:c r="F480" t="str">
        <x:v>Seaviewer Drop Camera</x:v>
      </x:c>
      <x:c r="G480" t="str">
        <x:v>GV2011_034</x:v>
      </x:c>
      <x:c r="H480" s="28" t="n">
        <x:v>40636</x:v>
      </x:c>
      <x:c r="I480" t="str">
        <x:v>07:35:01</x:v>
      </x:c>
      <x:c r="J480" t="n">
        <x:v>2011</x:v>
      </x:c>
      <x:c r="K480" t="n">
        <x:v>18.17976473</x:v>
      </x:c>
      <x:c r="L480" t="n">
        <x:v>-65.15701512</x:v>
      </x:c>
      <x:c r="M480" t="n">
        <x:v>45.26</x:v>
      </x:c>
      <x:c r="N480" t="str">
        <x:v>https://nccospublicstor.blob.core.windows.net/biomapper/usviinsularshelf2017/videos/low/GV2011_034.mp4</x:v>
      </x:c>
      <x:c r="O480" t="n">
        <x:v>1</x:v>
      </x:c>
      <x:c r="P480" t="n">
        <x:v>0</x:v>
      </x:c>
      <x:c r="Q480" t="n">
        <x:v>0</x:v>
      </x:c>
      <x:c r="R480" t="n">
        <x:v>1</x:v>
      </x:c>
      <x:c r="S480" t="n">
        <x:v>1</x:v>
      </x:c>
      <x:c r="T480" t="n">
        <x:v>0</x:v>
      </x:c>
      <x:c r="U480" t="n">
        <x:v>1</x:v>
      </x:c>
      <x:c r="V480" t="n">
        <x:v>1</x:v>
      </x:c>
      <x:c r="W480" t="n">
        <x:v>0</x:v>
      </x:c>
      <x:c r="X480" t="n">
        <x:v>0</x:v>
      </x:c>
      <x:c r="Y480" t="n">
        <x:v>0</x:v>
      </x:c>
      <x:c r="Z480" t="n">
        <x:v>2</x:v>
      </x:c>
      <x:c r="AA480" t="n">
        <x:v>3</x:v>
      </x:c>
      <x:c r="AB480" t="str">
        <x:v>Pass</x:v>
      </x:c>
      <x:c r="AC480" t="str"/>
      <x:c r="AD480" t="str"/>
    </x:row>
    <x:row r="481">
      <x:c r="A481" t="str">
        <x:v>REC0480</x:v>
      </x:c>
      <x:c r="B481" t="n">
        <x:v>479</x:v>
      </x:c>
      <x:c r="C481" t="str">
        <x:v>Puerto Rico</x:v>
      </x:c>
      <x:c r="D481" t="str">
        <x:v>GV</x:v>
      </x:c>
      <x:c r="E481" t="str">
        <x:v>Ground Validation</x:v>
      </x:c>
      <x:c r="F481" t="str">
        <x:v>Seaviewer Drop Camera</x:v>
      </x:c>
      <x:c r="G481" t="str">
        <x:v>GV2011_035</x:v>
      </x:c>
      <x:c r="H481" s="28" t="n">
        <x:v>40636</x:v>
      </x:c>
      <x:c r="I481" t="str">
        <x:v>07:42:37</x:v>
      </x:c>
      <x:c r="J481" t="n">
        <x:v>2011</x:v>
      </x:c>
      <x:c r="K481" t="n">
        <x:v>18.17637289</x:v>
      </x:c>
      <x:c r="L481" t="n">
        <x:v>-65.15473394</x:v>
      </x:c>
      <x:c r="M481" t="n">
        <x:v>49.206</x:v>
      </x:c>
      <x:c r="N481" t="str">
        <x:v>https://nccospublicstor.blob.core.windows.net/biomapper/usviinsularshelf2017/videos/low/GV2011_035.mp4</x:v>
      </x:c>
      <x:c r="O481" t="n">
        <x:v>1</x:v>
      </x:c>
      <x:c r="P481" t="n">
        <x:v>0</x:v>
      </x:c>
      <x:c r="Q481" t="n">
        <x:v>0</x:v>
      </x:c>
      <x:c r="R481" t="n">
        <x:v>1</x:v>
      </x:c>
      <x:c r="S481" t="n">
        <x:v>1</x:v>
      </x:c>
      <x:c r="T481" t="n">
        <x:v>0</x:v>
      </x:c>
      <x:c r="U481" t="n">
        <x:v>1</x:v>
      </x:c>
      <x:c r="V481" t="n">
        <x:v>1</x:v>
      </x:c>
      <x:c r="W481" t="n">
        <x:v>0</x:v>
      </x:c>
      <x:c r="X481" t="n">
        <x:v>0</x:v>
      </x:c>
      <x:c r="Y481" t="n">
        <x:v>0</x:v>
      </x:c>
      <x:c r="Z481" t="n">
        <x:v>2</x:v>
      </x:c>
      <x:c r="AA481" t="n">
        <x:v>3</x:v>
      </x:c>
      <x:c r="AB481" t="str">
        <x:v>Pass</x:v>
      </x:c>
      <x:c r="AC481" t="str"/>
      <x:c r="AD481" t="str"/>
    </x:row>
    <x:row r="482">
      <x:c r="A482" t="str">
        <x:v>REC0481</x:v>
      </x:c>
      <x:c r="B482" t="n">
        <x:v>480</x:v>
      </x:c>
      <x:c r="C482" t="str">
        <x:v>Puerto Rico</x:v>
      </x:c>
      <x:c r="D482" t="str">
        <x:v>GV</x:v>
      </x:c>
      <x:c r="E482" t="str">
        <x:v>Ground Validation</x:v>
      </x:c>
      <x:c r="F482" t="str">
        <x:v>Seaviewer Drop Camera</x:v>
      </x:c>
      <x:c r="G482" t="str">
        <x:v>GV2011_036</x:v>
      </x:c>
      <x:c r="H482" s="28" t="n">
        <x:v>40636</x:v>
      </x:c>
      <x:c r="I482" t="str">
        <x:v>07:55:05</x:v>
      </x:c>
      <x:c r="J482" t="n">
        <x:v>2011</x:v>
      </x:c>
      <x:c r="K482" t="n">
        <x:v>18.17258697</x:v>
      </x:c>
      <x:c r="L482" t="n">
        <x:v>-65.16004079</x:v>
      </x:c>
      <x:c r="M482" t="n">
        <x:v>47.461</x:v>
      </x:c>
      <x:c r="N482" t="str">
        <x:v>https://nccospublicstor.blob.core.windows.net/biomapper/usviinsularshelf2017/videos/low/GV2011_036.mp4</x:v>
      </x:c>
      <x:c r="O482" t="n">
        <x:v>1</x:v>
      </x:c>
      <x:c r="P482" t="n">
        <x:v>1</x:v>
      </x:c>
      <x:c r="Q482" t="n">
        <x:v>1</x:v>
      </x:c>
      <x:c r="R482" t="n">
        <x:v>0</x:v>
      </x:c>
      <x:c r="S482" t="n">
        <x:v>1</x:v>
      </x:c>
      <x:c r="T482" t="n">
        <x:v>0</x:v>
      </x:c>
      <x:c r="U482" t="n">
        <x:v>1</x:v>
      </x:c>
      <x:c r="V482" t="n">
        <x:v>1</x:v>
      </x:c>
      <x:c r="W482" t="n">
        <x:v>0</x:v>
      </x:c>
      <x:c r="X482" t="n">
        <x:v>0</x:v>
      </x:c>
      <x:c r="Y482" t="n">
        <x:v>0</x:v>
      </x:c>
      <x:c r="Z482" t="n">
        <x:v>3</x:v>
      </x:c>
      <x:c r="AA482" t="n">
        <x:v>3</x:v>
      </x:c>
      <x:c r="AB482" t="str">
        <x:v>Pass</x:v>
      </x:c>
      <x:c r="AC482" t="str"/>
      <x:c r="AD482" t="str"/>
    </x:row>
    <x:row r="483">
      <x:c r="A483" t="str">
        <x:v>REC0482</x:v>
      </x:c>
      <x:c r="B483" t="n">
        <x:v>481</x:v>
      </x:c>
      <x:c r="C483" t="str">
        <x:v>Puerto Rico</x:v>
      </x:c>
      <x:c r="D483" t="str">
        <x:v>GV</x:v>
      </x:c>
      <x:c r="E483" t="str">
        <x:v>Ground Validation</x:v>
      </x:c>
      <x:c r="F483" t="str">
        <x:v>Seaviewer Drop Camera</x:v>
      </x:c>
      <x:c r="G483" t="str">
        <x:v>GV2011_037</x:v>
      </x:c>
      <x:c r="H483" s="28" t="n">
        <x:v>40636</x:v>
      </x:c>
      <x:c r="I483" t="str">
        <x:v>07:49:31</x:v>
      </x:c>
      <x:c r="J483" t="n">
        <x:v>2011</x:v>
      </x:c>
      <x:c r="K483" t="n">
        <x:v>18.17460934</x:v>
      </x:c>
      <x:c r="L483" t="n">
        <x:v>-65.15903499</x:v>
      </x:c>
      <x:c r="M483" t="n">
        <x:v>44.368</x:v>
      </x:c>
      <x:c r="N483" t="str">
        <x:v>https://nccospublicstor.blob.core.windows.net/biomapper/usviinsularshelf2017/videos/low/GV2011_037.mp4</x:v>
      </x:c>
      <x:c r="O483" t="n">
        <x:v>1</x:v>
      </x:c>
      <x:c r="P483" t="n">
        <x:v>0</x:v>
      </x:c>
      <x:c r="Q483" t="n">
        <x:v>0</x:v>
      </x:c>
      <x:c r="R483" t="n">
        <x:v>1</x:v>
      </x:c>
      <x:c r="S483" t="n">
        <x:v>1</x:v>
      </x:c>
      <x:c r="T483" t="n">
        <x:v>0</x:v>
      </x:c>
      <x:c r="U483" t="n">
        <x:v>1</x:v>
      </x:c>
      <x:c r="V483" t="n">
        <x:v>1</x:v>
      </x:c>
      <x:c r="W483" t="n">
        <x:v>0</x:v>
      </x:c>
      <x:c r="X483" t="n">
        <x:v>0</x:v>
      </x:c>
      <x:c r="Y483" t="n">
        <x:v>0</x:v>
      </x:c>
      <x:c r="Z483" t="n">
        <x:v>2</x:v>
      </x:c>
      <x:c r="AA483" t="n">
        <x:v>3</x:v>
      </x:c>
      <x:c r="AB483" t="str">
        <x:v>Pass</x:v>
      </x:c>
      <x:c r="AC483" t="str"/>
      <x:c r="AD483" t="str"/>
    </x:row>
    <x:row r="484">
      <x:c r="A484" t="str">
        <x:v>REC0483</x:v>
      </x:c>
      <x:c r="B484" t="n">
        <x:v>482</x:v>
      </x:c>
      <x:c r="C484" t="str">
        <x:v>Puerto Rico</x:v>
      </x:c>
      <x:c r="D484" t="str">
        <x:v>GV</x:v>
      </x:c>
      <x:c r="E484" t="str">
        <x:v>Ground Validation</x:v>
      </x:c>
      <x:c r="F484" t="str">
        <x:v>Seaviewer Drop Camera</x:v>
      </x:c>
      <x:c r="G484" t="str">
        <x:v>GV2011_038</x:v>
      </x:c>
      <x:c r="H484" s="28" t="n">
        <x:v>40636</x:v>
      </x:c>
      <x:c r="I484" t="str">
        <x:v>08:01:44</x:v>
      </x:c>
      <x:c r="J484" t="n">
        <x:v>2011</x:v>
      </x:c>
      <x:c r="K484" t="n">
        <x:v>18.17018749</x:v>
      </x:c>
      <x:c r="L484" t="n">
        <x:v>-65.16250054</x:v>
      </x:c>
      <x:c r="M484" t="n">
        <x:v>45.694</x:v>
      </x:c>
      <x:c r="N484" t="str">
        <x:v>https://nccospublicstor.blob.core.windows.net/biomapper/usviinsularshelf2017/videos/low/GV2011_038.mp4</x:v>
      </x:c>
      <x:c r="O484" t="n">
        <x:v>1</x:v>
      </x:c>
      <x:c r="P484" t="n">
        <x:v>0</x:v>
      </x:c>
      <x:c r="Q484" t="n">
        <x:v>0</x:v>
      </x:c>
      <x:c r="R484" t="n">
        <x:v>1</x:v>
      </x:c>
      <x:c r="S484" t="n">
        <x:v>1</x:v>
      </x:c>
      <x:c r="T484" t="n">
        <x:v>0</x:v>
      </x:c>
      <x:c r="U484" t="n">
        <x:v>1</x:v>
      </x:c>
      <x:c r="V484" t="n">
        <x:v>1</x:v>
      </x:c>
      <x:c r="W484" t="n">
        <x:v>0</x:v>
      </x:c>
      <x:c r="X484" t="n">
        <x:v>0</x:v>
      </x:c>
      <x:c r="Y484" t="n">
        <x:v>0</x:v>
      </x:c>
      <x:c r="Z484" t="n">
        <x:v>2</x:v>
      </x:c>
      <x:c r="AA484" t="n">
        <x:v>3</x:v>
      </x:c>
      <x:c r="AB484" t="str">
        <x:v>Pass</x:v>
      </x:c>
      <x:c r="AC484" t="str"/>
      <x:c r="AD484" t="str"/>
    </x:row>
    <x:row r="485">
      <x:c r="A485" t="str">
        <x:v>REC0484</x:v>
      </x:c>
      <x:c r="B485" t="n">
        <x:v>483</x:v>
      </x:c>
      <x:c r="C485" t="str">
        <x:v>Puerto Rico</x:v>
      </x:c>
      <x:c r="D485" t="str">
        <x:v>GV</x:v>
      </x:c>
      <x:c r="E485" t="str">
        <x:v>Ground Validation</x:v>
      </x:c>
      <x:c r="F485" t="str">
        <x:v>Seaviewer Drop Camera</x:v>
      </x:c>
      <x:c r="G485" t="str">
        <x:v>GV2011_039</x:v>
      </x:c>
      <x:c r="H485" s="28" t="n">
        <x:v>40636</x:v>
      </x:c>
      <x:c r="I485" t="str">
        <x:v>08:08:08</x:v>
      </x:c>
      <x:c r="J485" t="n">
        <x:v>2011</x:v>
      </x:c>
      <x:c r="K485" t="n">
        <x:v>18.17302476</x:v>
      </x:c>
      <x:c r="L485" t="n">
        <x:v>-65.16460818</x:v>
      </x:c>
      <x:c r="M485" t="n">
        <x:v>44.999</x:v>
      </x:c>
      <x:c r="N485" t="str">
        <x:v>https://nccospublicstor.blob.core.windows.net/biomapper/usviinsularshelf2017/videos/low/GV2011_039.mp4</x:v>
      </x:c>
      <x:c r="O485" t="n">
        <x:v>1</x:v>
      </x:c>
      <x:c r="P485" t="n">
        <x:v>0</x:v>
      </x:c>
      <x:c r="Q485" t="n">
        <x:v>0</x:v>
      </x:c>
      <x:c r="R485" t="n">
        <x:v>0</x:v>
      </x:c>
      <x:c r="S485" t="n">
        <x:v>1</x:v>
      </x:c>
      <x:c r="T485" t="n">
        <x:v>0</x:v>
      </x:c>
      <x:c r="U485" t="n">
        <x:v>1</x:v>
      </x:c>
      <x:c r="V485" t="n">
        <x:v>1</x:v>
      </x:c>
      <x:c r="W485" t="n">
        <x:v>0</x:v>
      </x:c>
      <x:c r="X485" t="n">
        <x:v>0</x:v>
      </x:c>
      <x:c r="Y485" t="n">
        <x:v>0</x:v>
      </x:c>
      <x:c r="Z485" t="n">
        <x:v>1</x:v>
      </x:c>
      <x:c r="AA485" t="n">
        <x:v>3</x:v>
      </x:c>
      <x:c r="AB485" t="str">
        <x:v>Pass</x:v>
      </x:c>
      <x:c r="AC485" t="str"/>
      <x:c r="AD485" t="str"/>
    </x:row>
    <x:row r="486">
      <x:c r="A486" t="str">
        <x:v>REC0485</x:v>
      </x:c>
      <x:c r="B486" t="n">
        <x:v>484</x:v>
      </x:c>
      <x:c r="C486" t="str">
        <x:v>Puerto Rico</x:v>
      </x:c>
      <x:c r="D486" t="str">
        <x:v>GV</x:v>
      </x:c>
      <x:c r="E486" t="str">
        <x:v>Ground Validation</x:v>
      </x:c>
      <x:c r="F486" t="str">
        <x:v>Seaviewer Drop Camera</x:v>
      </x:c>
      <x:c r="G486" t="str">
        <x:v>GV2011_040</x:v>
      </x:c>
      <x:c r="H486" s="28" t="n">
        <x:v>40636</x:v>
      </x:c>
      <x:c r="I486" t="str">
        <x:v>08:14:52</x:v>
      </x:c>
      <x:c r="J486" t="n">
        <x:v>2011</x:v>
      </x:c>
      <x:c r="K486" t="n">
        <x:v>18.1769304</x:v>
      </x:c>
      <x:c r="L486" t="n">
        <x:v>-65.16674747</x:v>
      </x:c>
      <x:c r="M486" t="n">
        <x:v>42.216</x:v>
      </x:c>
      <x:c r="N486" t="str">
        <x:v>https://nccospublicstor.blob.core.windows.net/biomapper/usviinsularshelf2017/videos/low/GV2011_040.mp4</x:v>
      </x:c>
      <x:c r="O486" t="n">
        <x:v>1</x:v>
      </x:c>
      <x:c r="P486" t="n">
        <x:v>0</x:v>
      </x:c>
      <x:c r="Q486" t="n">
        <x:v>0</x:v>
      </x:c>
      <x:c r="R486" t="n">
        <x:v>0</x:v>
      </x:c>
      <x:c r="S486" t="n">
        <x:v>1</x:v>
      </x:c>
      <x:c r="T486" t="n">
        <x:v>1</x:v>
      </x:c>
      <x:c r="U486" t="n">
        <x:v>1</x:v>
      </x:c>
      <x:c r="V486" t="n">
        <x:v>1</x:v>
      </x:c>
      <x:c r="W486" t="n">
        <x:v>0</x:v>
      </x:c>
      <x:c r="X486" t="n">
        <x:v>0</x:v>
      </x:c>
      <x:c r="Y486" t="n">
        <x:v>0</x:v>
      </x:c>
      <x:c r="Z486" t="n">
        <x:v>1</x:v>
      </x:c>
      <x:c r="AA486" t="n">
        <x:v>4</x:v>
      </x:c>
      <x:c r="AB486" t="str">
        <x:v>Pass</x:v>
      </x:c>
      <x:c r="AC486" t="str"/>
      <x:c r="AD486" t="str"/>
    </x:row>
    <x:row r="487">
      <x:c r="A487" t="str">
        <x:v>REC0486</x:v>
      </x:c>
      <x:c r="B487" t="n">
        <x:v>485</x:v>
      </x:c>
      <x:c r="C487" t="str">
        <x:v>Puerto Rico</x:v>
      </x:c>
      <x:c r="D487" t="str">
        <x:v>GV</x:v>
      </x:c>
      <x:c r="E487" t="str">
        <x:v>Ground Validation</x:v>
      </x:c>
      <x:c r="F487" t="str">
        <x:v>Seaviewer Drop Camera</x:v>
      </x:c>
      <x:c r="G487" t="str">
        <x:v>GV2011_041</x:v>
      </x:c>
      <x:c r="H487" s="28" t="n">
        <x:v>40636</x:v>
      </x:c>
      <x:c r="I487" t="str">
        <x:v>08:31:58</x:v>
      </x:c>
      <x:c r="J487" t="n">
        <x:v>2011</x:v>
      </x:c>
      <x:c r="K487" t="n">
        <x:v>18.18452075</x:v>
      </x:c>
      <x:c r="L487" t="n">
        <x:v>-65.17085943</x:v>
      </x:c>
      <x:c r="M487" t="n">
        <x:v>38.764</x:v>
      </x:c>
      <x:c r="N487" t="str">
        <x:v>https://nccospublicstor.blob.core.windows.net/biomapper/usviinsularshelf2017/videos/low/GV2011_041.mp4</x:v>
      </x:c>
      <x:c r="O487" t="n">
        <x:v>1</x:v>
      </x:c>
      <x:c r="P487" t="n">
        <x:v>0</x:v>
      </x:c>
      <x:c r="Q487" t="n">
        <x:v>0</x:v>
      </x:c>
      <x:c r="R487" t="n">
        <x:v>0</x:v>
      </x:c>
      <x:c r="S487" t="n">
        <x:v>1</x:v>
      </x:c>
      <x:c r="T487" t="n">
        <x:v>0</x:v>
      </x:c>
      <x:c r="U487" t="n">
        <x:v>1</x:v>
      </x:c>
      <x:c r="V487" t="n">
        <x:v>1</x:v>
      </x:c>
      <x:c r="W487" t="n">
        <x:v>0</x:v>
      </x:c>
      <x:c r="X487" t="n">
        <x:v>0</x:v>
      </x:c>
      <x:c r="Y487" t="n">
        <x:v>0</x:v>
      </x:c>
      <x:c r="Z487" t="n">
        <x:v>1</x:v>
      </x:c>
      <x:c r="AA487" t="n">
        <x:v>3</x:v>
      </x:c>
      <x:c r="AB487" t="str">
        <x:v>Pass</x:v>
      </x:c>
      <x:c r="AC487" t="str"/>
      <x:c r="AD487" t="str"/>
    </x:row>
    <x:row r="488">
      <x:c r="A488" t="str">
        <x:v>REC0487</x:v>
      </x:c>
      <x:c r="B488" t="n">
        <x:v>486</x:v>
      </x:c>
      <x:c r="C488" t="str">
        <x:v>Puerto Rico</x:v>
      </x:c>
      <x:c r="D488" t="str">
        <x:v>GV</x:v>
      </x:c>
      <x:c r="E488" t="str">
        <x:v>Ground Validation</x:v>
      </x:c>
      <x:c r="F488" t="str">
        <x:v>Seaviewer Drop Camera</x:v>
      </x:c>
      <x:c r="G488" t="str">
        <x:v>GV2011_044</x:v>
      </x:c>
      <x:c r="H488" s="28" t="n">
        <x:v>40636</x:v>
      </x:c>
      <x:c r="I488" t="str">
        <x:v>08:22:37</x:v>
      </x:c>
      <x:c r="J488" t="n">
        <x:v>2011</x:v>
      </x:c>
      <x:c r="K488" t="n">
        <x:v>18.18158842</x:v>
      </x:c>
      <x:c r="L488" t="n">
        <x:v>-65.16951437</x:v>
      </x:c>
      <x:c r="M488" t="n">
        <x:v>38.901</x:v>
      </x:c>
      <x:c r="N488" t="str">
        <x:v>https://nccospublicstor.blob.core.windows.net/biomapper/usviinsularshelf2017/videos/low/GV2011_044.mp4</x:v>
      </x:c>
      <x:c r="O488" t="n">
        <x:v>1</x:v>
      </x:c>
      <x:c r="P488" t="n">
        <x:v>0</x:v>
      </x:c>
      <x:c r="Q488" t="n">
        <x:v>0</x:v>
      </x:c>
      <x:c r="R488" t="n">
        <x:v>0</x:v>
      </x:c>
      <x:c r="S488" t="n">
        <x:v>1</x:v>
      </x:c>
      <x:c r="T488" t="n">
        <x:v>0</x:v>
      </x:c>
      <x:c r="U488" t="n">
        <x:v>1</x:v>
      </x:c>
      <x:c r="V488" t="n">
        <x:v>1</x:v>
      </x:c>
      <x:c r="W488" t="n">
        <x:v>0</x:v>
      </x:c>
      <x:c r="X488" t="n">
        <x:v>0</x:v>
      </x:c>
      <x:c r="Y488" t="n">
        <x:v>0</x:v>
      </x:c>
      <x:c r="Z488" t="n">
        <x:v>1</x:v>
      </x:c>
      <x:c r="AA488" t="n">
        <x:v>3</x:v>
      </x:c>
      <x:c r="AB488" t="str">
        <x:v>Pass</x:v>
      </x:c>
      <x:c r="AC488" t="str"/>
      <x:c r="AD488" t="str"/>
    </x:row>
    <x:row r="489">
      <x:c r="A489" t="str">
        <x:v>REC0488</x:v>
      </x:c>
      <x:c r="B489" t="n">
        <x:v>487</x:v>
      </x:c>
      <x:c r="C489" t="str">
        <x:v>Puerto Rico</x:v>
      </x:c>
      <x:c r="D489" t="str">
        <x:v>GV</x:v>
      </x:c>
      <x:c r="E489" t="str">
        <x:v>Ground Validation</x:v>
      </x:c>
      <x:c r="F489" t="str">
        <x:v>Seaviewer Drop Camera</x:v>
      </x:c>
      <x:c r="G489" t="str">
        <x:v>GV2011_045</x:v>
      </x:c>
      <x:c r="H489" s="28" t="n">
        <x:v>40636</x:v>
      </x:c>
      <x:c r="I489" t="str">
        <x:v>12:40:19</x:v>
      </x:c>
      <x:c r="J489" t="n">
        <x:v>2011</x:v>
      </x:c>
      <x:c r="K489" t="n">
        <x:v>18.24057223</x:v>
      </x:c>
      <x:c r="L489" t="n">
        <x:v>-65.17869494</x:v>
      </x:c>
      <x:c r="M489" t="n">
        <x:v>31.607</x:v>
      </x:c>
      <x:c r="N489" t="str">
        <x:v>https://nccospublicstor.blob.core.windows.net/biomapper/usviinsularshelf2017/videos/low/GV2011_045.mp4</x:v>
      </x:c>
      <x:c r="O489" t="n">
        <x:v>1</x:v>
      </x:c>
      <x:c r="P489" t="n">
        <x:v>0</x:v>
      </x:c>
      <x:c r="Q489" t="n">
        <x:v>0</x:v>
      </x:c>
      <x:c r="R489" t="n">
        <x:v>0</x:v>
      </x:c>
      <x:c r="S489" t="n">
        <x:v>1</x:v>
      </x:c>
      <x:c r="T489" t="n">
        <x:v>0</x:v>
      </x:c>
      <x:c r="U489" t="n">
        <x:v>1</x:v>
      </x:c>
      <x:c r="V489" t="n">
        <x:v>1</x:v>
      </x:c>
      <x:c r="W489" t="n">
        <x:v>0</x:v>
      </x:c>
      <x:c r="X489" t="n">
        <x:v>0</x:v>
      </x:c>
      <x:c r="Y489" t="n">
        <x:v>0</x:v>
      </x:c>
      <x:c r="Z489" t="n">
        <x:v>1</x:v>
      </x:c>
      <x:c r="AA489" t="n">
        <x:v>3</x:v>
      </x:c>
      <x:c r="AB489" t="str">
        <x:v>Pass</x:v>
      </x:c>
      <x:c r="AC489" t="str"/>
      <x:c r="AD489" t="str"/>
    </x:row>
    <x:row r="490">
      <x:c r="A490" t="str">
        <x:v>REC0489</x:v>
      </x:c>
      <x:c r="B490" t="n">
        <x:v>488</x:v>
      </x:c>
      <x:c r="C490" t="str">
        <x:v>Puerto Rico</x:v>
      </x:c>
      <x:c r="D490" t="str">
        <x:v>GV</x:v>
      </x:c>
      <x:c r="E490" t="str">
        <x:v>Ground Validation</x:v>
      </x:c>
      <x:c r="F490" t="str">
        <x:v>Seaviewer Drop Camera</x:v>
      </x:c>
      <x:c r="G490" t="str">
        <x:v>GV2011_046</x:v>
      </x:c>
      <x:c r="H490" s="28" t="n">
        <x:v>40636</x:v>
      </x:c>
      <x:c r="I490" t="str">
        <x:v>12:29:48</x:v>
      </x:c>
      <x:c r="J490" t="n">
        <x:v>2011</x:v>
      </x:c>
      <x:c r="K490" t="n">
        <x:v>18.23732954</x:v>
      </x:c>
      <x:c r="L490" t="n">
        <x:v>-65.17425035</x:v>
      </x:c>
      <x:c r="M490" t="n">
        <x:v>31.161</x:v>
      </x:c>
      <x:c r="N490" t="str">
        <x:v>https://nccospublicstor.blob.core.windows.net/biomapper/usviinsularshelf2017/videos/low/GV2011_046.mp4</x:v>
      </x:c>
      <x:c r="O490" t="n">
        <x:v>1</x:v>
      </x:c>
      <x:c r="P490" t="n">
        <x:v>0</x:v>
      </x:c>
      <x:c r="Q490" t="n">
        <x:v>0</x:v>
      </x:c>
      <x:c r="R490" t="n">
        <x:v>0</x:v>
      </x:c>
      <x:c r="S490" t="n">
        <x:v>1</x:v>
      </x:c>
      <x:c r="T490" t="n">
        <x:v>0</x:v>
      </x:c>
      <x:c r="U490" t="n">
        <x:v>1</x:v>
      </x:c>
      <x:c r="V490" t="n">
        <x:v>1</x:v>
      </x:c>
      <x:c r="W490" t="n">
        <x:v>0</x:v>
      </x:c>
      <x:c r="X490" t="n">
        <x:v>0</x:v>
      </x:c>
      <x:c r="Y490" t="n">
        <x:v>0</x:v>
      </x:c>
      <x:c r="Z490" t="n">
        <x:v>1</x:v>
      </x:c>
      <x:c r="AA490" t="n">
        <x:v>3</x:v>
      </x:c>
      <x:c r="AB490" t="str">
        <x:v>Pass</x:v>
      </x:c>
      <x:c r="AC490" t="str"/>
      <x:c r="AD490" t="str"/>
    </x:row>
    <x:row r="491">
      <x:c r="A491" t="str">
        <x:v>REC0490</x:v>
      </x:c>
      <x:c r="B491" t="n">
        <x:v>489</x:v>
      </x:c>
      <x:c r="C491" t="str">
        <x:v>Puerto Rico</x:v>
      </x:c>
      <x:c r="D491" t="str">
        <x:v>GV</x:v>
      </x:c>
      <x:c r="E491" t="str">
        <x:v>Ground Validation</x:v>
      </x:c>
      <x:c r="F491" t="str">
        <x:v>Seaviewer Drop Camera</x:v>
      </x:c>
      <x:c r="G491" t="str">
        <x:v>GV2011_047</x:v>
      </x:c>
      <x:c r="H491" s="28" t="n">
        <x:v>40636</x:v>
      </x:c>
      <x:c r="I491" t="str">
        <x:v>12:57:51</x:v>
      </x:c>
      <x:c r="J491" t="n">
        <x:v>2011</x:v>
      </x:c>
      <x:c r="K491" t="n">
        <x:v>18.23062106</x:v>
      </x:c>
      <x:c r="L491" t="n">
        <x:v>-65.1849837</x:v>
      </x:c>
      <x:c r="M491" t="n">
        <x:v>33.076</x:v>
      </x:c>
      <x:c r="N491" t="str">
        <x:v>https://nccospublicstor.blob.core.windows.net/biomapper/usviinsularshelf2017/videos/low/GV2011_047.mp4</x:v>
      </x:c>
      <x:c r="O491" t="n">
        <x:v>1</x:v>
      </x:c>
      <x:c r="P491" t="n">
        <x:v>0</x:v>
      </x:c>
      <x:c r="Q491" t="n">
        <x:v>0</x:v>
      </x:c>
      <x:c r="R491" t="n">
        <x:v>1</x:v>
      </x:c>
      <x:c r="S491" t="n">
        <x:v>1</x:v>
      </x:c>
      <x:c r="T491" t="n">
        <x:v>1</x:v>
      </x:c>
      <x:c r="U491" t="n">
        <x:v>1</x:v>
      </x:c>
      <x:c r="V491" t="n">
        <x:v>1</x:v>
      </x:c>
      <x:c r="W491" t="n">
        <x:v>0</x:v>
      </x:c>
      <x:c r="X491" t="n">
        <x:v>0</x:v>
      </x:c>
      <x:c r="Y491" t="n">
        <x:v>0</x:v>
      </x:c>
      <x:c r="Z491" t="n">
        <x:v>2</x:v>
      </x:c>
      <x:c r="AA491" t="n">
        <x:v>4</x:v>
      </x:c>
      <x:c r="AB491" t="str">
        <x:v>Pass</x:v>
      </x:c>
      <x:c r="AC491" t="str"/>
      <x:c r="AD491" t="str"/>
    </x:row>
    <x:row r="492">
      <x:c r="A492" t="str">
        <x:v>REC0491</x:v>
      </x:c>
      <x:c r="B492" t="n">
        <x:v>490</x:v>
      </x:c>
      <x:c r="C492" t="str">
        <x:v>Puerto Rico</x:v>
      </x:c>
      <x:c r="D492" t="str">
        <x:v>GV</x:v>
      </x:c>
      <x:c r="E492" t="str">
        <x:v>Ground Validation</x:v>
      </x:c>
      <x:c r="F492" t="str">
        <x:v>Seaviewer Drop Camera</x:v>
      </x:c>
      <x:c r="G492" t="str">
        <x:v>GV2011_048</x:v>
      </x:c>
      <x:c r="H492" s="28" t="n">
        <x:v>40636</x:v>
      </x:c>
      <x:c r="I492" t="str">
        <x:v>13:09:41</x:v>
      </x:c>
      <x:c r="J492" t="n">
        <x:v>2011</x:v>
      </x:c>
      <x:c r="K492" t="n">
        <x:v>18.2274096</x:v>
      </x:c>
      <x:c r="L492" t="n">
        <x:v>-65.19531196</x:v>
      </x:c>
      <x:c r="M492" t="n">
        <x:v>25.306</x:v>
      </x:c>
      <x:c r="N492" t="str">
        <x:v>https://nccospublicstor.blob.core.windows.net/biomapper/usviinsularshelf2017/videos/low/GV2011_048.mp4</x:v>
      </x:c>
      <x:c r="O492" t="n">
        <x:v>1</x:v>
      </x:c>
      <x:c r="P492" t="n">
        <x:v>0</x:v>
      </x:c>
      <x:c r="Q492" t="n">
        <x:v>0</x:v>
      </x:c>
      <x:c r="R492" t="n">
        <x:v>0</x:v>
      </x:c>
      <x:c r="S492" t="n">
        <x:v>1</x:v>
      </x:c>
      <x:c r="T492" t="n">
        <x:v>0</x:v>
      </x:c>
      <x:c r="U492" t="n">
        <x:v>1</x:v>
      </x:c>
      <x:c r="V492" t="n">
        <x:v>1</x:v>
      </x:c>
      <x:c r="W492" t="n">
        <x:v>0</x:v>
      </x:c>
      <x:c r="X492" t="n">
        <x:v>0</x:v>
      </x:c>
      <x:c r="Y492" t="n">
        <x:v>0</x:v>
      </x:c>
      <x:c r="Z492" t="n">
        <x:v>1</x:v>
      </x:c>
      <x:c r="AA492" t="n">
        <x:v>3</x:v>
      </x:c>
      <x:c r="AB492" t="str">
        <x:v>Pass</x:v>
      </x:c>
      <x:c r="AC492" t="str"/>
      <x:c r="AD492" t="str"/>
    </x:row>
    <x:row r="493">
      <x:c r="A493" t="str">
        <x:v>REC0492</x:v>
      </x:c>
      <x:c r="B493" t="n">
        <x:v>491</x:v>
      </x:c>
      <x:c r="C493" t="str">
        <x:v>Puerto Rico</x:v>
      </x:c>
      <x:c r="D493" t="str">
        <x:v>GV</x:v>
      </x:c>
      <x:c r="E493" t="str">
        <x:v>Ground Validation</x:v>
      </x:c>
      <x:c r="F493" t="str">
        <x:v>Seaviewer Drop Camera</x:v>
      </x:c>
      <x:c r="G493" t="str">
        <x:v>GV2011_049</x:v>
      </x:c>
      <x:c r="H493" s="28" t="n">
        <x:v>40636</x:v>
      </x:c>
      <x:c r="I493" t="str">
        <x:v>13:21:21</x:v>
      </x:c>
      <x:c r="J493" t="n">
        <x:v>2011</x:v>
      </x:c>
      <x:c r="K493" t="n">
        <x:v>18.22476089</x:v>
      </x:c>
      <x:c r="L493" t="n">
        <x:v>-65.18852652</x:v>
      </x:c>
      <x:c r="M493" t="n">
        <x:v>31.2</x:v>
      </x:c>
      <x:c r="N493" t="str">
        <x:v>https://nccospublicstor.blob.core.windows.net/biomapper/usviinsularshelf2017/videos/low/GV2011_049.mp4</x:v>
      </x:c>
      <x:c r="O493" t="n">
        <x:v>1</x:v>
      </x:c>
      <x:c r="P493" t="n">
        <x:v>0</x:v>
      </x:c>
      <x:c r="Q493" t="n">
        <x:v>0</x:v>
      </x:c>
      <x:c r="R493" t="n">
        <x:v>0</x:v>
      </x:c>
      <x:c r="S493" t="n">
        <x:v>1</x:v>
      </x:c>
      <x:c r="T493" t="n">
        <x:v>1</x:v>
      </x:c>
      <x:c r="U493" t="n">
        <x:v>1</x:v>
      </x:c>
      <x:c r="V493" t="n">
        <x:v>1</x:v>
      </x:c>
      <x:c r="W493" t="n">
        <x:v>0</x:v>
      </x:c>
      <x:c r="X493" t="n">
        <x:v>0</x:v>
      </x:c>
      <x:c r="Y493" t="n">
        <x:v>0</x:v>
      </x:c>
      <x:c r="Z493" t="n">
        <x:v>1</x:v>
      </x:c>
      <x:c r="AA493" t="n">
        <x:v>4</x:v>
      </x:c>
      <x:c r="AB493" t="str">
        <x:v>Pass</x:v>
      </x:c>
      <x:c r="AC493" t="str"/>
      <x:c r="AD493" t="str"/>
    </x:row>
    <x:row r="494">
      <x:c r="A494" t="str">
        <x:v>REC0493</x:v>
      </x:c>
      <x:c r="B494" t="n">
        <x:v>492</x:v>
      </x:c>
      <x:c r="C494" t="str">
        <x:v>Puerto Rico</x:v>
      </x:c>
      <x:c r="D494" t="str">
        <x:v>GV</x:v>
      </x:c>
      <x:c r="E494" t="str">
        <x:v>Ground Validation</x:v>
      </x:c>
      <x:c r="F494" t="str">
        <x:v>Seaviewer Drop Camera</x:v>
      </x:c>
      <x:c r="G494" t="str">
        <x:v>GV2011_050</x:v>
      </x:c>
      <x:c r="H494" s="28" t="n">
        <x:v>40636</x:v>
      </x:c>
      <x:c r="I494" t="str">
        <x:v>11:51:31</x:v>
      </x:c>
      <x:c r="J494" t="n">
        <x:v>2011</x:v>
      </x:c>
      <x:c r="K494" t="n">
        <x:v>18.23800557</x:v>
      </x:c>
      <x:c r="L494" t="n">
        <x:v>-65.14996799</x:v>
      </x:c>
      <x:c r="M494" t="n">
        <x:v>36.487</x:v>
      </x:c>
      <x:c r="N494" t="str">
        <x:v>https://nccospublicstor.blob.core.windows.net/biomapper/usviinsularshelf2017/videos/low/GV2011_050.mp4</x:v>
      </x:c>
      <x:c r="O494" t="n">
        <x:v>1</x:v>
      </x:c>
      <x:c r="P494" t="n">
        <x:v>0</x:v>
      </x:c>
      <x:c r="Q494" t="n">
        <x:v>0</x:v>
      </x:c>
      <x:c r="R494" t="n">
        <x:v>0</x:v>
      </x:c>
      <x:c r="S494" t="n">
        <x:v>1</x:v>
      </x:c>
      <x:c r="T494" t="n">
        <x:v>0</x:v>
      </x:c>
      <x:c r="U494" t="n">
        <x:v>1</x:v>
      </x:c>
      <x:c r="V494" t="n">
        <x:v>1</x:v>
      </x:c>
      <x:c r="W494" t="n">
        <x:v>0</x:v>
      </x:c>
      <x:c r="X494" t="n">
        <x:v>0</x:v>
      </x:c>
      <x:c r="Y494" t="n">
        <x:v>0</x:v>
      </x:c>
      <x:c r="Z494" t="n">
        <x:v>1</x:v>
      </x:c>
      <x:c r="AA494" t="n">
        <x:v>3</x:v>
      </x:c>
      <x:c r="AB494" t="str">
        <x:v>Pass</x:v>
      </x:c>
      <x:c r="AC494" t="str"/>
      <x:c r="AD494" t="str"/>
    </x:row>
    <x:row r="495">
      <x:c r="A495" t="str">
        <x:v>REC0494</x:v>
      </x:c>
      <x:c r="B495" t="n">
        <x:v>493</x:v>
      </x:c>
      <x:c r="C495" t="str">
        <x:v>Puerto Rico</x:v>
      </x:c>
      <x:c r="D495" t="str">
        <x:v>GV</x:v>
      </x:c>
      <x:c r="E495" t="str">
        <x:v>Ground Validation</x:v>
      </x:c>
      <x:c r="F495" t="str">
        <x:v>Seaviewer Drop Camera</x:v>
      </x:c>
      <x:c r="G495" t="str">
        <x:v>GV2011_051</x:v>
      </x:c>
      <x:c r="H495" s="28" t="n">
        <x:v>40636</x:v>
      </x:c>
      <x:c r="I495" t="str">
        <x:v>12:49:54</x:v>
      </x:c>
      <x:c r="J495" t="n">
        <x:v>2011</x:v>
      </x:c>
      <x:c r="K495" t="n">
        <x:v>18.23545823</x:v>
      </x:c>
      <x:c r="L495" t="n">
        <x:v>-65.18188424</x:v>
      </x:c>
      <x:c r="M495" t="n">
        <x:v>32.695</x:v>
      </x:c>
      <x:c r="N495" t="str">
        <x:v>https://nccospublicstor.blob.core.windows.net/biomapper/usviinsularshelf2017/videos/low/GV2011_051.mp4</x:v>
      </x:c>
      <x:c r="O495" t="n">
        <x:v>1</x:v>
      </x:c>
      <x:c r="P495" t="n">
        <x:v>0</x:v>
      </x:c>
      <x:c r="Q495" t="n">
        <x:v>0</x:v>
      </x:c>
      <x:c r="R495" t="n">
        <x:v>1</x:v>
      </x:c>
      <x:c r="S495" t="n">
        <x:v>1</x:v>
      </x:c>
      <x:c r="T495" t="n">
        <x:v>1</x:v>
      </x:c>
      <x:c r="U495" t="n">
        <x:v>1</x:v>
      </x:c>
      <x:c r="V495" t="n">
        <x:v>1</x:v>
      </x:c>
      <x:c r="W495" t="n">
        <x:v>0</x:v>
      </x:c>
      <x:c r="X495" t="n">
        <x:v>0</x:v>
      </x:c>
      <x:c r="Y495" t="n">
        <x:v>0</x:v>
      </x:c>
      <x:c r="Z495" t="n">
        <x:v>2</x:v>
      </x:c>
      <x:c r="AA495" t="n">
        <x:v>4</x:v>
      </x:c>
      <x:c r="AB495" t="str">
        <x:v>Pass</x:v>
      </x:c>
      <x:c r="AC495" t="str"/>
      <x:c r="AD495" t="str"/>
    </x:row>
    <x:row r="496">
      <x:c r="A496" t="str">
        <x:v>REC0495</x:v>
      </x:c>
      <x:c r="B496" t="n">
        <x:v>494</x:v>
      </x:c>
      <x:c r="C496" t="str">
        <x:v>Puerto Rico</x:v>
      </x:c>
      <x:c r="D496" t="str">
        <x:v>GV</x:v>
      </x:c>
      <x:c r="E496" t="str">
        <x:v>Ground Validation</x:v>
      </x:c>
      <x:c r="F496" t="str">
        <x:v>Seaviewer Drop Camera</x:v>
      </x:c>
      <x:c r="G496" t="str">
        <x:v>GV2011_052</x:v>
      </x:c>
      <x:c r="H496" s="28" t="n">
        <x:v>40636</x:v>
      </x:c>
      <x:c r="I496" t="str">
        <x:v>12:16:38</x:v>
      </x:c>
      <x:c r="J496" t="n">
        <x:v>2011</x:v>
      </x:c>
      <x:c r="K496" t="n">
        <x:v>18.23331563</x:v>
      </x:c>
      <x:c r="L496" t="n">
        <x:v>-65.16646188</x:v>
      </x:c>
      <x:c r="M496" t="n">
        <x:v>37.437</x:v>
      </x:c>
      <x:c r="N496" t="str">
        <x:v>https://nccospublicstor.blob.core.windows.net/biomapper/usviinsularshelf2017/videos/low/GV2011_052.mp4</x:v>
      </x:c>
      <x:c r="O496" t="n">
        <x:v>1</x:v>
      </x:c>
      <x:c r="P496" t="n">
        <x:v>0</x:v>
      </x:c>
      <x:c r="Q496" t="n">
        <x:v>0</x:v>
      </x:c>
      <x:c r="R496" t="n">
        <x:v>0</x:v>
      </x:c>
      <x:c r="S496" t="n">
        <x:v>1</x:v>
      </x:c>
      <x:c r="T496" t="n">
        <x:v>0</x:v>
      </x:c>
      <x:c r="U496" t="n">
        <x:v>1</x:v>
      </x:c>
      <x:c r="V496" t="n">
        <x:v>1</x:v>
      </x:c>
      <x:c r="W496" t="n">
        <x:v>0</x:v>
      </x:c>
      <x:c r="X496" t="n">
        <x:v>1</x:v>
      </x:c>
      <x:c r="Y496" t="n">
        <x:v>0</x:v>
      </x:c>
      <x:c r="Z496" t="n">
        <x:v>1</x:v>
      </x:c>
      <x:c r="AA496" t="n">
        <x:v>3</x:v>
      </x:c>
      <x:c r="AB496" t="str">
        <x:v>Pass</x:v>
      </x:c>
      <x:c r="AC496" t="str"/>
      <x:c r="AD496" t="str">
        <x:v>Cable</x:v>
      </x:c>
    </x:row>
    <x:row r="497">
      <x:c r="A497" t="str">
        <x:v>REC0496</x:v>
      </x:c>
      <x:c r="B497" t="n">
        <x:v>495</x:v>
      </x:c>
      <x:c r="C497" t="str">
        <x:v>Puerto Rico</x:v>
      </x:c>
      <x:c r="D497" t="str">
        <x:v>GV</x:v>
      </x:c>
      <x:c r="E497" t="str">
        <x:v>Ground Validation</x:v>
      </x:c>
      <x:c r="F497" t="str">
        <x:v>Seaviewer Drop Camera</x:v>
      </x:c>
      <x:c r="G497" t="str">
        <x:v>GV2011_053</x:v>
      </x:c>
      <x:c r="H497" s="28" t="n">
        <x:v>40636</x:v>
      </x:c>
      <x:c r="I497" t="str">
        <x:v>11:58:55</x:v>
      </x:c>
      <x:c r="J497" t="n">
        <x:v>2011</x:v>
      </x:c>
      <x:c r="K497" t="n">
        <x:v>18.2331905</x:v>
      </x:c>
      <x:c r="L497" t="n">
        <x:v>-65.15415295</x:v>
      </x:c>
      <x:c r="M497" t="n">
        <x:v>37.209</x:v>
      </x:c>
      <x:c r="N497" t="str">
        <x:v>https://nccospublicstor.blob.core.windows.net/biomapper/usviinsularshelf2017/videos/low/GV2011_053.mp4</x:v>
      </x:c>
      <x:c r="O497" t="n">
        <x:v>1</x:v>
      </x:c>
      <x:c r="P497" t="n">
        <x:v>0</x:v>
      </x:c>
      <x:c r="Q497" t="n">
        <x:v>0</x:v>
      </x:c>
      <x:c r="R497" t="n">
        <x:v>0</x:v>
      </x:c>
      <x:c r="S497" t="n">
        <x:v>1</x:v>
      </x:c>
      <x:c r="T497" t="n">
        <x:v>0</x:v>
      </x:c>
      <x:c r="U497" t="n">
        <x:v>1</x:v>
      </x:c>
      <x:c r="V497" t="n">
        <x:v>1</x:v>
      </x:c>
      <x:c r="W497" t="n">
        <x:v>0</x:v>
      </x:c>
      <x:c r="X497" t="n">
        <x:v>0</x:v>
      </x:c>
      <x:c r="Y497" t="n">
        <x:v>0</x:v>
      </x:c>
      <x:c r="Z497" t="n">
        <x:v>1</x:v>
      </x:c>
      <x:c r="AA497" t="n">
        <x:v>3</x:v>
      </x:c>
      <x:c r="AB497" t="str">
        <x:v>Pass</x:v>
      </x:c>
      <x:c r="AC497" t="str"/>
      <x:c r="AD497" t="str"/>
    </x:row>
    <x:row r="498">
      <x:c r="A498" t="str">
        <x:v>REC0497</x:v>
      </x:c>
      <x:c r="B498" t="n">
        <x:v>496</x:v>
      </x:c>
      <x:c r="C498" t="str">
        <x:v>Puerto Rico</x:v>
      </x:c>
      <x:c r="D498" t="str">
        <x:v>GV</x:v>
      </x:c>
      <x:c r="E498" t="str">
        <x:v>Ground Validation</x:v>
      </x:c>
      <x:c r="F498" t="str">
        <x:v>Seaviewer Drop Camera</x:v>
      </x:c>
      <x:c r="G498" t="str">
        <x:v>GV2011_054</x:v>
      </x:c>
      <x:c r="H498" s="28" t="n">
        <x:v>40636</x:v>
      </x:c>
      <x:c r="I498" t="str">
        <x:v>12:08:56</x:v>
      </x:c>
      <x:c r="J498" t="n">
        <x:v>2011</x:v>
      </x:c>
      <x:c r="K498" t="n">
        <x:v>18.23017254</x:v>
      </x:c>
      <x:c r="L498" t="n">
        <x:v>-65.15980061</x:v>
      </x:c>
      <x:c r="M498" t="n">
        <x:v>36.218</x:v>
      </x:c>
      <x:c r="N498" t="str">
        <x:v>https://nccospublicstor.blob.core.windows.net/biomapper/usviinsularshelf2017/videos/low/GV2011_054.mp4</x:v>
      </x:c>
      <x:c r="O498" t="n">
        <x:v>1</x:v>
      </x:c>
      <x:c r="P498" t="n">
        <x:v>0</x:v>
      </x:c>
      <x:c r="Q498" t="n">
        <x:v>0</x:v>
      </x:c>
      <x:c r="R498" t="n">
        <x:v>0</x:v>
      </x:c>
      <x:c r="S498" t="n">
        <x:v>1</x:v>
      </x:c>
      <x:c r="T498" t="n">
        <x:v>1</x:v>
      </x:c>
      <x:c r="U498" t="n">
        <x:v>1</x:v>
      </x:c>
      <x:c r="V498" t="n">
        <x:v>1</x:v>
      </x:c>
      <x:c r="W498" t="n">
        <x:v>0</x:v>
      </x:c>
      <x:c r="X498" t="n">
        <x:v>0</x:v>
      </x:c>
      <x:c r="Y498" t="n">
        <x:v>0</x:v>
      </x:c>
      <x:c r="Z498" t="n">
        <x:v>1</x:v>
      </x:c>
      <x:c r="AA498" t="n">
        <x:v>4</x:v>
      </x:c>
      <x:c r="AB498" t="str">
        <x:v>Pass</x:v>
      </x:c>
      <x:c r="AC498" t="str"/>
      <x:c r="AD498" t="str"/>
    </x:row>
    <x:row r="499">
      <x:c r="A499" t="str">
        <x:v>REC0498</x:v>
      </x:c>
      <x:c r="B499" t="n">
        <x:v>497</x:v>
      </x:c>
      <x:c r="C499" t="str">
        <x:v>Puerto Rico</x:v>
      </x:c>
      <x:c r="D499" t="str">
        <x:v>GV</x:v>
      </x:c>
      <x:c r="E499" t="str">
        <x:v>Ground Validation</x:v>
      </x:c>
      <x:c r="F499" t="str">
        <x:v>Seaviewer Drop Camera</x:v>
      </x:c>
      <x:c r="G499" t="str">
        <x:v>GV2011_055</x:v>
      </x:c>
      <x:c r="H499" s="28" t="n">
        <x:v>40636</x:v>
      </x:c>
      <x:c r="I499" t="str">
        <x:v>12:04:24</x:v>
      </x:c>
      <x:c r="J499" t="n">
        <x:v>2011</x:v>
      </x:c>
      <x:c r="K499" t="n">
        <x:v>18.23159254</x:v>
      </x:c>
      <x:c r="L499" t="n">
        <x:v>-65.15772866</x:v>
      </x:c>
      <x:c r="M499" t="n">
        <x:v>36.257</x:v>
      </x:c>
      <x:c r="N499" t="str">
        <x:v>https://nccospublicstor.blob.core.windows.net/biomapper/usviinsularshelf2017/videos/low/GV2011_055.mp4</x:v>
      </x:c>
      <x:c r="O499" t="n">
        <x:v>1</x:v>
      </x:c>
      <x:c r="P499" t="n">
        <x:v>0</x:v>
      </x:c>
      <x:c r="Q499" t="n">
        <x:v>0</x:v>
      </x:c>
      <x:c r="R499" t="n">
        <x:v>0</x:v>
      </x:c>
      <x:c r="S499" t="n">
        <x:v>1</x:v>
      </x:c>
      <x:c r="T499" t="n">
        <x:v>0</x:v>
      </x:c>
      <x:c r="U499" t="n">
        <x:v>1</x:v>
      </x:c>
      <x:c r="V499" t="n">
        <x:v>1</x:v>
      </x:c>
      <x:c r="W499" t="n">
        <x:v>0</x:v>
      </x:c>
      <x:c r="X499" t="n">
        <x:v>0</x:v>
      </x:c>
      <x:c r="Y499" t="n">
        <x:v>0</x:v>
      </x:c>
      <x:c r="Z499" t="n">
        <x:v>1</x:v>
      </x:c>
      <x:c r="AA499" t="n">
        <x:v>3</x:v>
      </x:c>
      <x:c r="AB499" t="str">
        <x:v>Pass</x:v>
      </x:c>
      <x:c r="AC499" t="str"/>
      <x:c r="AD499" t="str"/>
    </x:row>
    <x:row r="500">
      <x:c r="A500" t="str">
        <x:v>REC0499</x:v>
      </x:c>
      <x:c r="B500" t="n">
        <x:v>498</x:v>
      </x:c>
      <x:c r="C500" t="str">
        <x:v>St. Thomas, USVI</x:v>
      </x:c>
      <x:c r="D500" t="str">
        <x:v>GV</x:v>
      </x:c>
      <x:c r="E500" t="str">
        <x:v>Ground Validation</x:v>
      </x:c>
      <x:c r="F500" t="str">
        <x:v>Seaviewer Drop Camera</x:v>
      </x:c>
      <x:c r="G500" t="str">
        <x:v>GV2011_073</x:v>
      </x:c>
      <x:c r="H500" s="28" t="n">
        <x:v>40633</x:v>
      </x:c>
      <x:c r="I500" t="str">
        <x:v>14:25:29</x:v>
      </x:c>
      <x:c r="J500" t="n">
        <x:v>2011</x:v>
      </x:c>
      <x:c r="K500" t="n">
        <x:v>18.20616606</x:v>
      </x:c>
      <x:c r="L500" t="n">
        <x:v>-64.86257477</x:v>
      </x:c>
      <x:c r="M500" t="n">
        <x:v>50.365</x:v>
      </x:c>
      <x:c r="N500" t="str">
        <x:v>https://nccospublicstor.blob.core.windows.net/biomapper/usviinsularshelf2017/videos/low/GV2011_073.mp4</x:v>
      </x:c>
      <x:c r="O500" t="n">
        <x:v>0</x:v>
      </x:c>
      <x:c r="P500" t="n">
        <x:v>1</x:v>
      </x:c>
      <x:c r="Q500" t="n">
        <x:v>1</x:v>
      </x:c>
      <x:c r="R500" t="n">
        <x:v>0</x:v>
      </x:c>
      <x:c r="S500" t="n">
        <x:v>1</x:v>
      </x:c>
      <x:c r="T500" t="n">
        <x:v>0</x:v>
      </x:c>
      <x:c r="U500" t="n">
        <x:v>1</x:v>
      </x:c>
      <x:c r="V500" t="n">
        <x:v>1</x:v>
      </x:c>
      <x:c r="W500" t="n">
        <x:v>0</x:v>
      </x:c>
      <x:c r="X500" t="n">
        <x:v>0</x:v>
      </x:c>
      <x:c r="Y500" t="n">
        <x:v>0</x:v>
      </x:c>
      <x:c r="Z500" t="n">
        <x:v>2</x:v>
      </x:c>
      <x:c r="AA500" t="n">
        <x:v>3</x:v>
      </x:c>
      <x:c r="AB500" t="str">
        <x:v>Pass</x:v>
      </x:c>
      <x:c r="AC500" t="str"/>
      <x:c r="AD500" t="str"/>
    </x:row>
    <x:row r="501">
      <x:c r="A501" t="str">
        <x:v>REC0500</x:v>
      </x:c>
      <x:c r="B501" t="n">
        <x:v>499</x:v>
      </x:c>
      <x:c r="C501" t="str">
        <x:v>St. Thomas, USVI</x:v>
      </x:c>
      <x:c r="D501" t="str">
        <x:v>GV</x:v>
      </x:c>
      <x:c r="E501" t="str">
        <x:v>Ground Validation</x:v>
      </x:c>
      <x:c r="F501" t="str">
        <x:v>Seaviewer Drop Camera</x:v>
      </x:c>
      <x:c r="G501" t="str">
        <x:v>GV2011_082</x:v>
      </x:c>
      <x:c r="H501" s="28" t="n">
        <x:v>40633</x:v>
      </x:c>
      <x:c r="I501" t="str">
        <x:v>09:08:49</x:v>
      </x:c>
      <x:c r="J501" t="n">
        <x:v>2011</x:v>
      </x:c>
      <x:c r="K501" t="n">
        <x:v>18.26866932</x:v>
      </x:c>
      <x:c r="L501" t="n">
        <x:v>-64.8302656</x:v>
      </x:c>
      <x:c r="M501" t="n">
        <x:v>33.177</x:v>
      </x:c>
      <x:c r="N501" t="str">
        <x:v>https://nccospublicstor.blob.core.windows.net/biomapper/usviinsularshelf2017/videos/low/GV2011_082.mp4</x:v>
      </x:c>
      <x:c r="O501" t="n">
        <x:v>0</x:v>
      </x:c>
      <x:c r="P501" t="n">
        <x:v>0</x:v>
      </x:c>
      <x:c r="Q501" t="n">
        <x:v>1</x:v>
      </x:c>
      <x:c r="R501" t="n">
        <x:v>0</x:v>
      </x:c>
      <x:c r="S501" t="n">
        <x:v>0</x:v>
      </x:c>
      <x:c r="T501" t="n">
        <x:v>0</x:v>
      </x:c>
      <x:c r="U501" t="n">
        <x:v>1</x:v>
      </x:c>
      <x:c r="V501" t="n">
        <x:v>1</x:v>
      </x:c>
      <x:c r="W501" t="n">
        <x:v>0</x:v>
      </x:c>
      <x:c r="X501" t="n">
        <x:v>0</x:v>
      </x:c>
      <x:c r="Y501" t="n">
        <x:v>0</x:v>
      </x:c>
      <x:c r="Z501" t="n">
        <x:v>1</x:v>
      </x:c>
      <x:c r="AA501" t="n">
        <x:v>2</x:v>
      </x:c>
      <x:c r="AB501" t="str">
        <x:v>Pass</x:v>
      </x:c>
      <x:c r="AC501" t="str"/>
      <x:c r="AD501" t="str"/>
    </x:row>
    <x:row r="502">
      <x:c r="A502" t="str">
        <x:v>REC0501</x:v>
      </x:c>
      <x:c r="B502" t="n">
        <x:v>500</x:v>
      </x:c>
      <x:c r="C502" t="str">
        <x:v>St. Thomas, USVI</x:v>
      </x:c>
      <x:c r="D502" t="str">
        <x:v>GV</x:v>
      </x:c>
      <x:c r="E502" t="str">
        <x:v>Ground Validation</x:v>
      </x:c>
      <x:c r="F502" t="str">
        <x:v>Seaviewer Drop Camera</x:v>
      </x:c>
      <x:c r="G502" t="str">
        <x:v>GV2011_089</x:v>
      </x:c>
      <x:c r="H502" s="28" t="n">
        <x:v>40646</x:v>
      </x:c>
      <x:c r="I502" t="str">
        <x:v>07:43:38</x:v>
      </x:c>
      <x:c r="J502" t="n">
        <x:v>2011</x:v>
      </x:c>
      <x:c r="K502" t="n">
        <x:v>18.23845653</x:v>
      </x:c>
      <x:c r="L502" t="n">
        <x:v>-64.86484567</x:v>
      </x:c>
      <x:c r="M502" t="n">
        <x:v>39.946</x:v>
      </x:c>
      <x:c r="N502" t="str">
        <x:v>https://nccospublicstor.blob.core.windows.net/biomapper/usviinsularshelf2017/videos/low/GV2011_089.mp4</x:v>
      </x:c>
      <x:c r="O502" t="n">
        <x:v>1</x:v>
      </x:c>
      <x:c r="P502" t="n">
        <x:v>0</x:v>
      </x:c>
      <x:c r="Q502" t="n">
        <x:v>0</x:v>
      </x:c>
      <x:c r="R502" t="n">
        <x:v>1</x:v>
      </x:c>
      <x:c r="S502" t="n">
        <x:v>1</x:v>
      </x:c>
      <x:c r="T502" t="n">
        <x:v>0</x:v>
      </x:c>
      <x:c r="U502" t="n">
        <x:v>1</x:v>
      </x:c>
      <x:c r="V502" t="n">
        <x:v>1</x:v>
      </x:c>
      <x:c r="W502" t="n">
        <x:v>0</x:v>
      </x:c>
      <x:c r="X502" t="n">
        <x:v>0</x:v>
      </x:c>
      <x:c r="Y502" t="n">
        <x:v>0</x:v>
      </x:c>
      <x:c r="Z502" t="n">
        <x:v>2</x:v>
      </x:c>
      <x:c r="AA502" t="n">
        <x:v>3</x:v>
      </x:c>
      <x:c r="AB502" t="str">
        <x:v>Pass</x:v>
      </x:c>
      <x:c r="AC502" t="str"/>
      <x:c r="AD502" t="str"/>
    </x:row>
    <x:row r="503">
      <x:c r="A503" t="str">
        <x:v>REC0502</x:v>
      </x:c>
      <x:c r="B503" t="n">
        <x:v>501</x:v>
      </x:c>
      <x:c r="C503" t="str">
        <x:v>St. Thomas, USVI</x:v>
      </x:c>
      <x:c r="D503" t="str">
        <x:v>GV</x:v>
      </x:c>
      <x:c r="E503" t="str">
        <x:v>Ground Validation</x:v>
      </x:c>
      <x:c r="F503" t="str">
        <x:v>Seaviewer Drop Camera</x:v>
      </x:c>
      <x:c r="G503" t="str">
        <x:v>GV2011_090</x:v>
      </x:c>
      <x:c r="H503" s="28" t="n">
        <x:v>40646</x:v>
      </x:c>
      <x:c r="I503" t="str">
        <x:v>07:38:19</x:v>
      </x:c>
      <x:c r="J503" t="n">
        <x:v>2011</x:v>
      </x:c>
      <x:c r="K503" t="n">
        <x:v>18.23849496</x:v>
      </x:c>
      <x:c r="L503" t="n">
        <x:v>-64.86156152</x:v>
      </x:c>
      <x:c r="M503" t="n">
        <x:v>38.608</x:v>
      </x:c>
      <x:c r="N503" t="str">
        <x:v>https://nccospublicstor.blob.core.windows.net/biomapper/usviinsularshelf2017/videos/low/GV2011_090.mp4</x:v>
      </x:c>
      <x:c r="O503" t="n">
        <x:v>1</x:v>
      </x:c>
      <x:c r="P503" t="n">
        <x:v>0</x:v>
      </x:c>
      <x:c r="Q503" t="n">
        <x:v>0</x:v>
      </x:c>
      <x:c r="R503" t="n">
        <x:v>0</x:v>
      </x:c>
      <x:c r="S503" t="n">
        <x:v>1</x:v>
      </x:c>
      <x:c r="T503" t="n">
        <x:v>0</x:v>
      </x:c>
      <x:c r="U503" t="n">
        <x:v>1</x:v>
      </x:c>
      <x:c r="V503" t="n">
        <x:v>1</x:v>
      </x:c>
      <x:c r="W503" t="n">
        <x:v>0</x:v>
      </x:c>
      <x:c r="X503" t="n">
        <x:v>0</x:v>
      </x:c>
      <x:c r="Y503" t="n">
        <x:v>0</x:v>
      </x:c>
      <x:c r="Z503" t="n">
        <x:v>1</x:v>
      </x:c>
      <x:c r="AA503" t="n">
        <x:v>3</x:v>
      </x:c>
      <x:c r="AB503" t="str">
        <x:v>Pass</x:v>
      </x:c>
      <x:c r="AC503" t="str"/>
      <x:c r="AD503" t="str"/>
    </x:row>
    <x:row r="504">
      <x:c r="A504" t="str">
        <x:v>REC0503</x:v>
      </x:c>
      <x:c r="B504" t="n">
        <x:v>502</x:v>
      </x:c>
      <x:c r="C504" t="str">
        <x:v>St. Thomas, USVI</x:v>
      </x:c>
      <x:c r="D504" t="str">
        <x:v>GV</x:v>
      </x:c>
      <x:c r="E504" t="str">
        <x:v>Ground Validation</x:v>
      </x:c>
      <x:c r="F504" t="str">
        <x:v>Seaviewer Drop Camera</x:v>
      </x:c>
      <x:c r="G504" t="str">
        <x:v>GV2011_098</x:v>
      </x:c>
      <x:c r="H504" s="28" t="n">
        <x:v>40633</x:v>
      </x:c>
      <x:c r="I504" t="str">
        <x:v>14:02:41</x:v>
      </x:c>
      <x:c r="J504" t="n">
        <x:v>2011</x:v>
      </x:c>
      <x:c r="K504" t="n">
        <x:v>18.20600998</x:v>
      </x:c>
      <x:c r="L504" t="n">
        <x:v>-64.88565234</x:v>
      </x:c>
      <x:c r="M504" t="n">
        <x:v>45.863</x:v>
      </x:c>
      <x:c r="N504" t="str">
        <x:v>https://nccospublicstor.blob.core.windows.net/biomapper/usviinsularshelf2017/videos/low/GV2011_098.mp4</x:v>
      </x:c>
      <x:c r="O504" t="n">
        <x:v>1</x:v>
      </x:c>
      <x:c r="P504" t="n">
        <x:v>0</x:v>
      </x:c>
      <x:c r="Q504" t="n">
        <x:v>0</x:v>
      </x:c>
      <x:c r="R504" t="n">
        <x:v>0</x:v>
      </x:c>
      <x:c r="S504" t="n">
        <x:v>1</x:v>
      </x:c>
      <x:c r="T504" t="n">
        <x:v>0</x:v>
      </x:c>
      <x:c r="U504" t="n">
        <x:v>1</x:v>
      </x:c>
      <x:c r="V504" t="n">
        <x:v>1</x:v>
      </x:c>
      <x:c r="W504" t="n">
        <x:v>0</x:v>
      </x:c>
      <x:c r="X504" t="n">
        <x:v>0</x:v>
      </x:c>
      <x:c r="Y504" t="n">
        <x:v>0</x:v>
      </x:c>
      <x:c r="Z504" t="n">
        <x:v>1</x:v>
      </x:c>
      <x:c r="AA504" t="n">
        <x:v>3</x:v>
      </x:c>
      <x:c r="AB504" t="str">
        <x:v>Pass</x:v>
      </x:c>
      <x:c r="AC504" t="str"/>
      <x:c r="AD504" t="str"/>
    </x:row>
    <x:row r="505">
      <x:c r="A505" t="str">
        <x:v>REC0504</x:v>
      </x:c>
      <x:c r="B505" t="n">
        <x:v>503</x:v>
      </x:c>
      <x:c r="C505" t="str">
        <x:v>St. Thomas, USVI</x:v>
      </x:c>
      <x:c r="D505" t="str">
        <x:v>GV</x:v>
      </x:c>
      <x:c r="E505" t="str">
        <x:v>Ground Validation</x:v>
      </x:c>
      <x:c r="F505" t="str">
        <x:v>Seaviewer Drop Camera</x:v>
      </x:c>
      <x:c r="G505" t="str">
        <x:v>GV2011_103</x:v>
      </x:c>
      <x:c r="H505" s="28" t="n">
        <x:v>40633</x:v>
      </x:c>
      <x:c r="I505" t="str">
        <x:v>13:50:27</x:v>
      </x:c>
      <x:c r="J505" t="n">
        <x:v>2011</x:v>
      </x:c>
      <x:c r="K505" t="n">
        <x:v>18.20935143</x:v>
      </x:c>
      <x:c r="L505" t="n">
        <x:v>-64.87836651</x:v>
      </x:c>
      <x:c r="M505" t="n">
        <x:v>48.556</x:v>
      </x:c>
      <x:c r="N505" t="str">
        <x:v>https://nccospublicstor.blob.core.windows.net/biomapper/usviinsularshelf2017/videos/low/GV2011_103.mp4</x:v>
      </x:c>
      <x:c r="O505" t="n">
        <x:v>1</x:v>
      </x:c>
      <x:c r="P505" t="n">
        <x:v>0</x:v>
      </x:c>
      <x:c r="Q505" t="n">
        <x:v>0</x:v>
      </x:c>
      <x:c r="R505" t="n">
        <x:v>0</x:v>
      </x:c>
      <x:c r="S505" t="n">
        <x:v>1</x:v>
      </x:c>
      <x:c r="T505" t="n">
        <x:v>0</x:v>
      </x:c>
      <x:c r="U505" t="n">
        <x:v>1</x:v>
      </x:c>
      <x:c r="V505" t="n">
        <x:v>1</x:v>
      </x:c>
      <x:c r="W505" t="n">
        <x:v>0</x:v>
      </x:c>
      <x:c r="X505" t="n">
        <x:v>0</x:v>
      </x:c>
      <x:c r="Y505" t="n">
        <x:v>0</x:v>
      </x:c>
      <x:c r="Z505" t="n">
        <x:v>1</x:v>
      </x:c>
      <x:c r="AA505" t="n">
        <x:v>3</x:v>
      </x:c>
      <x:c r="AB505" t="str">
        <x:v>Pass</x:v>
      </x:c>
      <x:c r="AC505" t="str"/>
      <x:c r="AD505" t="str"/>
    </x:row>
    <x:row r="506">
      <x:c r="A506" t="str">
        <x:v>REC0505</x:v>
      </x:c>
      <x:c r="B506" t="n">
        <x:v>504</x:v>
      </x:c>
      <x:c r="C506" t="str">
        <x:v>St. Thomas, USVI</x:v>
      </x:c>
      <x:c r="D506" t="str">
        <x:v>GV</x:v>
      </x:c>
      <x:c r="E506" t="str">
        <x:v>Ground Validation</x:v>
      </x:c>
      <x:c r="F506" t="str">
        <x:v>Seaviewer Drop Camera</x:v>
      </x:c>
      <x:c r="G506" t="str">
        <x:v>GV2011_104</x:v>
      </x:c>
      <x:c r="H506" s="28" t="n">
        <x:v>40633</x:v>
      </x:c>
      <x:c r="I506" t="str">
        <x:v>14:34:05</x:v>
      </x:c>
      <x:c r="J506" t="n">
        <x:v>2011</x:v>
      </x:c>
      <x:c r="K506" t="n">
        <x:v>18.21626789</x:v>
      </x:c>
      <x:c r="L506" t="n">
        <x:v>-64.86884532</x:v>
      </x:c>
      <x:c r="M506" t="n">
        <x:v>44.552</x:v>
      </x:c>
      <x:c r="N506" t="str">
        <x:v>https://nccospublicstor.blob.core.windows.net/biomapper/usviinsularshelf2017/videos/low/GV2011_104.mp4</x:v>
      </x:c>
      <x:c r="O506" t="n">
        <x:v>0</x:v>
      </x:c>
      <x:c r="P506" t="n">
        <x:v>0</x:v>
      </x:c>
      <x:c r="Q506" t="n">
        <x:v>1</x:v>
      </x:c>
      <x:c r="R506" t="n">
        <x:v>0</x:v>
      </x:c>
      <x:c r="S506" t="n">
        <x:v>0</x:v>
      </x:c>
      <x:c r="T506" t="n">
        <x:v>0</x:v>
      </x:c>
      <x:c r="U506" t="n">
        <x:v>1</x:v>
      </x:c>
      <x:c r="V506" t="n">
        <x:v>1</x:v>
      </x:c>
      <x:c r="W506" t="n">
        <x:v>0</x:v>
      </x:c>
      <x:c r="X506" t="n">
        <x:v>0</x:v>
      </x:c>
      <x:c r="Y506" t="n">
        <x:v>0</x:v>
      </x:c>
      <x:c r="Z506" t="n">
        <x:v>1</x:v>
      </x:c>
      <x:c r="AA506" t="n">
        <x:v>2</x:v>
      </x:c>
      <x:c r="AB506" t="str">
        <x:v>Pass</x:v>
      </x:c>
      <x:c r="AC506" t="str"/>
      <x:c r="AD506" t="str"/>
    </x:row>
    <x:row r="507">
      <x:c r="A507" t="str">
        <x:v>REC0506</x:v>
      </x:c>
      <x:c r="B507" t="n">
        <x:v>505</x:v>
      </x:c>
      <x:c r="C507" t="str">
        <x:v>St. Thomas, USVI</x:v>
      </x:c>
      <x:c r="D507" t="str">
        <x:v>GV</x:v>
      </x:c>
      <x:c r="E507" t="str">
        <x:v>Ground Validation</x:v>
      </x:c>
      <x:c r="F507" t="str">
        <x:v>Seaviewer Drop Camera</x:v>
      </x:c>
      <x:c r="G507" t="str">
        <x:v>GV2011_114_1</x:v>
      </x:c>
      <x:c r="H507" s="28" t="n">
        <x:v>40634</x:v>
      </x:c>
      <x:c r="I507" t="str">
        <x:v>13:51:50</x:v>
      </x:c>
      <x:c r="J507" t="n">
        <x:v>2011</x:v>
      </x:c>
      <x:c r="K507" t="n">
        <x:v>18.22646253</x:v>
      </x:c>
      <x:c r="L507" t="n">
        <x:v>-65.0217728</x:v>
      </x:c>
      <x:c r="M507" t="n">
        <x:v>40.968</x:v>
      </x:c>
      <x:c r="N507" t="str">
        <x:v>https://nccospublicstor.blob.core.windows.net/biomapper/usviinsularshelf2017/videos/low/GV2011_114_1.mp4</x:v>
      </x:c>
      <x:c r="O507" t="n">
        <x:v>0</x:v>
      </x:c>
      <x:c r="P507" t="n">
        <x:v>0</x:v>
      </x:c>
      <x:c r="Q507" t="n">
        <x:v>1</x:v>
      </x:c>
      <x:c r="R507" t="n">
        <x:v>0</x:v>
      </x:c>
      <x:c r="S507" t="n">
        <x:v>0</x:v>
      </x:c>
      <x:c r="T507" t="n">
        <x:v>0</x:v>
      </x:c>
      <x:c r="U507" t="n">
        <x:v>1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1</x:v>
      </x:c>
      <x:c r="AA507" t="n">
        <x:v>1</x:v>
      </x:c>
      <x:c r="AB507" t="str">
        <x:v>Pass</x:v>
      </x:c>
      <x:c r="AC507" t="str"/>
      <x:c r="AD507" t="str"/>
    </x:row>
    <x:row r="508">
      <x:c r="A508" t="str">
        <x:v>REC0507</x:v>
      </x:c>
      <x:c r="B508" t="n">
        <x:v>506</x:v>
      </x:c>
      <x:c r="C508" t="str">
        <x:v>St. Thomas, USVI</x:v>
      </x:c>
      <x:c r="D508" t="str">
        <x:v>GV</x:v>
      </x:c>
      <x:c r="E508" t="str">
        <x:v>Ground Validation</x:v>
      </x:c>
      <x:c r="F508" t="str">
        <x:v>Seaviewer Drop Camera</x:v>
      </x:c>
      <x:c r="G508" t="str">
        <x:v>GV2011_114_2</x:v>
      </x:c>
      <x:c r="H508" s="28" t="n">
        <x:v>40642</x:v>
      </x:c>
      <x:c r="I508" t="str">
        <x:v>14:12:29</x:v>
      </x:c>
      <x:c r="J508" t="n">
        <x:v>2011</x:v>
      </x:c>
      <x:c r="K508" t="n">
        <x:v>18.22629929</x:v>
      </x:c>
      <x:c r="L508" t="n">
        <x:v>-65.02129503</x:v>
      </x:c>
      <x:c r="M508" t="n">
        <x:v>40.686</x:v>
      </x:c>
      <x:c r="N508" t="str">
        <x:v>https://nccospublicstor.blob.core.windows.net/biomapper/usviinsularshelf2017/videos/low/GV2011_114_2.mp4</x:v>
      </x:c>
      <x:c r="O508" t="n">
        <x:v>0</x:v>
      </x:c>
      <x:c r="P508" t="n">
        <x:v>0</x:v>
      </x:c>
      <x:c r="Q508" t="n">
        <x:v>1</x:v>
      </x:c>
      <x:c r="R508" t="n">
        <x:v>1</x:v>
      </x:c>
      <x:c r="S508" t="n">
        <x:v>0</x:v>
      </x:c>
      <x:c r="T508" t="n">
        <x:v>0</x:v>
      </x:c>
      <x:c r="U508" t="n">
        <x:v>1</x:v>
      </x:c>
      <x:c r="V508" t="n">
        <x:v>1</x:v>
      </x:c>
      <x:c r="W508" t="n">
        <x:v>0</x:v>
      </x:c>
      <x:c r="X508" t="n">
        <x:v>0</x:v>
      </x:c>
      <x:c r="Y508" t="n">
        <x:v>0</x:v>
      </x:c>
      <x:c r="Z508" t="n">
        <x:v>2</x:v>
      </x:c>
      <x:c r="AA508" t="n">
        <x:v>2</x:v>
      </x:c>
      <x:c r="AB508" t="str">
        <x:v>Pass</x:v>
      </x:c>
      <x:c r="AC508" t="str"/>
      <x:c r="AD508" t="str"/>
    </x:row>
    <x:row r="509">
      <x:c r="A509" t="str">
        <x:v>REC0508</x:v>
      </x:c>
      <x:c r="B509" t="n">
        <x:v>507</x:v>
      </x:c>
      <x:c r="C509" t="str">
        <x:v>St. Thomas, USVI</x:v>
      </x:c>
      <x:c r="D509" t="str">
        <x:v>GV</x:v>
      </x:c>
      <x:c r="E509" t="str">
        <x:v>Ground Validation</x:v>
      </x:c>
      <x:c r="F509" t="str">
        <x:v>Seaviewer Drop Camera</x:v>
      </x:c>
      <x:c r="G509" t="str">
        <x:v>GV2011_115_1</x:v>
      </x:c>
      <x:c r="H509" s="28" t="n">
        <x:v>40634</x:v>
      </x:c>
      <x:c r="I509" t="str">
        <x:v>13:11:51</x:v>
      </x:c>
      <x:c r="J509" t="n">
        <x:v>2011</x:v>
      </x:c>
      <x:c r="K509" t="n">
        <x:v>18.20686189</x:v>
      </x:c>
      <x:c r="L509" t="n">
        <x:v>-65.01596494</x:v>
      </x:c>
      <x:c r="M509" t="n">
        <x:v>46.124</x:v>
      </x:c>
      <x:c r="N509" t="str">
        <x:v>https://nccospublicstor.blob.core.windows.net/biomapper/usviinsularshelf2017/videos/low/GV2011_115_1.mp4</x:v>
      </x:c>
      <x:c r="O509" t="n">
        <x:v>1</x:v>
      </x:c>
      <x:c r="P509" t="n">
        <x:v>0</x:v>
      </x:c>
      <x:c r="Q509" t="n">
        <x:v>0</x:v>
      </x:c>
      <x:c r="R509" t="n">
        <x:v>0</x:v>
      </x:c>
      <x:c r="S509" t="n">
        <x:v>1</x:v>
      </x:c>
      <x:c r="T509" t="n">
        <x:v>0</x:v>
      </x:c>
      <x:c r="U509" t="n">
        <x:v>1</x:v>
      </x:c>
      <x:c r="V509" t="n">
        <x:v>1</x:v>
      </x:c>
      <x:c r="W509" t="n">
        <x:v>0</x:v>
      </x:c>
      <x:c r="X509" t="n">
        <x:v>0</x:v>
      </x:c>
      <x:c r="Y509" t="n">
        <x:v>0</x:v>
      </x:c>
      <x:c r="Z509" t="n">
        <x:v>1</x:v>
      </x:c>
      <x:c r="AA509" t="n">
        <x:v>3</x:v>
      </x:c>
      <x:c r="AB509" t="str">
        <x:v>Pass</x:v>
      </x:c>
      <x:c r="AC509" t="str"/>
      <x:c r="AD509" t="str"/>
    </x:row>
    <x:row r="510">
      <x:c r="A510" t="str">
        <x:v>REC0509</x:v>
      </x:c>
      <x:c r="B510" t="n">
        <x:v>508</x:v>
      </x:c>
      <x:c r="C510" t="str">
        <x:v>St. Thomas, USVI</x:v>
      </x:c>
      <x:c r="D510" t="str">
        <x:v>GV</x:v>
      </x:c>
      <x:c r="E510" t="str">
        <x:v>Ground Validation</x:v>
      </x:c>
      <x:c r="F510" t="str">
        <x:v>Seaviewer Drop Camera</x:v>
      </x:c>
      <x:c r="G510" t="str">
        <x:v>GV2011_115_2</x:v>
      </x:c>
      <x:c r="H510" s="28" t="n">
        <x:v>40642</x:v>
      </x:c>
      <x:c r="I510" t="str">
        <x:v>13:22:31</x:v>
      </x:c>
      <x:c r="J510" t="n">
        <x:v>2011</x:v>
      </x:c>
      <x:c r="K510" t="n">
        <x:v>18.2064609</x:v>
      </x:c>
      <x:c r="L510" t="n">
        <x:v>-65.01572078</x:v>
      </x:c>
      <x:c r="M510" t="n">
        <x:v>46.335</x:v>
      </x:c>
      <x:c r="N510" t="str">
        <x:v>https://nccospublicstor.blob.core.windows.net/biomapper/usviinsularshelf2017/videos/low/GV2011_115_2.mp4</x:v>
      </x:c>
      <x:c r="O510" t="n">
        <x:v>1</x:v>
      </x:c>
      <x:c r="P510" t="n">
        <x:v>0</x:v>
      </x:c>
      <x:c r="Q510" t="n">
        <x:v>0</x:v>
      </x:c>
      <x:c r="R510" t="n">
        <x:v>0</x:v>
      </x:c>
      <x:c r="S510" t="n">
        <x:v>1</x:v>
      </x:c>
      <x:c r="T510" t="n">
        <x:v>0</x:v>
      </x:c>
      <x:c r="U510" t="n">
        <x:v>1</x:v>
      </x:c>
      <x:c r="V510" t="n">
        <x:v>1</x:v>
      </x:c>
      <x:c r="W510" t="n">
        <x:v>0</x:v>
      </x:c>
      <x:c r="X510" t="n">
        <x:v>0</x:v>
      </x:c>
      <x:c r="Y510" t="n">
        <x:v>0</x:v>
      </x:c>
      <x:c r="Z510" t="n">
        <x:v>1</x:v>
      </x:c>
      <x:c r="AA510" t="n">
        <x:v>3</x:v>
      </x:c>
      <x:c r="AB510" t="str">
        <x:v>Pass</x:v>
      </x:c>
      <x:c r="AC510" t="str"/>
      <x:c r="AD510" t="str"/>
    </x:row>
    <x:row r="511">
      <x:c r="A511" t="str">
        <x:v>REC0510</x:v>
      </x:c>
      <x:c r="B511" t="n">
        <x:v>509</x:v>
      </x:c>
      <x:c r="C511" t="str">
        <x:v>St. Thomas, USVI</x:v>
      </x:c>
      <x:c r="D511" t="str">
        <x:v>GV</x:v>
      </x:c>
      <x:c r="E511" t="str">
        <x:v>Ground Validation</x:v>
      </x:c>
      <x:c r="F511" t="str">
        <x:v>Seaviewer Drop Camera</x:v>
      </x:c>
      <x:c r="G511" t="str">
        <x:v>GV2011_116_1</x:v>
      </x:c>
      <x:c r="H511" s="28" t="n">
        <x:v>40634</x:v>
      </x:c>
      <x:c r="I511" t="str">
        <x:v>12:59:07</x:v>
      </x:c>
      <x:c r="J511" t="n">
        <x:v>2011</x:v>
      </x:c>
      <x:c r="K511" t="n">
        <x:v>18.2058556</x:v>
      </x:c>
      <x:c r="L511" t="n">
        <x:v>-65.00437484</x:v>
      </x:c>
      <x:c r="M511" t="n">
        <x:v>51.85</x:v>
      </x:c>
      <x:c r="N511" t="str">
        <x:v>https://nccospublicstor.blob.core.windows.net/biomapper/usviinsularshelf2017/videos/low/GV2011_116_1.mp4</x:v>
      </x:c>
      <x:c r="O511" t="n">
        <x:v>0</x:v>
      </x:c>
      <x:c r="P511" t="n">
        <x:v>0</x:v>
      </x:c>
      <x:c r="Q511" t="n">
        <x:v>0</x:v>
      </x:c>
      <x:c r="R511" t="n">
        <x:v>1</x:v>
      </x:c>
      <x:c r="S511" t="n">
        <x:v>0</x:v>
      </x:c>
      <x:c r="T511" t="n">
        <x:v>0</x:v>
      </x:c>
      <x:c r="U511" t="n">
        <x:v>1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1</x:v>
      </x:c>
      <x:c r="AA511" t="n">
        <x:v>1</x:v>
      </x:c>
      <x:c r="AB511" t="str">
        <x:v>Pass</x:v>
      </x:c>
      <x:c r="AC511" t="str"/>
      <x:c r="AD511" t="str"/>
    </x:row>
    <x:row r="512">
      <x:c r="A512" t="str">
        <x:v>REC0511</x:v>
      </x:c>
      <x:c r="B512" t="n">
        <x:v>510</x:v>
      </x:c>
      <x:c r="C512" t="str">
        <x:v>St. Thomas, USVI</x:v>
      </x:c>
      <x:c r="D512" t="str">
        <x:v>GV</x:v>
      </x:c>
      <x:c r="E512" t="str">
        <x:v>Ground Validation</x:v>
      </x:c>
      <x:c r="F512" t="str">
        <x:v>Seaviewer Drop Camera</x:v>
      </x:c>
      <x:c r="G512" t="str">
        <x:v>GV2011_116_2</x:v>
      </x:c>
      <x:c r="H512" s="28" t="n">
        <x:v>40642</x:v>
      </x:c>
      <x:c r="I512" t="str">
        <x:v>13:13:57</x:v>
      </x:c>
      <x:c r="J512" t="n">
        <x:v>2011</x:v>
      </x:c>
      <x:c r="K512" t="n">
        <x:v>18.20560386</x:v>
      </x:c>
      <x:c r="L512" t="n">
        <x:v>-65.00430041</x:v>
      </x:c>
      <x:c r="M512" t="n">
        <x:v>52.057</x:v>
      </x:c>
      <x:c r="N512" t="str">
        <x:v>https://nccospublicstor.blob.core.windows.net/biomapper/usviinsularshelf2017/videos/low/GV2011_116_2.mp4</x:v>
      </x:c>
      <x:c r="O512" t="n">
        <x:v>0</x:v>
      </x:c>
      <x:c r="P512" t="n">
        <x:v>0</x:v>
      </x:c>
      <x:c r="Q512" t="n">
        <x:v>0</x:v>
      </x:c>
      <x:c r="R512" t="n">
        <x:v>1</x:v>
      </x:c>
      <x:c r="S512" t="n">
        <x:v>0</x:v>
      </x:c>
      <x:c r="T512" t="n">
        <x:v>0</x:v>
      </x:c>
      <x:c r="U512" t="n">
        <x:v>1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1</x:v>
      </x:c>
      <x:c r="AA512" t="n">
        <x:v>1</x:v>
      </x:c>
      <x:c r="AB512" t="str">
        <x:v>Pass</x:v>
      </x:c>
      <x:c r="AC512" t="str"/>
      <x:c r="AD512" t="str"/>
    </x:row>
    <x:row r="513">
      <x:c r="A513" t="str">
        <x:v>REC0512</x:v>
      </x:c>
      <x:c r="B513" t="n">
        <x:v>511</x:v>
      </x:c>
      <x:c r="C513" t="str">
        <x:v>St. Thomas, USVI</x:v>
      </x:c>
      <x:c r="D513" t="str">
        <x:v>GV</x:v>
      </x:c>
      <x:c r="E513" t="str">
        <x:v>Ground Validation</x:v>
      </x:c>
      <x:c r="F513" t="str">
        <x:v>Seaviewer Drop Camera</x:v>
      </x:c>
      <x:c r="G513" t="str">
        <x:v>GV2011_117_1</x:v>
      </x:c>
      <x:c r="H513" s="28" t="n">
        <x:v>40634</x:v>
      </x:c>
      <x:c r="I513" t="str">
        <x:v>11:57:27</x:v>
      </x:c>
      <x:c r="J513" t="n">
        <x:v>2011</x:v>
      </x:c>
      <x:c r="K513" t="n">
        <x:v>18.20410536</x:v>
      </x:c>
      <x:c r="L513" t="n">
        <x:v>-64.98757104</x:v>
      </x:c>
      <x:c r="M513" t="n">
        <x:v>55.432</x:v>
      </x:c>
      <x:c r="N513" t="str">
        <x:v>https://nccospublicstor.blob.core.windows.net/biomapper/usviinsularshelf2017/videos/low/GV2011_117_1.mp4</x:v>
      </x:c>
      <x:c r="O513" t="n">
        <x:v>0</x:v>
      </x:c>
      <x:c r="P513" t="n">
        <x:v>0</x:v>
      </x:c>
      <x:c r="Q513" t="n">
        <x:v>0</x:v>
      </x:c>
      <x:c r="R513" t="n">
        <x:v>1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1</x:v>
      </x:c>
      <x:c r="AA513" t="n">
        <x:v>0</x:v>
      </x:c>
      <x:c r="AB513" t="str">
        <x:v>Pass</x:v>
      </x:c>
      <x:c r="AC513" t="str"/>
      <x:c r="AD513" t="str"/>
    </x:row>
    <x:row r="514">
      <x:c r="A514" t="str">
        <x:v>REC0513</x:v>
      </x:c>
      <x:c r="B514" t="n">
        <x:v>512</x:v>
      </x:c>
      <x:c r="C514" t="str">
        <x:v>St. Thomas, USVI</x:v>
      </x:c>
      <x:c r="D514" t="str">
        <x:v>GV</x:v>
      </x:c>
      <x:c r="E514" t="str">
        <x:v>Ground Validation</x:v>
      </x:c>
      <x:c r="F514" t="str">
        <x:v>Seaviewer Drop Camera</x:v>
      </x:c>
      <x:c r="G514" t="str">
        <x:v>GV2011_117_2</x:v>
      </x:c>
      <x:c r="H514" s="28" t="n">
        <x:v>40642</x:v>
      </x:c>
      <x:c r="I514" t="str">
        <x:v>12:22:28</x:v>
      </x:c>
      <x:c r="J514" t="n">
        <x:v>2011</x:v>
      </x:c>
      <x:c r="K514" t="n">
        <x:v>18.20344588</x:v>
      </x:c>
      <x:c r="L514" t="n">
        <x:v>-64.98710992</x:v>
      </x:c>
      <x:c r="M514" t="n">
        <x:v>55.281</x:v>
      </x:c>
      <x:c r="N514" t="str">
        <x:v>https://nccospublicstor.blob.core.windows.net/biomapper/usviinsularshelf2017/videos/low/GV2011_117_2.mp4</x:v>
      </x:c>
      <x:c r="O514" t="n">
        <x:v>0</x:v>
      </x:c>
      <x:c r="P514" t="n">
        <x:v>1</x:v>
      </x:c>
      <x:c r="Q514" t="n">
        <x:v>0</x:v>
      </x:c>
      <x:c r="R514" t="n">
        <x:v>1</x:v>
      </x:c>
      <x:c r="S514" t="n">
        <x:v>0</x:v>
      </x:c>
      <x:c r="T514" t="n">
        <x:v>1</x:v>
      </x:c>
      <x:c r="U514" t="n">
        <x:v>1</x:v>
      </x:c>
      <x:c r="V514" t="n">
        <x:v>1</x:v>
      </x:c>
      <x:c r="W514" t="n">
        <x:v>0</x:v>
      </x:c>
      <x:c r="X514" t="n">
        <x:v>0</x:v>
      </x:c>
      <x:c r="Y514" t="n">
        <x:v>0</x:v>
      </x:c>
      <x:c r="Z514" t="n">
        <x:v>2</x:v>
      </x:c>
      <x:c r="AA514" t="n">
        <x:v>3</x:v>
      </x:c>
      <x:c r="AB514" t="str">
        <x:v>Pass</x:v>
      </x:c>
      <x:c r="AC514" t="str"/>
      <x:c r="AD514" t="str"/>
    </x:row>
    <x:row r="515">
      <x:c r="A515" t="str">
        <x:v>REC0514</x:v>
      </x:c>
      <x:c r="B515" t="n">
        <x:v>513</x:v>
      </x:c>
      <x:c r="C515" t="str">
        <x:v>St. Thomas, USVI</x:v>
      </x:c>
      <x:c r="D515" t="str">
        <x:v>GV</x:v>
      </x:c>
      <x:c r="E515" t="str">
        <x:v>Ground Validation</x:v>
      </x:c>
      <x:c r="F515" t="str">
        <x:v>Seaviewer Drop Camera</x:v>
      </x:c>
      <x:c r="G515" t="str">
        <x:v>GV2011_118_1</x:v>
      </x:c>
      <x:c r="H515" s="28" t="n">
        <x:v>40634</x:v>
      </x:c>
      <x:c r="I515" t="str">
        <x:v>12:17:47</x:v>
      </x:c>
      <x:c r="J515" t="n">
        <x:v>2011</x:v>
      </x:c>
      <x:c r="K515" t="n">
        <x:v>18.20501693</x:v>
      </x:c>
      <x:c r="L515" t="n">
        <x:v>-64.99444313</x:v>
      </x:c>
      <x:c r="M515" t="n">
        <x:v>46.375</x:v>
      </x:c>
      <x:c r="N515" t="str">
        <x:v>https://nccospublicstor.blob.core.windows.net/biomapper/usviinsularshelf2017/videos/low/GV2011_118_1.mp4</x:v>
      </x:c>
      <x:c r="O515" t="n">
        <x:v>1</x:v>
      </x:c>
      <x:c r="P515" t="n">
        <x:v>0</x:v>
      </x:c>
      <x:c r="Q515" t="n">
        <x:v>0</x:v>
      </x:c>
      <x:c r="R515" t="n">
        <x:v>0</x:v>
      </x:c>
      <x:c r="S515" t="n">
        <x:v>1</x:v>
      </x:c>
      <x:c r="T515" t="n">
        <x:v>0</x:v>
      </x:c>
      <x:c r="U515" t="n">
        <x:v>1</x:v>
      </x:c>
      <x:c r="V515" t="n">
        <x:v>1</x:v>
      </x:c>
      <x:c r="W515" t="n">
        <x:v>0</x:v>
      </x:c>
      <x:c r="X515" t="n">
        <x:v>0</x:v>
      </x:c>
      <x:c r="Y515" t="n">
        <x:v>0</x:v>
      </x:c>
      <x:c r="Z515" t="n">
        <x:v>1</x:v>
      </x:c>
      <x:c r="AA515" t="n">
        <x:v>3</x:v>
      </x:c>
      <x:c r="AB515" t="str">
        <x:v>Pass</x:v>
      </x:c>
      <x:c r="AC515" t="str"/>
      <x:c r="AD515" t="str"/>
    </x:row>
    <x:row r="516">
      <x:c r="A516" t="str">
        <x:v>REC0515</x:v>
      </x:c>
      <x:c r="B516" t="n">
        <x:v>514</x:v>
      </x:c>
      <x:c r="C516" t="str">
        <x:v>St. Thomas, USVI</x:v>
      </x:c>
      <x:c r="D516" t="str">
        <x:v>GV</x:v>
      </x:c>
      <x:c r="E516" t="str">
        <x:v>Ground Validation</x:v>
      </x:c>
      <x:c r="F516" t="str">
        <x:v>Seaviewer Drop Camera</x:v>
      </x:c>
      <x:c r="G516" t="str">
        <x:v>GV2011_118_2</x:v>
      </x:c>
      <x:c r="H516" s="28" t="n">
        <x:v>40642</x:v>
      </x:c>
      <x:c r="I516" t="str">
        <x:v>12:38:53</x:v>
      </x:c>
      <x:c r="J516" t="n">
        <x:v>2011</x:v>
      </x:c>
      <x:c r="K516" t="n">
        <x:v>18.2045224</x:v>
      </x:c>
      <x:c r="L516" t="n">
        <x:v>-64.9943023</x:v>
      </x:c>
      <x:c r="M516" t="n">
        <x:v>45.658</x:v>
      </x:c>
      <x:c r="N516" t="str">
        <x:v>https://nccospublicstor.blob.core.windows.net/biomapper/usviinsularshelf2017/videos/low/GV2011_118_2.mp4</x:v>
      </x:c>
      <x:c r="O516" t="n">
        <x:v>1</x:v>
      </x:c>
      <x:c r="P516" t="n">
        <x:v>0</x:v>
      </x:c>
      <x:c r="Q516" t="n">
        <x:v>0</x:v>
      </x:c>
      <x:c r="R516" t="n">
        <x:v>1</x:v>
      </x:c>
      <x:c r="S516" t="n">
        <x:v>1</x:v>
      </x:c>
      <x:c r="T516" t="n">
        <x:v>1</x:v>
      </x:c>
      <x:c r="U516" t="n">
        <x:v>1</x:v>
      </x:c>
      <x:c r="V516" t="n">
        <x:v>1</x:v>
      </x:c>
      <x:c r="W516" t="n">
        <x:v>0</x:v>
      </x:c>
      <x:c r="X516" t="n">
        <x:v>0</x:v>
      </x:c>
      <x:c r="Y516" t="n">
        <x:v>0</x:v>
      </x:c>
      <x:c r="Z516" t="n">
        <x:v>2</x:v>
      </x:c>
      <x:c r="AA516" t="n">
        <x:v>4</x:v>
      </x:c>
      <x:c r="AB516" t="str">
        <x:v>Pass</x:v>
      </x:c>
      <x:c r="AC516" t="str"/>
      <x:c r="AD516" t="str"/>
    </x:row>
    <x:row r="517">
      <x:c r="A517" t="str">
        <x:v>REC0516</x:v>
      </x:c>
      <x:c r="B517" t="n">
        <x:v>515</x:v>
      </x:c>
      <x:c r="C517" t="str">
        <x:v>St. Thomas, USVI</x:v>
      </x:c>
      <x:c r="D517" t="str">
        <x:v>GV</x:v>
      </x:c>
      <x:c r="E517" t="str">
        <x:v>Ground Validation</x:v>
      </x:c>
      <x:c r="F517" t="str">
        <x:v>Seaviewer Drop Camera</x:v>
      </x:c>
      <x:c r="G517" t="str">
        <x:v>GV2011_119_1</x:v>
      </x:c>
      <x:c r="H517" s="28" t="n">
        <x:v>40634</x:v>
      </x:c>
      <x:c r="I517" t="str">
        <x:v>12:32:30</x:v>
      </x:c>
      <x:c r="J517" t="n">
        <x:v>2011</x:v>
      </x:c>
      <x:c r="K517" t="n">
        <x:v>18.20025778</x:v>
      </x:c>
      <x:c r="L517" t="n">
        <x:v>-64.99421841</x:v>
      </x:c>
      <x:c r="M517" t="n">
        <x:v>52.244</x:v>
      </x:c>
      <x:c r="N517" t="str">
        <x:v>https://nccospublicstor.blob.core.windows.net/biomapper/usviinsularshelf2017/videos/low/GV2011_119_1.mp4</x:v>
      </x:c>
      <x:c r="O517" t="n">
        <x:v>0</x:v>
      </x:c>
      <x:c r="P517" t="n">
        <x:v>0</x:v>
      </x:c>
      <x:c r="Q517" t="n">
        <x:v>1</x:v>
      </x:c>
      <x:c r="R517" t="n">
        <x:v>1</x:v>
      </x:c>
      <x:c r="S517" t="n">
        <x:v>0</x:v>
      </x:c>
      <x:c r="T517" t="n">
        <x:v>0</x:v>
      </x:c>
      <x:c r="U517" t="n">
        <x:v>1</x:v>
      </x:c>
      <x:c r="V517" t="n">
        <x:v>1</x:v>
      </x:c>
      <x:c r="W517" t="n">
        <x:v>0</x:v>
      </x:c>
      <x:c r="X517" t="n">
        <x:v>0</x:v>
      </x:c>
      <x:c r="Y517" t="n">
        <x:v>0</x:v>
      </x:c>
      <x:c r="Z517" t="n">
        <x:v>2</x:v>
      </x:c>
      <x:c r="AA517" t="n">
        <x:v>2</x:v>
      </x:c>
      <x:c r="AB517" t="str">
        <x:v>Pass</x:v>
      </x:c>
      <x:c r="AC517" t="str"/>
      <x:c r="AD517" t="str"/>
    </x:row>
    <x:row r="518">
      <x:c r="A518" t="str">
        <x:v>REC0517</x:v>
      </x:c>
      <x:c r="B518" t="n">
        <x:v>516</x:v>
      </x:c>
      <x:c r="C518" t="str">
        <x:v>St. Thomas, USVI</x:v>
      </x:c>
      <x:c r="D518" t="str">
        <x:v>GV</x:v>
      </x:c>
      <x:c r="E518" t="str">
        <x:v>Ground Validation</x:v>
      </x:c>
      <x:c r="F518" t="str">
        <x:v>Seaviewer Drop Camera</x:v>
      </x:c>
      <x:c r="G518" t="str">
        <x:v>GV2011_119_2</x:v>
      </x:c>
      <x:c r="H518" s="28" t="n">
        <x:v>40642</x:v>
      </x:c>
      <x:c r="I518" t="str">
        <x:v>12:28:05</x:v>
      </x:c>
      <x:c r="J518" t="n">
        <x:v>2011</x:v>
      </x:c>
      <x:c r="K518" t="n">
        <x:v>18.20118385</x:v>
      </x:c>
      <x:c r="L518" t="n">
        <x:v>-64.99369276</x:v>
      </x:c>
      <x:c r="M518" t="n">
        <x:v>47.336</x:v>
      </x:c>
      <x:c r="N518" t="str">
        <x:v>https://nccospublicstor.blob.core.windows.net/biomapper/usviinsularshelf2017/videos/low/GV2011_119_2.mp4</x:v>
      </x:c>
      <x:c r="O518" t="n">
        <x:v>0</x:v>
      </x:c>
      <x:c r="P518" t="n">
        <x:v>0</x:v>
      </x:c>
      <x:c r="Q518" t="n">
        <x:v>1</x:v>
      </x:c>
      <x:c r="R518" t="n">
        <x:v>1</x:v>
      </x:c>
      <x:c r="S518" t="n">
        <x:v>0</x:v>
      </x:c>
      <x:c r="T518" t="n">
        <x:v>0</x:v>
      </x:c>
      <x:c r="U518" t="n">
        <x:v>1</x:v>
      </x:c>
      <x:c r="V518" t="n">
        <x:v>1</x:v>
      </x:c>
      <x:c r="W518" t="n">
        <x:v>0</x:v>
      </x:c>
      <x:c r="X518" t="n">
        <x:v>0</x:v>
      </x:c>
      <x:c r="Y518" t="n">
        <x:v>0</x:v>
      </x:c>
      <x:c r="Z518" t="n">
        <x:v>2</x:v>
      </x:c>
      <x:c r="AA518" t="n">
        <x:v>2</x:v>
      </x:c>
      <x:c r="AB518" t="str">
        <x:v>Pass</x:v>
      </x:c>
      <x:c r="AC518" t="str"/>
      <x:c r="AD518" t="str"/>
    </x:row>
    <x:row r="519">
      <x:c r="A519" t="str">
        <x:v>REC0518</x:v>
      </x:c>
      <x:c r="B519" t="n">
        <x:v>517</x:v>
      </x:c>
      <x:c r="C519" t="str">
        <x:v>St. Thomas, USVI</x:v>
      </x:c>
      <x:c r="D519" t="str">
        <x:v>GV</x:v>
      </x:c>
      <x:c r="E519" t="str">
        <x:v>Ground Validation</x:v>
      </x:c>
      <x:c r="F519" t="str">
        <x:v>Seaviewer Drop Camera</x:v>
      </x:c>
      <x:c r="G519" t="str">
        <x:v>GV2011_122_1</x:v>
      </x:c>
      <x:c r="H519" s="28" t="n">
        <x:v>40634</x:v>
      </x:c>
      <x:c r="I519" t="str">
        <x:v>11:45:10</x:v>
      </x:c>
      <x:c r="J519" t="n">
        <x:v>2011</x:v>
      </x:c>
      <x:c r="K519" t="n">
        <x:v>18.20824686</x:v>
      </x:c>
      <x:c r="L519" t="n">
        <x:v>-64.98659652</x:v>
      </x:c>
      <x:c r="M519" t="n">
        <x:v>46.307</x:v>
      </x:c>
      <x:c r="N519" t="str">
        <x:v>https://nccospublicstor.blob.core.windows.net/biomapper/usviinsularshelf2017/videos/low/GV2011_122_1.mp4</x:v>
      </x:c>
      <x:c r="O519" t="n">
        <x:v>0</x:v>
      </x:c>
      <x:c r="P519" t="n">
        <x:v>0</x:v>
      </x:c>
      <x:c r="Q519" t="n">
        <x:v>1</x:v>
      </x:c>
      <x:c r="R519" t="n">
        <x:v>1</x:v>
      </x:c>
      <x:c r="S519" t="n">
        <x:v>0</x:v>
      </x:c>
      <x:c r="T519" t="n">
        <x:v>0</x:v>
      </x:c>
      <x:c r="U519" t="n">
        <x:v>1</x:v>
      </x:c>
      <x:c r="V519" t="n">
        <x:v>1</x:v>
      </x:c>
      <x:c r="W519" t="n">
        <x:v>0</x:v>
      </x:c>
      <x:c r="X519" t="n">
        <x:v>0</x:v>
      </x:c>
      <x:c r="Y519" t="n">
        <x:v>0</x:v>
      </x:c>
      <x:c r="Z519" t="n">
        <x:v>2</x:v>
      </x:c>
      <x:c r="AA519" t="n">
        <x:v>2</x:v>
      </x:c>
      <x:c r="AB519" t="str">
        <x:v>Pass</x:v>
      </x:c>
      <x:c r="AC519" t="str"/>
      <x:c r="AD519" t="str"/>
    </x:row>
    <x:row r="520">
      <x:c r="A520" t="str">
        <x:v>REC0519</x:v>
      </x:c>
      <x:c r="B520" t="n">
        <x:v>518</x:v>
      </x:c>
      <x:c r="C520" t="str">
        <x:v>St. Thomas, USVI</x:v>
      </x:c>
      <x:c r="D520" t="str">
        <x:v>GV</x:v>
      </x:c>
      <x:c r="E520" t="str">
        <x:v>Ground Validation</x:v>
      </x:c>
      <x:c r="F520" t="str">
        <x:v>Seaviewer Drop Camera</x:v>
      </x:c>
      <x:c r="G520" t="str">
        <x:v>GV2011_122_2</x:v>
      </x:c>
      <x:c r="H520" s="28" t="n">
        <x:v>40642</x:v>
      </x:c>
      <x:c r="I520" t="str">
        <x:v>12:13:57</x:v>
      </x:c>
      <x:c r="J520" t="n">
        <x:v>2011</x:v>
      </x:c>
      <x:c r="K520" t="n">
        <x:v>18.20787414</x:v>
      </x:c>
      <x:c r="L520" t="n">
        <x:v>-64.98644438</x:v>
      </x:c>
      <x:c r="M520" t="n">
        <x:v>46.478</x:v>
      </x:c>
      <x:c r="N520" t="str">
        <x:v>https://nccospublicstor.blob.core.windows.net/biomapper/usviinsularshelf2017/videos/low/GV2011_122_2.mp4</x:v>
      </x:c>
      <x:c r="O520" t="n">
        <x:v>0</x:v>
      </x:c>
      <x:c r="P520" t="n">
        <x:v>0</x:v>
      </x:c>
      <x:c r="Q520" t="n">
        <x:v>1</x:v>
      </x:c>
      <x:c r="R520" t="n">
        <x:v>1</x:v>
      </x:c>
      <x:c r="S520" t="n">
        <x:v>0</x:v>
      </x:c>
      <x:c r="T520" t="n">
        <x:v>0</x:v>
      </x:c>
      <x:c r="U520" t="n">
        <x:v>1</x:v>
      </x:c>
      <x:c r="V520" t="n">
        <x:v>1</x:v>
      </x:c>
      <x:c r="W520" t="n">
        <x:v>0</x:v>
      </x:c>
      <x:c r="X520" t="n">
        <x:v>0</x:v>
      </x:c>
      <x:c r="Y520" t="n">
        <x:v>0</x:v>
      </x:c>
      <x:c r="Z520" t="n">
        <x:v>2</x:v>
      </x:c>
      <x:c r="AA520" t="n">
        <x:v>2</x:v>
      </x:c>
      <x:c r="AB520" t="str">
        <x:v>Pass</x:v>
      </x:c>
      <x:c r="AC520" t="str"/>
      <x:c r="AD520" t="str"/>
    </x:row>
    <x:row r="521">
      <x:c r="A521" t="str">
        <x:v>REC0520</x:v>
      </x:c>
      <x:c r="B521" t="n">
        <x:v>519</x:v>
      </x:c>
      <x:c r="C521" t="str">
        <x:v>St. Thomas, USVI</x:v>
      </x:c>
      <x:c r="D521" t="str">
        <x:v>GV</x:v>
      </x:c>
      <x:c r="E521" t="str">
        <x:v>Ground Validation</x:v>
      </x:c>
      <x:c r="F521" t="str">
        <x:v>Seaviewer Drop Camera</x:v>
      </x:c>
      <x:c r="G521" t="str">
        <x:v>GV2011_123</x:v>
      </x:c>
      <x:c r="H521" s="28" t="n">
        <x:v>40634</x:v>
      </x:c>
      <x:c r="I521" t="str">
        <x:v>14:25:18</x:v>
      </x:c>
      <x:c r="J521" t="n">
        <x:v>2011</x:v>
      </x:c>
      <x:c r="K521" t="n">
        <x:v>18.25644418</x:v>
      </x:c>
      <x:c r="L521" t="n">
        <x:v>-65.04927327</x:v>
      </x:c>
      <x:c r="M521" t="n">
        <x:v>35.303</x:v>
      </x:c>
      <x:c r="N521" t="str">
        <x:v>https://nccospublicstor.blob.core.windows.net/biomapper/usviinsularshelf2017/videos/low/GV2011_123.mp4</x:v>
      </x:c>
      <x:c r="O521" t="n">
        <x:v>0</x:v>
      </x:c>
      <x:c r="P521" t="n">
        <x:v>0</x:v>
      </x:c>
      <x:c r="Q521" t="n">
        <x:v>1</x:v>
      </x:c>
      <x:c r="R521" t="n">
        <x:v>1</x:v>
      </x:c>
      <x:c r="S521" t="n">
        <x:v>0</x:v>
      </x:c>
      <x:c r="T521" t="n">
        <x:v>0</x:v>
      </x:c>
      <x:c r="U521" t="n">
        <x:v>1</x:v>
      </x:c>
      <x:c r="V521" t="n">
        <x:v>1</x:v>
      </x:c>
      <x:c r="W521" t="n">
        <x:v>0</x:v>
      </x:c>
      <x:c r="X521" t="n">
        <x:v>0</x:v>
      </x:c>
      <x:c r="Y521" t="n">
        <x:v>0</x:v>
      </x:c>
      <x:c r="Z521" t="n">
        <x:v>2</x:v>
      </x:c>
      <x:c r="AA521" t="n">
        <x:v>2</x:v>
      </x:c>
      <x:c r="AB521" t="str">
        <x:v>Pass</x:v>
      </x:c>
      <x:c r="AC521" t="str"/>
      <x:c r="AD521" t="str">
        <x:v>Lionfish</x:v>
      </x:c>
    </x:row>
    <x:row r="522">
      <x:c r="A522" t="str">
        <x:v>REC0521</x:v>
      </x:c>
      <x:c r="B522" t="n">
        <x:v>520</x:v>
      </x:c>
      <x:c r="C522" t="str">
        <x:v>St. Thomas, USVI</x:v>
      </x:c>
      <x:c r="D522" t="str">
        <x:v>GV</x:v>
      </x:c>
      <x:c r="E522" t="str">
        <x:v>Ground Validation</x:v>
      </x:c>
      <x:c r="F522" t="str">
        <x:v>Seaviewer Drop Camera</x:v>
      </x:c>
      <x:c r="G522" t="str">
        <x:v>GV2011_124</x:v>
      </x:c>
      <x:c r="H522" s="28" t="n">
        <x:v>40633</x:v>
      </x:c>
      <x:c r="I522" t="str">
        <x:v>12:37:18</x:v>
      </x:c>
      <x:c r="J522" t="n">
        <x:v>2011</x:v>
      </x:c>
      <x:c r="K522" t="n">
        <x:v>18.25871038</x:v>
      </x:c>
      <x:c r="L522" t="n">
        <x:v>-64.90811636</x:v>
      </x:c>
      <x:c r="M522" t="n">
        <x:v>37.227</x:v>
      </x:c>
      <x:c r="N522" t="str">
        <x:v>https://nccospublicstor.blob.core.windows.net/biomapper/usviinsularshelf2017/videos/low/GV2011_124.mp4</x:v>
      </x:c>
      <x:c r="O522" t="n">
        <x:v>0</x:v>
      </x:c>
      <x:c r="P522" t="n">
        <x:v>0</x:v>
      </x:c>
      <x:c r="Q522" t="n">
        <x:v>1</x:v>
      </x:c>
      <x:c r="R522" t="n">
        <x:v>1</x:v>
      </x:c>
      <x:c r="S522" t="n">
        <x:v>0</x:v>
      </x:c>
      <x:c r="T522" t="n">
        <x:v>0</x:v>
      </x:c>
      <x:c r="U522" t="n">
        <x:v>1</x:v>
      </x:c>
      <x:c r="V522" t="n">
        <x:v>1</x:v>
      </x:c>
      <x:c r="W522" t="n">
        <x:v>0</x:v>
      </x:c>
      <x:c r="X522" t="n">
        <x:v>0</x:v>
      </x:c>
      <x:c r="Y522" t="n">
        <x:v>0</x:v>
      </x:c>
      <x:c r="Z522" t="n">
        <x:v>2</x:v>
      </x:c>
      <x:c r="AA522" t="n">
        <x:v>2</x:v>
      </x:c>
      <x:c r="AB522" t="str">
        <x:v>Pass</x:v>
      </x:c>
      <x:c r="AC522" t="str"/>
      <x:c r="AD522" t="str"/>
    </x:row>
    <x:row r="523">
      <x:c r="A523" t="str">
        <x:v>REC0522</x:v>
      </x:c>
      <x:c r="B523" t="n">
        <x:v>521</x:v>
      </x:c>
      <x:c r="C523" t="str">
        <x:v>St. Thomas, USVI</x:v>
      </x:c>
      <x:c r="D523" t="str">
        <x:v>GV</x:v>
      </x:c>
      <x:c r="E523" t="str">
        <x:v>Ground Validation</x:v>
      </x:c>
      <x:c r="F523" t="str">
        <x:v>Seaviewer Drop Camera</x:v>
      </x:c>
      <x:c r="G523" t="str">
        <x:v>GV2011_125</x:v>
      </x:c>
      <x:c r="H523" s="28" t="n">
        <x:v>40633</x:v>
      </x:c>
      <x:c r="I523" t="str">
        <x:v>12:27:20</x:v>
      </x:c>
      <x:c r="J523" t="n">
        <x:v>2011</x:v>
      </x:c>
      <x:c r="K523" t="n">
        <x:v>18.25881683</x:v>
      </x:c>
      <x:c r="L523" t="n">
        <x:v>-64.89585877</x:v>
      </x:c>
      <x:c r="M523" t="n">
        <x:v>36.812</x:v>
      </x:c>
      <x:c r="N523" t="str">
        <x:v>https://nccospublicstor.blob.core.windows.net/biomapper/usviinsularshelf2017/videos/low/GV2011_125.mp4</x:v>
      </x:c>
      <x:c r="O523" t="n">
        <x:v>0</x:v>
      </x:c>
      <x:c r="P523" t="n">
        <x:v>0</x:v>
      </x:c>
      <x:c r="Q523" t="n">
        <x:v>1</x:v>
      </x:c>
      <x:c r="R523" t="n">
        <x:v>0</x:v>
      </x:c>
      <x:c r="S523" t="n">
        <x:v>0</x:v>
      </x:c>
      <x:c r="T523" t="n">
        <x:v>0</x:v>
      </x:c>
      <x:c r="U523" t="n">
        <x:v>1</x:v>
      </x:c>
      <x:c r="V523" t="n">
        <x:v>1</x:v>
      </x:c>
      <x:c r="W523" t="n">
        <x:v>0</x:v>
      </x:c>
      <x:c r="X523" t="n">
        <x:v>0</x:v>
      </x:c>
      <x:c r="Y523" t="n">
        <x:v>0</x:v>
      </x:c>
      <x:c r="Z523" t="n">
        <x:v>1</x:v>
      </x:c>
      <x:c r="AA523" t="n">
        <x:v>2</x:v>
      </x:c>
      <x:c r="AB523" t="str">
        <x:v>Pass</x:v>
      </x:c>
      <x:c r="AC523" t="str"/>
      <x:c r="AD523" t="str"/>
    </x:row>
    <x:row r="524">
      <x:c r="A524" t="str">
        <x:v>REC0523</x:v>
      </x:c>
      <x:c r="B524" t="n">
        <x:v>522</x:v>
      </x:c>
      <x:c r="C524" t="str">
        <x:v>St. Thomas, USVI</x:v>
      </x:c>
      <x:c r="D524" t="str">
        <x:v>GV</x:v>
      </x:c>
      <x:c r="E524" t="str">
        <x:v>Ground Validation</x:v>
      </x:c>
      <x:c r="F524" t="str">
        <x:v>Seaviewer Drop Camera</x:v>
      </x:c>
      <x:c r="G524" t="str">
        <x:v>GV2011_126</x:v>
      </x:c>
      <x:c r="H524" s="28" t="n">
        <x:v>40633</x:v>
      </x:c>
      <x:c r="I524" t="str">
        <x:v>12:15:07</x:v>
      </x:c>
      <x:c r="J524" t="n">
        <x:v>2011</x:v>
      </x:c>
      <x:c r="K524" t="n">
        <x:v>18.25906747</x:v>
      </x:c>
      <x:c r="L524" t="n">
        <x:v>-64.88354338</x:v>
      </x:c>
      <x:c r="M524" t="n">
        <x:v>37.936</x:v>
      </x:c>
      <x:c r="N524" t="str">
        <x:v>https://nccospublicstor.blob.core.windows.net/biomapper/usviinsularshelf2017/videos/low/GV2011_126.mp4</x:v>
      </x:c>
      <x:c r="O524" t="n">
        <x:v>0</x:v>
      </x:c>
      <x:c r="P524" t="n">
        <x:v>0</x:v>
      </x:c>
      <x:c r="Q524" t="n">
        <x:v>1</x:v>
      </x:c>
      <x:c r="R524" t="n">
        <x:v>1</x:v>
      </x:c>
      <x:c r="S524" t="n">
        <x:v>0</x:v>
      </x:c>
      <x:c r="T524" t="n">
        <x:v>0</x:v>
      </x:c>
      <x:c r="U524" t="n">
        <x:v>1</x:v>
      </x:c>
      <x:c r="V524" t="n">
        <x:v>1</x:v>
      </x:c>
      <x:c r="W524" t="n">
        <x:v>0</x:v>
      </x:c>
      <x:c r="X524" t="n">
        <x:v>0</x:v>
      </x:c>
      <x:c r="Y524" t="n">
        <x:v>0</x:v>
      </x:c>
      <x:c r="Z524" t="n">
        <x:v>2</x:v>
      </x:c>
      <x:c r="AA524" t="n">
        <x:v>2</x:v>
      </x:c>
      <x:c r="AB524" t="str">
        <x:v>Pass</x:v>
      </x:c>
      <x:c r="AC524" t="str"/>
      <x:c r="AD524" t="str"/>
    </x:row>
    <x:row r="525">
      <x:c r="A525" t="str">
        <x:v>REC0524</x:v>
      </x:c>
      <x:c r="B525" t="n">
        <x:v>523</x:v>
      </x:c>
      <x:c r="C525" t="str">
        <x:v>St. Thomas, USVI</x:v>
      </x:c>
      <x:c r="D525" t="str">
        <x:v>GV</x:v>
      </x:c>
      <x:c r="E525" t="str">
        <x:v>Ground Validation</x:v>
      </x:c>
      <x:c r="F525" t="str">
        <x:v>Seaviewer Drop Camera</x:v>
      </x:c>
      <x:c r="G525" t="str">
        <x:v>GV2011_127</x:v>
      </x:c>
      <x:c r="H525" s="28" t="n">
        <x:v>40633</x:v>
      </x:c>
      <x:c r="I525" t="str">
        <x:v>13:01:36</x:v>
      </x:c>
      <x:c r="J525" t="n">
        <x:v>2011</x:v>
      </x:c>
      <x:c r="K525" t="n">
        <x:v>18.26785338</x:v>
      </x:c>
      <x:c r="L525" t="n">
        <x:v>-64.89197947</x:v>
      </x:c>
      <x:c r="M525" t="n">
        <x:v>29.939</x:v>
      </x:c>
      <x:c r="N525" t="str">
        <x:v>https://nccospublicstor.blob.core.windows.net/biomapper/usviinsularshelf2017/videos/low/GV2011_127.mp4</x:v>
      </x:c>
      <x:c r="O525" t="n">
        <x:v>0</x:v>
      </x:c>
      <x:c r="P525" t="n">
        <x:v>0</x:v>
      </x:c>
      <x:c r="Q525" t="n">
        <x:v>1</x:v>
      </x:c>
      <x:c r="R525" t="n">
        <x:v>1</x:v>
      </x:c>
      <x:c r="S525" t="n">
        <x:v>0</x:v>
      </x:c>
      <x:c r="T525" t="n">
        <x:v>0</x:v>
      </x:c>
      <x:c r="U525" t="n">
        <x:v>1</x:v>
      </x:c>
      <x:c r="V525" t="n">
        <x:v>1</x:v>
      </x:c>
      <x:c r="W525" t="n">
        <x:v>0</x:v>
      </x:c>
      <x:c r="X525" t="n">
        <x:v>0</x:v>
      </x:c>
      <x:c r="Y525" t="n">
        <x:v>0</x:v>
      </x:c>
      <x:c r="Z525" t="n">
        <x:v>2</x:v>
      </x:c>
      <x:c r="AA525" t="n">
        <x:v>2</x:v>
      </x:c>
      <x:c r="AB525" t="str">
        <x:v>Pass</x:v>
      </x:c>
      <x:c r="AC525" t="str"/>
      <x:c r="AD525" t="str"/>
    </x:row>
    <x:row r="526">
      <x:c r="A526" t="str">
        <x:v>REC0525</x:v>
      </x:c>
      <x:c r="B526" t="n">
        <x:v>524</x:v>
      </x:c>
      <x:c r="C526" t="str">
        <x:v>St. Thomas, USVI</x:v>
      </x:c>
      <x:c r="D526" t="str">
        <x:v>GV</x:v>
      </x:c>
      <x:c r="E526" t="str">
        <x:v>Ground Validation</x:v>
      </x:c>
      <x:c r="F526" t="str">
        <x:v>Seaviewer Drop Camera</x:v>
      </x:c>
      <x:c r="G526" t="str">
        <x:v>GV2011_128</x:v>
      </x:c>
      <x:c r="H526" s="28" t="n">
        <x:v>40633</x:v>
      </x:c>
      <x:c r="I526" t="str">
        <x:v>12:45:52</x:v>
      </x:c>
      <x:c r="J526" t="n">
        <x:v>2011</x:v>
      </x:c>
      <x:c r="K526" t="n">
        <x:v>18.26659461</x:v>
      </x:c>
      <x:c r="L526" t="n">
        <x:v>-64.90726478</x:v>
      </x:c>
      <x:c r="M526" t="n">
        <x:v>29.744</x:v>
      </x:c>
      <x:c r="N526" t="str">
        <x:v>https://nccospublicstor.blob.core.windows.net/biomapper/usviinsularshelf2017/videos/low/GV2011_128.mp4</x:v>
      </x:c>
      <x:c r="O526" t="n">
        <x:v>0</x:v>
      </x:c>
      <x:c r="P526" t="n">
        <x:v>0</x:v>
      </x:c>
      <x:c r="Q526" t="n">
        <x:v>0</x:v>
      </x:c>
      <x:c r="R526" t="n">
        <x:v>1</x:v>
      </x:c>
      <x:c r="S526" t="n">
        <x:v>0</x:v>
      </x:c>
      <x:c r="T526" t="n">
        <x:v>0</x:v>
      </x:c>
      <x:c r="U526" t="n">
        <x:v>1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1</x:v>
      </x:c>
      <x:c r="AA526" t="n">
        <x:v>1</x:v>
      </x:c>
      <x:c r="AB526" t="str">
        <x:v>Pass</x:v>
      </x:c>
      <x:c r="AC526" t="str"/>
      <x:c r="AD526" t="str"/>
    </x:row>
    <x:row r="527">
      <x:c r="A527" t="str">
        <x:v>REC0526</x:v>
      </x:c>
      <x:c r="B527" t="n">
        <x:v>525</x:v>
      </x:c>
      <x:c r="C527" t="str">
        <x:v>St. Thomas, USVI</x:v>
      </x:c>
      <x:c r="D527" t="str">
        <x:v>GV</x:v>
      </x:c>
      <x:c r="E527" t="str">
        <x:v>Ground Validation</x:v>
      </x:c>
      <x:c r="F527" t="str">
        <x:v>Seaviewer Drop Camera</x:v>
      </x:c>
      <x:c r="G527" t="str">
        <x:v>GV2011_130_1</x:v>
      </x:c>
      <x:c r="H527" s="28" t="n">
        <x:v>40634</x:v>
      </x:c>
      <x:c r="I527" t="str">
        <x:v>12:51:42</x:v>
      </x:c>
      <x:c r="J527" t="n">
        <x:v>2011</x:v>
      </x:c>
      <x:c r="K527" t="n">
        <x:v>18.20857837</x:v>
      </x:c>
      <x:c r="L527" t="n">
        <x:v>-65.00456874</x:v>
      </x:c>
      <x:c r="M527" t="n">
        <x:v>46.499</x:v>
      </x:c>
      <x:c r="N527" t="str">
        <x:v>https://nccospublicstor.blob.core.windows.net/biomapper/usviinsularshelf2017/videos/low/GV2011_130_1.mp4</x:v>
      </x:c>
      <x:c r="O527" t="n">
        <x:v>1</x:v>
      </x:c>
      <x:c r="P527" t="n">
        <x:v>0</x:v>
      </x:c>
      <x:c r="Q527" t="n">
        <x:v>0</x:v>
      </x:c>
      <x:c r="R527" t="n">
        <x:v>1</x:v>
      </x:c>
      <x:c r="S527" t="n">
        <x:v>1</x:v>
      </x:c>
      <x:c r="T527" t="n">
        <x:v>0</x:v>
      </x:c>
      <x:c r="U527" t="n">
        <x:v>1</x:v>
      </x:c>
      <x:c r="V527" t="n">
        <x:v>1</x:v>
      </x:c>
      <x:c r="W527" t="n">
        <x:v>0</x:v>
      </x:c>
      <x:c r="X527" t="n">
        <x:v>0</x:v>
      </x:c>
      <x:c r="Y527" t="n">
        <x:v>0</x:v>
      </x:c>
      <x:c r="Z527" t="n">
        <x:v>2</x:v>
      </x:c>
      <x:c r="AA527" t="n">
        <x:v>3</x:v>
      </x:c>
      <x:c r="AB527" t="str">
        <x:v>Pass</x:v>
      </x:c>
      <x:c r="AC527" t="str"/>
      <x:c r="AD527" t="str"/>
    </x:row>
    <x:row r="528">
      <x:c r="A528" t="str">
        <x:v>REC0527</x:v>
      </x:c>
      <x:c r="B528" t="n">
        <x:v>526</x:v>
      </x:c>
      <x:c r="C528" t="str">
        <x:v>St. Thomas, USVI</x:v>
      </x:c>
      <x:c r="D528" t="str">
        <x:v>GV</x:v>
      </x:c>
      <x:c r="E528" t="str">
        <x:v>Ground Validation</x:v>
      </x:c>
      <x:c r="F528" t="str">
        <x:v>Seaviewer Drop Camera</x:v>
      </x:c>
      <x:c r="G528" t="str">
        <x:v>GV2011_130_2</x:v>
      </x:c>
      <x:c r="H528" s="28" t="n">
        <x:v>40642</x:v>
      </x:c>
      <x:c r="I528" t="str">
        <x:v>13:07:10</x:v>
      </x:c>
      <x:c r="J528" t="n">
        <x:v>2011</x:v>
      </x:c>
      <x:c r="K528" t="n">
        <x:v>18.20818603</x:v>
      </x:c>
      <x:c r="L528" t="n">
        <x:v>-65.00442631</x:v>
      </x:c>
      <x:c r="M528" t="n">
        <x:v>45.041</x:v>
      </x:c>
      <x:c r="N528" t="str">
        <x:v>https://nccospublicstor.blob.core.windows.net/biomapper/usviinsularshelf2017/videos/low/GV2011_130_2.mp4</x:v>
      </x:c>
      <x:c r="O528" t="n">
        <x:v>1</x:v>
      </x:c>
      <x:c r="P528" t="n">
        <x:v>0</x:v>
      </x:c>
      <x:c r="Q528" t="n">
        <x:v>0</x:v>
      </x:c>
      <x:c r="R528" t="n">
        <x:v>0</x:v>
      </x:c>
      <x:c r="S528" t="n">
        <x:v>1</x:v>
      </x:c>
      <x:c r="T528" t="n">
        <x:v>0</x:v>
      </x:c>
      <x:c r="U528" t="n">
        <x:v>1</x:v>
      </x:c>
      <x:c r="V528" t="n">
        <x:v>1</x:v>
      </x:c>
      <x:c r="W528" t="n">
        <x:v>0</x:v>
      </x:c>
      <x:c r="X528" t="n">
        <x:v>0</x:v>
      </x:c>
      <x:c r="Y528" t="n">
        <x:v>0</x:v>
      </x:c>
      <x:c r="Z528" t="n">
        <x:v>1</x:v>
      </x:c>
      <x:c r="AA528" t="n">
        <x:v>3</x:v>
      </x:c>
      <x:c r="AB528" t="str">
        <x:v>Pass</x:v>
      </x:c>
      <x:c r="AC528" t="str"/>
      <x:c r="AD528" t="str"/>
    </x:row>
    <x:row r="529">
      <x:c r="A529" t="str">
        <x:v>REC0528</x:v>
      </x:c>
      <x:c r="B529" t="n">
        <x:v>527</x:v>
      </x:c>
      <x:c r="C529" t="str">
        <x:v>St. Thomas, USVI</x:v>
      </x:c>
      <x:c r="D529" t="str">
        <x:v>GV</x:v>
      </x:c>
      <x:c r="E529" t="str">
        <x:v>Ground Validation</x:v>
      </x:c>
      <x:c r="F529" t="str">
        <x:v>Seaviewer Drop Camera</x:v>
      </x:c>
      <x:c r="G529" t="str">
        <x:v>GV2011_131_1</x:v>
      </x:c>
      <x:c r="H529" s="28" t="n">
        <x:v>40634</x:v>
      </x:c>
      <x:c r="I529" t="str">
        <x:v>13:31:14</x:v>
      </x:c>
      <x:c r="J529" t="n">
        <x:v>2011</x:v>
      </x:c>
      <x:c r="K529" t="n">
        <x:v>18.21655084</x:v>
      </x:c>
      <x:c r="L529" t="n">
        <x:v>-65.01951093</x:v>
      </x:c>
      <x:c r="M529" t="n">
        <x:v>40.39</x:v>
      </x:c>
      <x:c r="N529" t="str">
        <x:v>https://nccospublicstor.blob.core.windows.net/biomapper/usviinsularshelf2017/videos/low/GV2011_131_1.mp4</x:v>
      </x:c>
      <x:c r="O529" t="n">
        <x:v>1</x:v>
      </x:c>
      <x:c r="P529" t="n">
        <x:v>0</x:v>
      </x:c>
      <x:c r="Q529" t="n">
        <x:v>0</x:v>
      </x:c>
      <x:c r="R529" t="n">
        <x:v>1</x:v>
      </x:c>
      <x:c r="S529" t="n">
        <x:v>1</x:v>
      </x:c>
      <x:c r="T529" t="n">
        <x:v>1</x:v>
      </x:c>
      <x:c r="U529" t="n">
        <x:v>1</x:v>
      </x:c>
      <x:c r="V529" t="n">
        <x:v>1</x:v>
      </x:c>
      <x:c r="W529" t="n">
        <x:v>0</x:v>
      </x:c>
      <x:c r="X529" t="n">
        <x:v>0</x:v>
      </x:c>
      <x:c r="Y529" t="n">
        <x:v>0</x:v>
      </x:c>
      <x:c r="Z529" t="n">
        <x:v>2</x:v>
      </x:c>
      <x:c r="AA529" t="n">
        <x:v>4</x:v>
      </x:c>
      <x:c r="AB529" t="str">
        <x:v>Pass</x:v>
      </x:c>
      <x:c r="AC529" t="str"/>
      <x:c r="AD529" t="str"/>
    </x:row>
    <x:row r="530">
      <x:c r="A530" t="str">
        <x:v>REC0529</x:v>
      </x:c>
      <x:c r="B530" t="n">
        <x:v>528</x:v>
      </x:c>
      <x:c r="C530" t="str">
        <x:v>St. Thomas, USVI</x:v>
      </x:c>
      <x:c r="D530" t="str">
        <x:v>GV</x:v>
      </x:c>
      <x:c r="E530" t="str">
        <x:v>Ground Validation</x:v>
      </x:c>
      <x:c r="F530" t="str">
        <x:v>Seaviewer Drop Camera</x:v>
      </x:c>
      <x:c r="G530" t="str">
        <x:v>GV2011_131_2</x:v>
      </x:c>
      <x:c r="H530" s="28" t="n">
        <x:v>40642</x:v>
      </x:c>
      <x:c r="I530" t="str">
        <x:v>13:38:03</x:v>
      </x:c>
      <x:c r="J530" t="n">
        <x:v>2011</x:v>
      </x:c>
      <x:c r="K530" t="n">
        <x:v>18.21617292</x:v>
      </x:c>
      <x:c r="L530" t="n">
        <x:v>-65.0192627</x:v>
      </x:c>
      <x:c r="M530" t="n">
        <x:v>41.736</x:v>
      </x:c>
      <x:c r="N530" t="str">
        <x:v>https://nccospublicstor.blob.core.windows.net/biomapper/usviinsularshelf2017/videos/low/GV2011_131_2.mp4</x:v>
      </x:c>
      <x:c r="O530" t="n">
        <x:v>1</x:v>
      </x:c>
      <x:c r="P530" t="n">
        <x:v>0</x:v>
      </x:c>
      <x:c r="Q530" t="n">
        <x:v>0</x:v>
      </x:c>
      <x:c r="R530" t="n">
        <x:v>1</x:v>
      </x:c>
      <x:c r="S530" t="n">
        <x:v>1</x:v>
      </x:c>
      <x:c r="T530" t="n">
        <x:v>0</x:v>
      </x:c>
      <x:c r="U530" t="n">
        <x:v>1</x:v>
      </x:c>
      <x:c r="V530" t="n">
        <x:v>1</x:v>
      </x:c>
      <x:c r="W530" t="n">
        <x:v>0</x:v>
      </x:c>
      <x:c r="X530" t="n">
        <x:v>0</x:v>
      </x:c>
      <x:c r="Y530" t="n">
        <x:v>0</x:v>
      </x:c>
      <x:c r="Z530" t="n">
        <x:v>2</x:v>
      </x:c>
      <x:c r="AA530" t="n">
        <x:v>3</x:v>
      </x:c>
      <x:c r="AB530" t="str">
        <x:v>Pass</x:v>
      </x:c>
      <x:c r="AC530" t="str"/>
      <x:c r="AD530" t="str"/>
    </x:row>
    <x:row r="531">
      <x:c r="A531" t="str">
        <x:v>REC0530</x:v>
      </x:c>
      <x:c r="B531" t="n">
        <x:v>529</x:v>
      </x:c>
      <x:c r="C531" t="str">
        <x:v>St. Thomas, USVI</x:v>
      </x:c>
      <x:c r="D531" t="str">
        <x:v>GV</x:v>
      </x:c>
      <x:c r="E531" t="str">
        <x:v>Ground Validation</x:v>
      </x:c>
      <x:c r="F531" t="str">
        <x:v>Seaviewer Drop Camera</x:v>
      </x:c>
      <x:c r="G531" t="str">
        <x:v>GV2011_137</x:v>
      </x:c>
      <x:c r="H531" s="28" t="n">
        <x:v>40633</x:v>
      </x:c>
      <x:c r="I531" t="str">
        <x:v>14:15:56</x:v>
      </x:c>
      <x:c r="J531" t="n">
        <x:v>2011</x:v>
      </x:c>
      <x:c r="K531" t="n">
        <x:v>18.20441928</x:v>
      </x:c>
      <x:c r="L531" t="n">
        <x:v>-64.87082997</x:v>
      </x:c>
      <x:c r="M531" t="n">
        <x:v>50.957</x:v>
      </x:c>
      <x:c r="N531" t="str">
        <x:v>https://nccospublicstor.blob.core.windows.net/biomapper/usviinsularshelf2017/videos/low/GV2011_137.mp4</x:v>
      </x:c>
      <x:c r="O531" t="n">
        <x:v>0</x:v>
      </x:c>
      <x:c r="P531" t="n">
        <x:v>0</x:v>
      </x:c>
      <x:c r="Q531" t="n">
        <x:v>1</x:v>
      </x:c>
      <x:c r="R531" t="n">
        <x:v>0</x:v>
      </x:c>
      <x:c r="S531" t="n">
        <x:v>1</x:v>
      </x:c>
      <x:c r="T531" t="n">
        <x:v>0</x:v>
      </x:c>
      <x:c r="U531" t="n">
        <x:v>1</x:v>
      </x:c>
      <x:c r="V531" t="n">
        <x:v>1</x:v>
      </x:c>
      <x:c r="W531" t="n">
        <x:v>0</x:v>
      </x:c>
      <x:c r="X531" t="n">
        <x:v>0</x:v>
      </x:c>
      <x:c r="Y531" t="n">
        <x:v>0</x:v>
      </x:c>
      <x:c r="Z531" t="n">
        <x:v>1</x:v>
      </x:c>
      <x:c r="AA531" t="n">
        <x:v>3</x:v>
      </x:c>
      <x:c r="AB531" t="str">
        <x:v>Pass</x:v>
      </x:c>
      <x:c r="AC531" t="str"/>
      <x:c r="AD531" t="str"/>
    </x:row>
    <x:row r="532">
      <x:c r="A532" t="str">
        <x:v>REC0531</x:v>
      </x:c>
      <x:c r="B532" t="n">
        <x:v>530</x:v>
      </x:c>
      <x:c r="C532" t="str">
        <x:v>St. Thomas, USVI</x:v>
      </x:c>
      <x:c r="D532" t="str">
        <x:v>GV</x:v>
      </x:c>
      <x:c r="E532" t="str">
        <x:v>Ground Validation</x:v>
      </x:c>
      <x:c r="F532" t="str">
        <x:v>Seaviewer Drop Camera</x:v>
      </x:c>
      <x:c r="G532" t="str">
        <x:v>GV2011_138</x:v>
      </x:c>
      <x:c r="H532" s="28" t="n">
        <x:v>40633</x:v>
      </x:c>
      <x:c r="I532" t="str">
        <x:v>14:41:31</x:v>
      </x:c>
      <x:c r="J532" t="n">
        <x:v>2011</x:v>
      </x:c>
      <x:c r="K532" t="n">
        <x:v>18.21944398</x:v>
      </x:c>
      <x:c r="L532" t="n">
        <x:v>-64.862998</x:v>
      </x:c>
      <x:c r="M532" t="n">
        <x:v>46.524</x:v>
      </x:c>
      <x:c r="N532" t="str">
        <x:v>https://nccospublicstor.blob.core.windows.net/biomapper/usviinsularshelf2017/videos/low/GV2011_138.mp4</x:v>
      </x:c>
      <x:c r="O532" t="n">
        <x:v>0</x:v>
      </x:c>
      <x:c r="P532" t="n">
        <x:v>1</x:v>
      </x:c>
      <x:c r="Q532" t="n">
        <x:v>1</x:v>
      </x:c>
      <x:c r="R532" t="n">
        <x:v>0</x:v>
      </x:c>
      <x:c r="S532" t="n">
        <x:v>0</x:v>
      </x:c>
      <x:c r="T532" t="n">
        <x:v>0</x:v>
      </x:c>
      <x:c r="U532" t="n">
        <x:v>1</x:v>
      </x:c>
      <x:c r="V532" t="n">
        <x:v>1</x:v>
      </x:c>
      <x:c r="W532" t="n">
        <x:v>0</x:v>
      </x:c>
      <x:c r="X532" t="n">
        <x:v>0</x:v>
      </x:c>
      <x:c r="Y532" t="n">
        <x:v>0</x:v>
      </x:c>
      <x:c r="Z532" t="n">
        <x:v>2</x:v>
      </x:c>
      <x:c r="AA532" t="n">
        <x:v>2</x:v>
      </x:c>
      <x:c r="AB532" t="str">
        <x:v>Pass</x:v>
      </x:c>
      <x:c r="AC532" t="str"/>
      <x:c r="AD532" t="str"/>
    </x:row>
    <x:row r="533">
      <x:c r="A533" t="str">
        <x:v>REC0532</x:v>
      </x:c>
      <x:c r="B533" t="n">
        <x:v>531</x:v>
      </x:c>
      <x:c r="C533" t="str">
        <x:v>St. Thomas, USVI</x:v>
      </x:c>
      <x:c r="D533" t="str">
        <x:v>GV</x:v>
      </x:c>
      <x:c r="E533" t="str">
        <x:v>Ground Validation</x:v>
      </x:c>
      <x:c r="F533" t="str">
        <x:v>Seaviewer Drop Camera</x:v>
      </x:c>
      <x:c r="G533" t="str">
        <x:v>GV2011_163</x:v>
      </x:c>
      <x:c r="H533" s="28" t="n">
        <x:v>40633</x:v>
      </x:c>
      <x:c r="I533" t="str">
        <x:v>09:26:22</x:v>
      </x:c>
      <x:c r="J533" t="n">
        <x:v>2011</x:v>
      </x:c>
      <x:c r="K533" t="n">
        <x:v>18.27391281</x:v>
      </x:c>
      <x:c r="L533" t="n">
        <x:v>-64.85052899</x:v>
      </x:c>
      <x:c r="M533" t="n">
        <x:v>23.458</x:v>
      </x:c>
      <x:c r="N533" t="str">
        <x:v>https://nccospublicstor.blob.core.windows.net/biomapper/usviinsularshelf2017/videos/low/GV2011_163.mp4</x:v>
      </x:c>
      <x:c r="O533" t="n">
        <x:v>1</x:v>
      </x:c>
      <x:c r="P533" t="n">
        <x:v>0</x:v>
      </x:c>
      <x:c r="Q533" t="n">
        <x:v>0</x:v>
      </x:c>
      <x:c r="R533" t="n">
        <x:v>1</x:v>
      </x:c>
      <x:c r="S533" t="n">
        <x:v>1</x:v>
      </x:c>
      <x:c r="T533" t="n">
        <x:v>1</x:v>
      </x:c>
      <x:c r="U533" t="n">
        <x:v>1</x:v>
      </x:c>
      <x:c r="V533" t="n">
        <x:v>1</x:v>
      </x:c>
      <x:c r="W533" t="n">
        <x:v>0</x:v>
      </x:c>
      <x:c r="X533" t="n">
        <x:v>0</x:v>
      </x:c>
      <x:c r="Y533" t="n">
        <x:v>0</x:v>
      </x:c>
      <x:c r="Z533" t="n">
        <x:v>2</x:v>
      </x:c>
      <x:c r="AA533" t="n">
        <x:v>4</x:v>
      </x:c>
      <x:c r="AB533" t="str">
        <x:v>Pass</x:v>
      </x:c>
      <x:c r="AC533" t="str"/>
      <x:c r="AD533" t="str"/>
    </x:row>
    <x:row r="534">
      <x:c r="A534" t="str">
        <x:v>REC0533</x:v>
      </x:c>
      <x:c r="B534" t="n">
        <x:v>532</x:v>
      </x:c>
      <x:c r="C534" t="str">
        <x:v>St. John, USVI</x:v>
      </x:c>
      <x:c r="D534" t="str">
        <x:v>GV</x:v>
      </x:c>
      <x:c r="E534" t="str">
        <x:v>Ground Validation</x:v>
      </x:c>
      <x:c r="F534" t="str">
        <x:v>Seaviewer Drop Camera</x:v>
      </x:c>
      <x:c r="G534" t="str">
        <x:v>GV2011_168</x:v>
      </x:c>
      <x:c r="H534" s="28" t="n">
        <x:v>40635</x:v>
      </x:c>
      <x:c r="I534" t="str">
        <x:v>12:11:52</x:v>
      </x:c>
      <x:c r="J534" t="n">
        <x:v>2011</x:v>
      </x:c>
      <x:c r="K534" t="n">
        <x:v>18.22360829</x:v>
      </x:c>
      <x:c r="L534" t="n">
        <x:v>-64.6897875</x:v>
      </x:c>
      <x:c r="M534" t="n">
        <x:v>32.195</x:v>
      </x:c>
      <x:c r="N534" t="str">
        <x:v>https://nccospublicstor.blob.core.windows.net/biomapper/usviinsularshelf2017/videos/low/GV2011_168.mp4</x:v>
      </x:c>
      <x:c r="O534" t="n">
        <x:v>0</x:v>
      </x:c>
      <x:c r="P534" t="n">
        <x:v>1</x:v>
      </x:c>
      <x:c r="Q534" t="n">
        <x:v>0</x:v>
      </x:c>
      <x:c r="R534" t="n">
        <x:v>0</x:v>
      </x:c>
      <x:c r="S534" t="n">
        <x:v>1</x:v>
      </x:c>
      <x:c r="T534" t="n">
        <x:v>1</x:v>
      </x:c>
      <x:c r="U534" t="n">
        <x:v>1</x:v>
      </x:c>
      <x:c r="V534" t="n">
        <x:v>1</x:v>
      </x:c>
      <x:c r="W534" t="n">
        <x:v>0</x:v>
      </x:c>
      <x:c r="X534" t="n">
        <x:v>0</x:v>
      </x:c>
      <x:c r="Y534" t="n">
        <x:v>0</x:v>
      </x:c>
      <x:c r="Z534" t="n">
        <x:v>1</x:v>
      </x:c>
      <x:c r="AA534" t="n">
        <x:v>4</x:v>
      </x:c>
      <x:c r="AB534" t="str">
        <x:v>Pass</x:v>
      </x:c>
      <x:c r="AC534" t="str"/>
      <x:c r="AD534" t="str">
        <x:v>Turtle</x:v>
      </x:c>
    </x:row>
    <x:row r="535">
      <x:c r="A535" t="str">
        <x:v>REC0534</x:v>
      </x:c>
      <x:c r="B535" t="n">
        <x:v>533</x:v>
      </x:c>
      <x:c r="C535" t="str">
        <x:v>St. John, USVI</x:v>
      </x:c>
      <x:c r="D535" t="str">
        <x:v>GV</x:v>
      </x:c>
      <x:c r="E535" t="str">
        <x:v>Ground Validation</x:v>
      </x:c>
      <x:c r="F535" t="str">
        <x:v>Seaviewer Drop Camera</x:v>
      </x:c>
      <x:c r="G535" t="str">
        <x:v>GV2011_169</x:v>
      </x:c>
      <x:c r="H535" s="28" t="n">
        <x:v>40635</x:v>
      </x:c>
      <x:c r="I535" t="str">
        <x:v>12:19:35</x:v>
      </x:c>
      <x:c r="J535" t="n">
        <x:v>2011</x:v>
      </x:c>
      <x:c r="K535" t="n">
        <x:v>18.22152526</x:v>
      </x:c>
      <x:c r="L535" t="n">
        <x:v>-64.69267331</x:v>
      </x:c>
      <x:c r="M535" t="n">
        <x:v>50.199</x:v>
      </x:c>
      <x:c r="N535" t="str">
        <x:v>https://nccospublicstor.blob.core.windows.net/biomapper/usviinsularshelf2017/videos/low/GV2011_169.mp4</x:v>
      </x:c>
      <x:c r="O535" t="n">
        <x:v>0</x:v>
      </x:c>
      <x:c r="P535" t="n">
        <x:v>0</x:v>
      </x:c>
      <x:c r="Q535" t="n">
        <x:v>1</x:v>
      </x:c>
      <x:c r="R535" t="n">
        <x:v>1</x:v>
      </x:c>
      <x:c r="S535" t="n">
        <x:v>0</x:v>
      </x:c>
      <x:c r="T535" t="n">
        <x:v>0</x:v>
      </x:c>
      <x:c r="U535" t="n">
        <x:v>1</x:v>
      </x:c>
      <x:c r="V535" t="n">
        <x:v>1</x:v>
      </x:c>
      <x:c r="W535" t="n">
        <x:v>0</x:v>
      </x:c>
      <x:c r="X535" t="n">
        <x:v>0</x:v>
      </x:c>
      <x:c r="Y535" t="n">
        <x:v>0</x:v>
      </x:c>
      <x:c r="Z535" t="n">
        <x:v>2</x:v>
      </x:c>
      <x:c r="AA535" t="n">
        <x:v>2</x:v>
      </x:c>
      <x:c r="AB535" t="str">
        <x:v>Pass</x:v>
      </x:c>
      <x:c r="AC535" t="str"/>
      <x:c r="AD535" t="str"/>
    </x:row>
    <x:row r="536">
      <x:c r="A536" t="str">
        <x:v>REC0535</x:v>
      </x:c>
      <x:c r="B536" t="n">
        <x:v>534</x:v>
      </x:c>
      <x:c r="C536" t="str">
        <x:v>St. John, USVI</x:v>
      </x:c>
      <x:c r="D536" t="str">
        <x:v>GV</x:v>
      </x:c>
      <x:c r="E536" t="str">
        <x:v>Ground Validation</x:v>
      </x:c>
      <x:c r="F536" t="str">
        <x:v>Seaviewer Drop Camera</x:v>
      </x:c>
      <x:c r="G536" t="str">
        <x:v>GV2011_170</x:v>
      </x:c>
      <x:c r="H536" s="28" t="n">
        <x:v>40635</x:v>
      </x:c>
      <x:c r="I536" t="str">
        <x:v>12:03:56</x:v>
      </x:c>
      <x:c r="J536" t="n">
        <x:v>2011</x:v>
      </x:c>
      <x:c r="K536" t="n">
        <x:v>18.22035419</x:v>
      </x:c>
      <x:c r="L536" t="n">
        <x:v>-64.68722137</x:v>
      </x:c>
      <x:c r="M536" t="n">
        <x:v>55.277</x:v>
      </x:c>
      <x:c r="N536" t="str">
        <x:v>https://nccospublicstor.blob.core.windows.net/biomapper/usviinsularshelf2017/videos/low/GV2011_170.mp4</x:v>
      </x:c>
      <x:c r="O536" t="n">
        <x:v>0</x:v>
      </x:c>
      <x:c r="P536" t="n">
        <x:v>1</x:v>
      </x:c>
      <x:c r="Q536" t="n">
        <x:v>1</x:v>
      </x:c>
      <x:c r="R536" t="n">
        <x:v>0</x:v>
      </x:c>
      <x:c r="S536" t="n">
        <x:v>0</x:v>
      </x:c>
      <x:c r="T536" t="n">
        <x:v>0</x:v>
      </x:c>
      <x:c r="U536" t="n">
        <x:v>1</x:v>
      </x:c>
      <x:c r="V536" t="n">
        <x:v>1</x:v>
      </x:c>
      <x:c r="W536" t="n">
        <x:v>0</x:v>
      </x:c>
      <x:c r="X536" t="n">
        <x:v>0</x:v>
      </x:c>
      <x:c r="Y536" t="n">
        <x:v>0</x:v>
      </x:c>
      <x:c r="Z536" t="n">
        <x:v>2</x:v>
      </x:c>
      <x:c r="AA536" t="n">
        <x:v>2</x:v>
      </x:c>
      <x:c r="AB536" t="str">
        <x:v>Pass</x:v>
      </x:c>
      <x:c r="AC536" t="str"/>
      <x:c r="AD536" t="str"/>
    </x:row>
    <x:row r="537">
      <x:c r="A537" t="str">
        <x:v>REC0536</x:v>
      </x:c>
      <x:c r="B537" t="n">
        <x:v>535</x:v>
      </x:c>
      <x:c r="C537" t="str">
        <x:v>St. John, USVI</x:v>
      </x:c>
      <x:c r="D537" t="str">
        <x:v>GV</x:v>
      </x:c>
      <x:c r="E537" t="str">
        <x:v>Ground Validation</x:v>
      </x:c>
      <x:c r="F537" t="str">
        <x:v>Seaviewer Drop Camera</x:v>
      </x:c>
      <x:c r="G537" t="str">
        <x:v>GV2011_171</x:v>
      </x:c>
      <x:c r="H537" s="28" t="n">
        <x:v>40635</x:v>
      </x:c>
      <x:c r="I537" t="str">
        <x:v>12:39:41</x:v>
      </x:c>
      <x:c r="J537" t="n">
        <x:v>2011</x:v>
      </x:c>
      <x:c r="K537" t="n">
        <x:v>18.23121332</x:v>
      </x:c>
      <x:c r="L537" t="n">
        <x:v>-64.69634872</x:v>
      </x:c>
      <x:c r="M537" t="n">
        <x:v>53.627</x:v>
      </x:c>
      <x:c r="N537" t="str">
        <x:v>https://nccospublicstor.blob.core.windows.net/biomapper/usviinsularshelf2017/videos/low/GV2011_171.mp4</x:v>
      </x:c>
      <x:c r="O537" t="n">
        <x:v>0</x:v>
      </x:c>
      <x:c r="P537" t="n">
        <x:v>1</x:v>
      </x:c>
      <x:c r="Q537" t="n">
        <x:v>1</x:v>
      </x:c>
      <x:c r="R537" t="n">
        <x:v>0</x:v>
      </x:c>
      <x:c r="S537" t="n">
        <x:v>1</x:v>
      </x:c>
      <x:c r="T537" t="n">
        <x:v>0</x:v>
      </x:c>
      <x:c r="U537" t="n">
        <x:v>1</x:v>
      </x:c>
      <x:c r="V537" t="n">
        <x:v>1</x:v>
      </x:c>
      <x:c r="W537" t="n">
        <x:v>0</x:v>
      </x:c>
      <x:c r="X537" t="n">
        <x:v>0</x:v>
      </x:c>
      <x:c r="Y537" t="n">
        <x:v>0</x:v>
      </x:c>
      <x:c r="Z537" t="n">
        <x:v>2</x:v>
      </x:c>
      <x:c r="AA537" t="n">
        <x:v>3</x:v>
      </x:c>
      <x:c r="AB537" t="str">
        <x:v>Pass</x:v>
      </x:c>
      <x:c r="AC537" t="str"/>
      <x:c r="AD537" t="str"/>
    </x:row>
    <x:row r="538">
      <x:c r="A538" t="str">
        <x:v>REC0537</x:v>
      </x:c>
      <x:c r="B538" t="n">
        <x:v>536</x:v>
      </x:c>
      <x:c r="C538" t="str">
        <x:v>St. John, USVI</x:v>
      </x:c>
      <x:c r="D538" t="str">
        <x:v>GV</x:v>
      </x:c>
      <x:c r="E538" t="str">
        <x:v>Ground Validation</x:v>
      </x:c>
      <x:c r="F538" t="str">
        <x:v>Seaviewer Drop Camera</x:v>
      </x:c>
      <x:c r="G538" t="str">
        <x:v>GV2011_173</x:v>
      </x:c>
      <x:c r="H538" s="28" t="n">
        <x:v>40635</x:v>
      </x:c>
      <x:c r="I538" t="str">
        <x:v>14:35:12</x:v>
      </x:c>
      <x:c r="J538" t="n">
        <x:v>2011</x:v>
      </x:c>
      <x:c r="K538" t="n">
        <x:v>18.2468841</x:v>
      </x:c>
      <x:c r="L538" t="n">
        <x:v>-64.71317382</x:v>
      </x:c>
      <x:c r="M538" t="n">
        <x:v>47.338</x:v>
      </x:c>
      <x:c r="N538" t="str">
        <x:v>https://nccospublicstor.blob.core.windows.net/biomapper/usviinsularshelf2017/videos/low/GV2011_173.mp4</x:v>
      </x:c>
      <x:c r="O538" t="n">
        <x:v>1</x:v>
      </x:c>
      <x:c r="P538" t="n">
        <x:v>0</x:v>
      </x:c>
      <x:c r="Q538" t="n">
        <x:v>1</x:v>
      </x:c>
      <x:c r="R538" t="n">
        <x:v>1</x:v>
      </x:c>
      <x:c r="S538" t="n">
        <x:v>1</x:v>
      </x:c>
      <x:c r="T538" t="n">
        <x:v>0</x:v>
      </x:c>
      <x:c r="U538" t="n">
        <x:v>1</x:v>
      </x:c>
      <x:c r="V538" t="n">
        <x:v>1</x:v>
      </x:c>
      <x:c r="W538" t="n">
        <x:v>0</x:v>
      </x:c>
      <x:c r="X538" t="n">
        <x:v>0</x:v>
      </x:c>
      <x:c r="Y538" t="n">
        <x:v>0</x:v>
      </x:c>
      <x:c r="Z538" t="n">
        <x:v>3</x:v>
      </x:c>
      <x:c r="AA538" t="n">
        <x:v>3</x:v>
      </x:c>
      <x:c r="AB538" t="str">
        <x:v>Pass</x:v>
      </x:c>
      <x:c r="AC538" t="str"/>
      <x:c r="AD538" t="str"/>
    </x:row>
    <x:row r="539">
      <x:c r="A539" t="str">
        <x:v>REC0538</x:v>
      </x:c>
      <x:c r="B539" t="n">
        <x:v>537</x:v>
      </x:c>
      <x:c r="C539" t="str">
        <x:v>St. John, USVI</x:v>
      </x:c>
      <x:c r="D539" t="str">
        <x:v>GV</x:v>
      </x:c>
      <x:c r="E539" t="str">
        <x:v>Ground Validation</x:v>
      </x:c>
      <x:c r="F539" t="str">
        <x:v>Seaviewer Drop Camera</x:v>
      </x:c>
      <x:c r="G539" t="str">
        <x:v>GV2011_174</x:v>
      </x:c>
      <x:c r="H539" s="28" t="n">
        <x:v>40635</x:v>
      </x:c>
      <x:c r="I539" t="str">
        <x:v>14:14:41</x:v>
      </x:c>
      <x:c r="J539" t="n">
        <x:v>2011</x:v>
      </x:c>
      <x:c r="K539" t="n">
        <x:v>18.24467182</x:v>
      </x:c>
      <x:c r="L539" t="n">
        <x:v>-64.69610359</x:v>
      </x:c>
      <x:c r="M539" t="n">
        <x:v>50.831</x:v>
      </x:c>
      <x:c r="N539" t="str">
        <x:v>https://nccospublicstor.blob.core.windows.net/biomapper/usviinsularshelf2017/videos/low/GV2011_174.mp4</x:v>
      </x:c>
      <x:c r="O539" t="n">
        <x:v>0</x:v>
      </x:c>
      <x:c r="P539" t="n">
        <x:v>0</x:v>
      </x:c>
      <x:c r="Q539" t="n">
        <x:v>1</x:v>
      </x:c>
      <x:c r="R539" t="n">
        <x:v>0</x:v>
      </x:c>
      <x:c r="S539" t="n">
        <x:v>1</x:v>
      </x:c>
      <x:c r="T539" t="n">
        <x:v>0</x:v>
      </x:c>
      <x:c r="U539" t="n">
        <x:v>1</x:v>
      </x:c>
      <x:c r="V539" t="n">
        <x:v>1</x:v>
      </x:c>
      <x:c r="W539" t="n">
        <x:v>0</x:v>
      </x:c>
      <x:c r="X539" t="n">
        <x:v>0</x:v>
      </x:c>
      <x:c r="Y539" t="n">
        <x:v>0</x:v>
      </x:c>
      <x:c r="Z539" t="n">
        <x:v>1</x:v>
      </x:c>
      <x:c r="AA539" t="n">
        <x:v>3</x:v>
      </x:c>
      <x:c r="AB539" t="str">
        <x:v>Pass</x:v>
      </x:c>
      <x:c r="AC539" t="str"/>
      <x:c r="AD539" t="str"/>
    </x:row>
    <x:row r="540">
      <x:c r="A540" t="str">
        <x:v>REC0539</x:v>
      </x:c>
      <x:c r="B540" t="n">
        <x:v>538</x:v>
      </x:c>
      <x:c r="C540" t="str">
        <x:v>St. John, USVI</x:v>
      </x:c>
      <x:c r="D540" t="str">
        <x:v>GV</x:v>
      </x:c>
      <x:c r="E540" t="str">
        <x:v>Ground Validation</x:v>
      </x:c>
      <x:c r="F540" t="str">
        <x:v>Seaviewer Drop Camera</x:v>
      </x:c>
      <x:c r="G540" t="str">
        <x:v>GV2011_175</x:v>
      </x:c>
      <x:c r="H540" s="28" t="n">
        <x:v>40635</x:v>
      </x:c>
      <x:c r="I540" t="str">
        <x:v>14:19:29</x:v>
      </x:c>
      <x:c r="J540" t="n">
        <x:v>2011</x:v>
      </x:c>
      <x:c r="K540" t="n">
        <x:v>18.24606593</x:v>
      </x:c>
      <x:c r="L540" t="n">
        <x:v>-64.69866534</x:v>
      </x:c>
      <x:c r="M540" t="n">
        <x:v>45.906</x:v>
      </x:c>
      <x:c r="N540" t="str">
        <x:v>https://nccospublicstor.blob.core.windows.net/biomapper/usviinsularshelf2017/videos/low/GV2011_175.mp4</x:v>
      </x:c>
      <x:c r="O540" t="n">
        <x:v>0</x:v>
      </x:c>
      <x:c r="P540" t="n">
        <x:v>1</x:v>
      </x:c>
      <x:c r="Q540" t="n">
        <x:v>0</x:v>
      </x:c>
      <x:c r="R540" t="n">
        <x:v>0</x:v>
      </x:c>
      <x:c r="S540" t="n">
        <x:v>1</x:v>
      </x:c>
      <x:c r="T540" t="n">
        <x:v>1</x:v>
      </x:c>
      <x:c r="U540" t="n">
        <x:v>1</x:v>
      </x:c>
      <x:c r="V540" t="n">
        <x:v>1</x:v>
      </x:c>
      <x:c r="W540" t="n">
        <x:v>0</x:v>
      </x:c>
      <x:c r="X540" t="n">
        <x:v>0</x:v>
      </x:c>
      <x:c r="Y540" t="n">
        <x:v>0</x:v>
      </x:c>
      <x:c r="Z540" t="n">
        <x:v>1</x:v>
      </x:c>
      <x:c r="AA540" t="n">
        <x:v>4</x:v>
      </x:c>
      <x:c r="AB540" t="str">
        <x:v>Pass</x:v>
      </x:c>
      <x:c r="AC540" t="str"/>
      <x:c r="AD540" t="str"/>
    </x:row>
    <x:row r="541">
      <x:c r="A541" t="str">
        <x:v>REC0540</x:v>
      </x:c>
      <x:c r="B541" t="n">
        <x:v>539</x:v>
      </x:c>
      <x:c r="C541" t="str">
        <x:v>St. John, USVI</x:v>
      </x:c>
      <x:c r="D541" t="str">
        <x:v>GV</x:v>
      </x:c>
      <x:c r="E541" t="str">
        <x:v>Ground Validation</x:v>
      </x:c>
      <x:c r="F541" t="str">
        <x:v>Seaviewer Drop Camera</x:v>
      </x:c>
      <x:c r="G541" t="str">
        <x:v>GV2011_176</x:v>
      </x:c>
      <x:c r="H541" s="28" t="n">
        <x:v>40635</x:v>
      </x:c>
      <x:c r="I541" t="str">
        <x:v>12:56:53</x:v>
      </x:c>
      <x:c r="J541" t="n">
        <x:v>2011</x:v>
      </x:c>
      <x:c r="K541" t="n">
        <x:v>18.23651939</x:v>
      </x:c>
      <x:c r="L541" t="n">
        <x:v>-64.68603358</x:v>
      </x:c>
      <x:c r="M541" t="n">
        <x:v>54.754</x:v>
      </x:c>
      <x:c r="N541" t="str">
        <x:v>https://nccospublicstor.blob.core.windows.net/biomapper/usviinsularshelf2017/videos/low/GV2011_176.mp4</x:v>
      </x:c>
      <x:c r="O541" t="n">
        <x:v>0</x:v>
      </x:c>
      <x:c r="P541" t="n">
        <x:v>1</x:v>
      </x:c>
      <x:c r="Q541" t="n">
        <x:v>1</x:v>
      </x:c>
      <x:c r="R541" t="n">
        <x:v>0</x:v>
      </x:c>
      <x:c r="S541" t="n">
        <x:v>1</x:v>
      </x:c>
      <x:c r="T541" t="n">
        <x:v>0</x:v>
      </x:c>
      <x:c r="U541" t="n">
        <x:v>1</x:v>
      </x:c>
      <x:c r="V541" t="n">
        <x:v>1</x:v>
      </x:c>
      <x:c r="W541" t="n">
        <x:v>0</x:v>
      </x:c>
      <x:c r="X541" t="n">
        <x:v>0</x:v>
      </x:c>
      <x:c r="Y541" t="n">
        <x:v>0</x:v>
      </x:c>
      <x:c r="Z541" t="n">
        <x:v>2</x:v>
      </x:c>
      <x:c r="AA541" t="n">
        <x:v>3</x:v>
      </x:c>
      <x:c r="AB541" t="str">
        <x:v>Pass</x:v>
      </x:c>
      <x:c r="AC541" t="str"/>
      <x:c r="AD541" t="str"/>
    </x:row>
    <x:row r="542">
      <x:c r="A542" t="str">
        <x:v>REC0541</x:v>
      </x:c>
      <x:c r="B542" t="n">
        <x:v>540</x:v>
      </x:c>
      <x:c r="C542" t="str">
        <x:v>St. John, USVI</x:v>
      </x:c>
      <x:c r="D542" t="str">
        <x:v>GV</x:v>
      </x:c>
      <x:c r="E542" t="str">
        <x:v>Ground Validation</x:v>
      </x:c>
      <x:c r="F542" t="str">
        <x:v>Seaviewer Drop Camera</x:v>
      </x:c>
      <x:c r="G542" t="str">
        <x:v>GV2011_177</x:v>
      </x:c>
      <x:c r="H542" s="28" t="n">
        <x:v>40635</x:v>
      </x:c>
      <x:c r="I542" t="str">
        <x:v>12:28:15</x:v>
      </x:c>
      <x:c r="J542" t="n">
        <x:v>2011</x:v>
      </x:c>
      <x:c r="K542" t="n">
        <x:v>18.22561582</x:v>
      </x:c>
      <x:c r="L542" t="n">
        <x:v>-64.69153132</x:v>
      </x:c>
      <x:c r="M542" t="n">
        <x:v>48.51</x:v>
      </x:c>
      <x:c r="N542" t="str">
        <x:v>https://nccospublicstor.blob.core.windows.net/biomapper/usviinsularshelf2017/videos/low/GV2011_177.mp4</x:v>
      </x:c>
      <x:c r="O542" t="n">
        <x:v>0</x:v>
      </x:c>
      <x:c r="P542" t="n">
        <x:v>0</x:v>
      </x:c>
      <x:c r="Q542" t="n">
        <x:v>1</x:v>
      </x:c>
      <x:c r="R542" t="n">
        <x:v>0</x:v>
      </x:c>
      <x:c r="S542" t="n">
        <x:v>1</x:v>
      </x:c>
      <x:c r="T542" t="n">
        <x:v>0</x:v>
      </x:c>
      <x:c r="U542" t="n">
        <x:v>1</x:v>
      </x:c>
      <x:c r="V542" t="n">
        <x:v>1</x:v>
      </x:c>
      <x:c r="W542" t="n">
        <x:v>0</x:v>
      </x:c>
      <x:c r="X542" t="n">
        <x:v>0</x:v>
      </x:c>
      <x:c r="Y542" t="n">
        <x:v>0</x:v>
      </x:c>
      <x:c r="Z542" t="n">
        <x:v>1</x:v>
      </x:c>
      <x:c r="AA542" t="n">
        <x:v>3</x:v>
      </x:c>
      <x:c r="AB542" t="str">
        <x:v>Pass</x:v>
      </x:c>
      <x:c r="AC542" t="str"/>
      <x:c r="AD542" t="str"/>
    </x:row>
    <x:row r="543">
      <x:c r="A543" t="str">
        <x:v>REC0542</x:v>
      </x:c>
      <x:c r="B543" t="n">
        <x:v>541</x:v>
      </x:c>
      <x:c r="C543" t="str">
        <x:v>St. John, USVI</x:v>
      </x:c>
      <x:c r="D543" t="str">
        <x:v>GV</x:v>
      </x:c>
      <x:c r="E543" t="str">
        <x:v>Ground Validation</x:v>
      </x:c>
      <x:c r="F543" t="str">
        <x:v>Seaviewer Drop Camera</x:v>
      </x:c>
      <x:c r="G543" t="str">
        <x:v>GV2011_178</x:v>
      </x:c>
      <x:c r="H543" s="28" t="n">
        <x:v>40635</x:v>
      </x:c>
      <x:c r="I543" t="str">
        <x:v>11:40:10</x:v>
      </x:c>
      <x:c r="J543" t="n">
        <x:v>2011</x:v>
      </x:c>
      <x:c r="K543" t="n">
        <x:v>18.22652334</x:v>
      </x:c>
      <x:c r="L543" t="n">
        <x:v>-64.67567899</x:v>
      </x:c>
      <x:c r="M543" t="n">
        <x:v>53.795</x:v>
      </x:c>
      <x:c r="N543" t="str">
        <x:v>https://nccospublicstor.blob.core.windows.net/biomapper/usviinsularshelf2017/videos/low/GV2011_178.mp4</x:v>
      </x:c>
      <x:c r="O543" t="n">
        <x:v>0</x:v>
      </x:c>
      <x:c r="P543" t="n">
        <x:v>1</x:v>
      </x:c>
      <x:c r="Q543" t="n">
        <x:v>1</x:v>
      </x:c>
      <x:c r="R543" t="n">
        <x:v>0</x:v>
      </x:c>
      <x:c r="S543" t="n">
        <x:v>1</x:v>
      </x:c>
      <x:c r="T543" t="n">
        <x:v>0</x:v>
      </x:c>
      <x:c r="U543" t="n">
        <x:v>1</x:v>
      </x:c>
      <x:c r="V543" t="n">
        <x:v>1</x:v>
      </x:c>
      <x:c r="W543" t="n">
        <x:v>0</x:v>
      </x:c>
      <x:c r="X543" t="n">
        <x:v>0</x:v>
      </x:c>
      <x:c r="Y543" t="n">
        <x:v>0</x:v>
      </x:c>
      <x:c r="Z543" t="n">
        <x:v>2</x:v>
      </x:c>
      <x:c r="AA543" t="n">
        <x:v>3</x:v>
      </x:c>
      <x:c r="AB543" t="str">
        <x:v>Pass</x:v>
      </x:c>
      <x:c r="AC543" t="str"/>
      <x:c r="AD543" t="str"/>
    </x:row>
    <x:row r="544">
      <x:c r="A544" t="str">
        <x:v>REC0543</x:v>
      </x:c>
      <x:c r="B544" t="n">
        <x:v>542</x:v>
      </x:c>
      <x:c r="C544" t="str">
        <x:v>St. John, USVI</x:v>
      </x:c>
      <x:c r="D544" t="str">
        <x:v>GV</x:v>
      </x:c>
      <x:c r="E544" t="str">
        <x:v>Ground Validation</x:v>
      </x:c>
      <x:c r="F544" t="str">
        <x:v>Seaviewer Drop Camera</x:v>
      </x:c>
      <x:c r="G544" t="str">
        <x:v>GV2011_179</x:v>
      </x:c>
      <x:c r="H544" s="28" t="n">
        <x:v>40635</x:v>
      </x:c>
      <x:c r="I544" t="str">
        <x:v>11:23:57</x:v>
      </x:c>
      <x:c r="J544" t="n">
        <x:v>2011</x:v>
      </x:c>
      <x:c r="K544" t="n">
        <x:v>18.2305846</x:v>
      </x:c>
      <x:c r="L544" t="n">
        <x:v>-64.66570388</x:v>
      </x:c>
      <x:c r="M544" t="n">
        <x:v>52.419</x:v>
      </x:c>
      <x:c r="N544" t="str">
        <x:v>https://nccospublicstor.blob.core.windows.net/biomapper/usviinsularshelf2017/videos/low/GV2011_179.mp4</x:v>
      </x:c>
      <x:c r="O544" t="n">
        <x:v>0</x:v>
      </x:c>
      <x:c r="P544" t="n">
        <x:v>1</x:v>
      </x:c>
      <x:c r="Q544" t="n">
        <x:v>1</x:v>
      </x:c>
      <x:c r="R544" t="n">
        <x:v>0</x:v>
      </x:c>
      <x:c r="S544" t="n">
        <x:v>0</x:v>
      </x:c>
      <x:c r="T544" t="n">
        <x:v>0</x:v>
      </x:c>
      <x:c r="U544" t="n">
        <x:v>1</x:v>
      </x:c>
      <x:c r="V544" t="n">
        <x:v>1</x:v>
      </x:c>
      <x:c r="W544" t="n">
        <x:v>0</x:v>
      </x:c>
      <x:c r="X544" t="n">
        <x:v>0</x:v>
      </x:c>
      <x:c r="Y544" t="n">
        <x:v>0</x:v>
      </x:c>
      <x:c r="Z544" t="n">
        <x:v>2</x:v>
      </x:c>
      <x:c r="AA544" t="n">
        <x:v>2</x:v>
      </x:c>
      <x:c r="AB544" t="str">
        <x:v>Pass</x:v>
      </x:c>
      <x:c r="AC544" t="str"/>
      <x:c r="AD544" t="str"/>
    </x:row>
    <x:row r="545">
      <x:c r="A545" t="str">
        <x:v>REC0544</x:v>
      </x:c>
      <x:c r="B545" t="n">
        <x:v>543</x:v>
      </x:c>
      <x:c r="C545" t="str">
        <x:v>St. John, USVI</x:v>
      </x:c>
      <x:c r="D545" t="str">
        <x:v>GV</x:v>
      </x:c>
      <x:c r="E545" t="str">
        <x:v>Ground Validation</x:v>
      </x:c>
      <x:c r="F545" t="str">
        <x:v>Seaviewer Drop Camera</x:v>
      </x:c>
      <x:c r="G545" t="str">
        <x:v>GV2011_180</x:v>
      </x:c>
      <x:c r="H545" s="28" t="n">
        <x:v>40635</x:v>
      </x:c>
      <x:c r="I545" t="str">
        <x:v>11:14:14</x:v>
      </x:c>
      <x:c r="J545" t="n">
        <x:v>2011</x:v>
      </x:c>
      <x:c r="K545" t="n">
        <x:v>18.23479805</x:v>
      </x:c>
      <x:c r="L545" t="n">
        <x:v>-64.66790941</x:v>
      </x:c>
      <x:c r="M545" t="n">
        <x:v>52.078</x:v>
      </x:c>
      <x:c r="N545" t="str">
        <x:v>https://nccospublicstor.blob.core.windows.net/biomapper/usviinsularshelf2017/videos/low/GV2011_180.mp4</x:v>
      </x:c>
      <x:c r="O545" t="n">
        <x:v>0</x:v>
      </x:c>
      <x:c r="P545" t="n">
        <x:v>1</x:v>
      </x:c>
      <x:c r="Q545" t="n">
        <x:v>1</x:v>
      </x:c>
      <x:c r="R545" t="n">
        <x:v>0</x:v>
      </x:c>
      <x:c r="S545" t="n">
        <x:v>1</x:v>
      </x:c>
      <x:c r="T545" t="n">
        <x:v>0</x:v>
      </x:c>
      <x:c r="U545" t="n">
        <x:v>1</x:v>
      </x:c>
      <x:c r="V545" t="n">
        <x:v>1</x:v>
      </x:c>
      <x:c r="W545" t="n">
        <x:v>0</x:v>
      </x:c>
      <x:c r="X545" t="n">
        <x:v>0</x:v>
      </x:c>
      <x:c r="Y545" t="n">
        <x:v>0</x:v>
      </x:c>
      <x:c r="Z545" t="n">
        <x:v>2</x:v>
      </x:c>
      <x:c r="AA545" t="n">
        <x:v>3</x:v>
      </x:c>
      <x:c r="AB545" t="str">
        <x:v>Pass</x:v>
      </x:c>
      <x:c r="AC545" t="str"/>
      <x:c r="AD545" t="str"/>
    </x:row>
    <x:row r="546">
      <x:c r="A546" t="str">
        <x:v>REC0545</x:v>
      </x:c>
      <x:c r="B546" t="n">
        <x:v>544</x:v>
      </x:c>
      <x:c r="C546" t="str">
        <x:v>St. John, USVI</x:v>
      </x:c>
      <x:c r="D546" t="str">
        <x:v>GV</x:v>
      </x:c>
      <x:c r="E546" t="str">
        <x:v>Ground Validation</x:v>
      </x:c>
      <x:c r="F546" t="str">
        <x:v>Seaviewer Drop Camera</x:v>
      </x:c>
      <x:c r="G546" t="str">
        <x:v>GV2011_181</x:v>
      </x:c>
      <x:c r="H546" s="28" t="n">
        <x:v>40635</x:v>
      </x:c>
      <x:c r="I546" t="str">
        <x:v>10:30:20</x:v>
      </x:c>
      <x:c r="J546" t="n">
        <x:v>2011</x:v>
      </x:c>
      <x:c r="K546" t="n">
        <x:v>18.24931729</x:v>
      </x:c>
      <x:c r="L546" t="n">
        <x:v>-64.6658246</x:v>
      </x:c>
      <x:c r="M546" t="n">
        <x:v>46.051</x:v>
      </x:c>
      <x:c r="N546" t="str">
        <x:v>https://nccospublicstor.blob.core.windows.net/biomapper/usviinsularshelf2017/videos/low/GV2011_181.mp4</x:v>
      </x:c>
      <x:c r="O546" t="n">
        <x:v>1</x:v>
      </x:c>
      <x:c r="P546" t="n">
        <x:v>0</x:v>
      </x:c>
      <x:c r="Q546" t="n">
        <x:v>0</x:v>
      </x:c>
      <x:c r="R546" t="n">
        <x:v>0</x:v>
      </x:c>
      <x:c r="S546" t="n">
        <x:v>1</x:v>
      </x:c>
      <x:c r="T546" t="n">
        <x:v>0</x:v>
      </x:c>
      <x:c r="U546" t="n">
        <x:v>1</x:v>
      </x:c>
      <x:c r="V546" t="n">
        <x:v>1</x:v>
      </x:c>
      <x:c r="W546" t="n">
        <x:v>0</x:v>
      </x:c>
      <x:c r="X546" t="n">
        <x:v>0</x:v>
      </x:c>
      <x:c r="Y546" t="n">
        <x:v>0</x:v>
      </x:c>
      <x:c r="Z546" t="n">
        <x:v>1</x:v>
      </x:c>
      <x:c r="AA546" t="n">
        <x:v>3</x:v>
      </x:c>
      <x:c r="AB546" t="str">
        <x:v>Pass</x:v>
      </x:c>
      <x:c r="AC546" t="str"/>
      <x:c r="AD546" t="str"/>
    </x:row>
    <x:row r="547">
      <x:c r="A547" t="str">
        <x:v>REC0546</x:v>
      </x:c>
      <x:c r="B547" t="n">
        <x:v>545</x:v>
      </x:c>
      <x:c r="C547" t="str">
        <x:v>St. John, USVI</x:v>
      </x:c>
      <x:c r="D547" t="str">
        <x:v>GV</x:v>
      </x:c>
      <x:c r="E547" t="str">
        <x:v>Ground Validation</x:v>
      </x:c>
      <x:c r="F547" t="str">
        <x:v>Seaviewer Drop Camera</x:v>
      </x:c>
      <x:c r="G547" t="str">
        <x:v>GV2011_182</x:v>
      </x:c>
      <x:c r="H547" s="28" t="n">
        <x:v>40635</x:v>
      </x:c>
      <x:c r="I547" t="str">
        <x:v>10:52:49</x:v>
      </x:c>
      <x:c r="J547" t="n">
        <x:v>2011</x:v>
      </x:c>
      <x:c r="K547" t="n">
        <x:v>18.24298053</x:v>
      </x:c>
      <x:c r="L547" t="n">
        <x:v>-64.65844357</x:v>
      </x:c>
      <x:c r="M547" t="n">
        <x:v>50.307</x:v>
      </x:c>
      <x:c r="N547" t="str">
        <x:v>https://nccospublicstor.blob.core.windows.net/biomapper/usviinsularshelf2017/videos/low/GV2011_182.mp4</x:v>
      </x:c>
      <x:c r="O547" t="n">
        <x:v>0</x:v>
      </x:c>
      <x:c r="P547" t="n">
        <x:v>1</x:v>
      </x:c>
      <x:c r="Q547" t="n">
        <x:v>1</x:v>
      </x:c>
      <x:c r="R547" t="n">
        <x:v>0</x:v>
      </x:c>
      <x:c r="S547" t="n">
        <x:v>1</x:v>
      </x:c>
      <x:c r="T547" t="n">
        <x:v>0</x:v>
      </x:c>
      <x:c r="U547" t="n">
        <x:v>1</x:v>
      </x:c>
      <x:c r="V547" t="n">
        <x:v>1</x:v>
      </x:c>
      <x:c r="W547" t="n">
        <x:v>0</x:v>
      </x:c>
      <x:c r="X547" t="n">
        <x:v>0</x:v>
      </x:c>
      <x:c r="Y547" t="n">
        <x:v>0</x:v>
      </x:c>
      <x:c r="Z547" t="n">
        <x:v>2</x:v>
      </x:c>
      <x:c r="AA547" t="n">
        <x:v>3</x:v>
      </x:c>
      <x:c r="AB547" t="str">
        <x:v>Pass</x:v>
      </x:c>
      <x:c r="AC547" t="str"/>
      <x:c r="AD547" t="str"/>
    </x:row>
    <x:row r="548">
      <x:c r="A548" t="str">
        <x:v>REC0547</x:v>
      </x:c>
      <x:c r="B548" t="n">
        <x:v>546</x:v>
      </x:c>
      <x:c r="C548" t="str">
        <x:v>St. John, USVI</x:v>
      </x:c>
      <x:c r="D548" t="str">
        <x:v>GV</x:v>
      </x:c>
      <x:c r="E548" t="str">
        <x:v>Ground Validation</x:v>
      </x:c>
      <x:c r="F548" t="str">
        <x:v>Seaviewer Drop Camera</x:v>
      </x:c>
      <x:c r="G548" t="str">
        <x:v>GV2011_183</x:v>
      </x:c>
      <x:c r="H548" s="28" t="n">
        <x:v>40635</x:v>
      </x:c>
      <x:c r="I548" t="str">
        <x:v>13:36:40</x:v>
      </x:c>
      <x:c r="J548" t="n">
        <x:v>2011</x:v>
      </x:c>
      <x:c r="K548" t="n">
        <x:v>18.24276909</x:v>
      </x:c>
      <x:c r="L548" t="n">
        <x:v>-64.66537189</x:v>
      </x:c>
      <x:c r="M548" t="n">
        <x:v>46.235</x:v>
      </x:c>
      <x:c r="N548" t="str">
        <x:v>https://nccospublicstor.blob.core.windows.net/biomapper/usviinsularshelf2017/videos/low/GV2011_183.mp4</x:v>
      </x:c>
      <x:c r="O548" t="n">
        <x:v>0</x:v>
      </x:c>
      <x:c r="P548" t="n">
        <x:v>1</x:v>
      </x:c>
      <x:c r="Q548" t="n">
        <x:v>0</x:v>
      </x:c>
      <x:c r="R548" t="n">
        <x:v>0</x:v>
      </x:c>
      <x:c r="S548" t="n">
        <x:v>1</x:v>
      </x:c>
      <x:c r="T548" t="n">
        <x:v>1</x:v>
      </x:c>
      <x:c r="U548" t="n">
        <x:v>1</x:v>
      </x:c>
      <x:c r="V548" t="n">
        <x:v>1</x:v>
      </x:c>
      <x:c r="W548" t="n">
        <x:v>0</x:v>
      </x:c>
      <x:c r="X548" t="n">
        <x:v>0</x:v>
      </x:c>
      <x:c r="Y548" t="n">
        <x:v>0</x:v>
      </x:c>
      <x:c r="Z548" t="n">
        <x:v>1</x:v>
      </x:c>
      <x:c r="AA548" t="n">
        <x:v>4</x:v>
      </x:c>
      <x:c r="AB548" t="str">
        <x:v>Pass</x:v>
      </x:c>
      <x:c r="AC548" t="str"/>
      <x:c r="AD548" t="str"/>
    </x:row>
    <x:row r="549">
      <x:c r="A549" t="str">
        <x:v>REC0548</x:v>
      </x:c>
      <x:c r="B549" t="n">
        <x:v>547</x:v>
      </x:c>
      <x:c r="C549" t="str">
        <x:v>St. John, USVI</x:v>
      </x:c>
      <x:c r="D549" t="str">
        <x:v>GV</x:v>
      </x:c>
      <x:c r="E549" t="str">
        <x:v>Ground Validation</x:v>
      </x:c>
      <x:c r="F549" t="str">
        <x:v>Seaviewer Drop Camera</x:v>
      </x:c>
      <x:c r="G549" t="str">
        <x:v>GV2011_184</x:v>
      </x:c>
      <x:c r="H549" s="28" t="n">
        <x:v>40635</x:v>
      </x:c>
      <x:c r="I549" t="str">
        <x:v>10:02:38</x:v>
      </x:c>
      <x:c r="J549" t="n">
        <x:v>2011</x:v>
      </x:c>
      <x:c r="K549" t="n">
        <x:v>18.25996511</x:v>
      </x:c>
      <x:c r="L549" t="n">
        <x:v>-64.66659374</x:v>
      </x:c>
      <x:c r="M549" t="n">
        <x:v>42.224</x:v>
      </x:c>
      <x:c r="N549" t="str">
        <x:v>https://nccospublicstor.blob.core.windows.net/biomapper/usviinsularshelf2017/videos/low/GV2011_184.mp4</x:v>
      </x:c>
      <x:c r="O549" t="n">
        <x:v>1</x:v>
      </x:c>
      <x:c r="P549" t="n">
        <x:v>0</x:v>
      </x:c>
      <x:c r="Q549" t="n">
        <x:v>0</x:v>
      </x:c>
      <x:c r="R549" t="n">
        <x:v>1</x:v>
      </x:c>
      <x:c r="S549" t="n">
        <x:v>1</x:v>
      </x:c>
      <x:c r="T549" t="n">
        <x:v>1</x:v>
      </x:c>
      <x:c r="U549" t="n">
        <x:v>1</x:v>
      </x:c>
      <x:c r="V549" t="n">
        <x:v>1</x:v>
      </x:c>
      <x:c r="W549" t="n">
        <x:v>0</x:v>
      </x:c>
      <x:c r="X549" t="n">
        <x:v>0</x:v>
      </x:c>
      <x:c r="Y549" t="n">
        <x:v>0</x:v>
      </x:c>
      <x:c r="Z549" t="n">
        <x:v>2</x:v>
      </x:c>
      <x:c r="AA549" t="n">
        <x:v>4</x:v>
      </x:c>
      <x:c r="AB549" t="str">
        <x:v>Pass</x:v>
      </x:c>
      <x:c r="AC549" t="str"/>
      <x:c r="AD549" t="str"/>
    </x:row>
    <x:row r="550">
      <x:c r="A550" t="str">
        <x:v>REC0549</x:v>
      </x:c>
      <x:c r="B550" t="n">
        <x:v>548</x:v>
      </x:c>
      <x:c r="C550" t="str">
        <x:v>St. John, USVI</x:v>
      </x:c>
      <x:c r="D550" t="str">
        <x:v>GV</x:v>
      </x:c>
      <x:c r="E550" t="str">
        <x:v>Ground Validation</x:v>
      </x:c>
      <x:c r="F550" t="str">
        <x:v>Seaviewer Drop Camera</x:v>
      </x:c>
      <x:c r="G550" t="str">
        <x:v>GV2011_185</x:v>
      </x:c>
      <x:c r="H550" s="28" t="n">
        <x:v>40635</x:v>
      </x:c>
      <x:c r="I550" t="str">
        <x:v>09:51:53</x:v>
      </x:c>
      <x:c r="J550" t="n">
        <x:v>2011</x:v>
      </x:c>
      <x:c r="K550" t="n">
        <x:v>18.26401701</x:v>
      </x:c>
      <x:c r="L550" t="n">
        <x:v>-64.66026828</x:v>
      </x:c>
      <x:c r="M550" t="n">
        <x:v>44.718</x:v>
      </x:c>
      <x:c r="N550" t="str">
        <x:v>https://nccospublicstor.blob.core.windows.net/biomapper/usviinsularshelf2017/videos/low/GV2011_185.mp4</x:v>
      </x:c>
      <x:c r="O550" t="n">
        <x:v>0</x:v>
      </x:c>
      <x:c r="P550" t="n">
        <x:v>0</x:v>
      </x:c>
      <x:c r="Q550" t="n">
        <x:v>1</x:v>
      </x:c>
      <x:c r="R550" t="n">
        <x:v>0</x:v>
      </x:c>
      <x:c r="S550" t="n">
        <x:v>0</x:v>
      </x:c>
      <x:c r="T550" t="n">
        <x:v>0</x:v>
      </x:c>
      <x:c r="U550" t="n">
        <x:v>1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1</x:v>
      </x:c>
      <x:c r="AA550" t="n">
        <x:v>1</x:v>
      </x:c>
      <x:c r="AB550" t="str">
        <x:v>Pass</x:v>
      </x:c>
      <x:c r="AC550" t="str"/>
      <x:c r="AD550" t="str"/>
    </x:row>
    <x:row r="551">
      <x:c r="A551" t="str">
        <x:v>REC0550</x:v>
      </x:c>
      <x:c r="B551" t="n">
        <x:v>549</x:v>
      </x:c>
      <x:c r="C551" t="str">
        <x:v>St. John, USVI</x:v>
      </x:c>
      <x:c r="D551" t="str">
        <x:v>GV</x:v>
      </x:c>
      <x:c r="E551" t="str">
        <x:v>Ground Validation</x:v>
      </x:c>
      <x:c r="F551" t="str">
        <x:v>Seaviewer Drop Camera</x:v>
      </x:c>
      <x:c r="G551" t="str">
        <x:v>GV2011_186</x:v>
      </x:c>
      <x:c r="H551" s="28" t="n">
        <x:v>40635</x:v>
      </x:c>
      <x:c r="I551" t="str">
        <x:v>11:03:22</x:v>
      </x:c>
      <x:c r="J551" t="n">
        <x:v>2011</x:v>
      </x:c>
      <x:c r="K551" t="n">
        <x:v>18.23768507</x:v>
      </x:c>
      <x:c r="L551" t="n">
        <x:v>-64.66009989</x:v>
      </x:c>
      <x:c r="M551" t="n">
        <x:v>50.953</x:v>
      </x:c>
      <x:c r="N551" t="str">
        <x:v>https://nccospublicstor.blob.core.windows.net/biomapper/usviinsularshelf2017/videos/low/GV2011_186.mp4</x:v>
      </x:c>
      <x:c r="O551" t="n">
        <x:v>0</x:v>
      </x:c>
      <x:c r="P551" t="n">
        <x:v>1</x:v>
      </x:c>
      <x:c r="Q551" t="n">
        <x:v>1</x:v>
      </x:c>
      <x:c r="R551" t="n">
        <x:v>0</x:v>
      </x:c>
      <x:c r="S551" t="n">
        <x:v>1</x:v>
      </x:c>
      <x:c r="T551" t="n">
        <x:v>0</x:v>
      </x:c>
      <x:c r="U551" t="n">
        <x:v>1</x:v>
      </x:c>
      <x:c r="V551" t="n">
        <x:v>1</x:v>
      </x:c>
      <x:c r="W551" t="n">
        <x:v>0</x:v>
      </x:c>
      <x:c r="X551" t="n">
        <x:v>0</x:v>
      </x:c>
      <x:c r="Y551" t="n">
        <x:v>0</x:v>
      </x:c>
      <x:c r="Z551" t="n">
        <x:v>2</x:v>
      </x:c>
      <x:c r="AA551" t="n">
        <x:v>3</x:v>
      </x:c>
      <x:c r="AB551" t="str">
        <x:v>Pass</x:v>
      </x:c>
      <x:c r="AC551" t="str"/>
      <x:c r="AD551" t="str"/>
    </x:row>
    <x:row r="552">
      <x:c r="A552" t="str">
        <x:v>REC0551</x:v>
      </x:c>
      <x:c r="B552" t="n">
        <x:v>550</x:v>
      </x:c>
      <x:c r="C552" t="str">
        <x:v>St. John, USVI</x:v>
      </x:c>
      <x:c r="D552" t="str">
        <x:v>GV</x:v>
      </x:c>
      <x:c r="E552" t="str">
        <x:v>Ground Validation</x:v>
      </x:c>
      <x:c r="F552" t="str">
        <x:v>Seaviewer Drop Camera</x:v>
      </x:c>
      <x:c r="G552" t="str">
        <x:v>GV2011_187</x:v>
      </x:c>
      <x:c r="H552" s="28" t="n">
        <x:v>40635</x:v>
      </x:c>
      <x:c r="I552" t="str">
        <x:v>14:27:40</x:v>
      </x:c>
      <x:c r="J552" t="n">
        <x:v>2011</x:v>
      </x:c>
      <x:c r="K552" t="n">
        <x:v>18.24589576</x:v>
      </x:c>
      <x:c r="L552" t="n">
        <x:v>-64.70593437</x:v>
      </x:c>
      <x:c r="M552" t="n">
        <x:v>47.18</x:v>
      </x:c>
      <x:c r="N552" t="str">
        <x:v>https://nccospublicstor.blob.core.windows.net/biomapper/usviinsularshelf2017/videos/low/GV2011_187.mp4</x:v>
      </x:c>
      <x:c r="O552" t="n">
        <x:v>0</x:v>
      </x:c>
      <x:c r="P552" t="n">
        <x:v>1</x:v>
      </x:c>
      <x:c r="Q552" t="n">
        <x:v>1</x:v>
      </x:c>
      <x:c r="R552" t="n">
        <x:v>1</x:v>
      </x:c>
      <x:c r="S552" t="n">
        <x:v>0</x:v>
      </x:c>
      <x:c r="T552" t="n">
        <x:v>0</x:v>
      </x:c>
      <x:c r="U552" t="n">
        <x:v>1</x:v>
      </x:c>
      <x:c r="V552" t="n">
        <x:v>1</x:v>
      </x:c>
      <x:c r="W552" t="n">
        <x:v>0</x:v>
      </x:c>
      <x:c r="X552" t="n">
        <x:v>0</x:v>
      </x:c>
      <x:c r="Y552" t="n">
        <x:v>0</x:v>
      </x:c>
      <x:c r="Z552" t="n">
        <x:v>3</x:v>
      </x:c>
      <x:c r="AA552" t="n">
        <x:v>2</x:v>
      </x:c>
      <x:c r="AB552" t="str">
        <x:v>Pass</x:v>
      </x:c>
      <x:c r="AC552" t="str"/>
      <x:c r="AD552" t="str"/>
    </x:row>
    <x:row r="553">
      <x:c r="A553" t="str">
        <x:v>REC0552</x:v>
      </x:c>
      <x:c r="B553" t="n">
        <x:v>551</x:v>
      </x:c>
      <x:c r="C553" t="str">
        <x:v>St. John, USVI</x:v>
      </x:c>
      <x:c r="D553" t="str">
        <x:v>GV</x:v>
      </x:c>
      <x:c r="E553" t="str">
        <x:v>Ground Validation</x:v>
      </x:c>
      <x:c r="F553" t="str">
        <x:v>Seaviewer Drop Camera</x:v>
      </x:c>
      <x:c r="G553" t="str">
        <x:v>GV2011_188</x:v>
      </x:c>
      <x:c r="H553" s="28" t="n">
        <x:v>40635</x:v>
      </x:c>
      <x:c r="I553" t="str">
        <x:v>10:10:21</x:v>
      </x:c>
      <x:c r="J553" t="n">
        <x:v>2011</x:v>
      </x:c>
      <x:c r="K553" t="n">
        <x:v>18.25710938</x:v>
      </x:c>
      <x:c r="L553" t="n">
        <x:v>-64.66956685</x:v>
      </x:c>
      <x:c r="M553" t="n">
        <x:v>46.481</x:v>
      </x:c>
      <x:c r="N553" t="str">
        <x:v>https://nccospublicstor.blob.core.windows.net/biomapper/usviinsularshelf2017/videos/low/GV2011_188.mp4</x:v>
      </x:c>
      <x:c r="O553" t="n">
        <x:v>0</x:v>
      </x:c>
      <x:c r="P553" t="n">
        <x:v>0</x:v>
      </x:c>
      <x:c r="Q553" t="n">
        <x:v>1</x:v>
      </x:c>
      <x:c r="R553" t="n">
        <x:v>0</x:v>
      </x:c>
      <x:c r="S553" t="n">
        <x:v>1</x:v>
      </x:c>
      <x:c r="T553" t="n">
        <x:v>0</x:v>
      </x:c>
      <x:c r="U553" t="n">
        <x:v>1</x:v>
      </x:c>
      <x:c r="V553" t="n">
        <x:v>1</x:v>
      </x:c>
      <x:c r="W553" t="n">
        <x:v>0</x:v>
      </x:c>
      <x:c r="X553" t="n">
        <x:v>0</x:v>
      </x:c>
      <x:c r="Y553" t="n">
        <x:v>0</x:v>
      </x:c>
      <x:c r="Z553" t="n">
        <x:v>1</x:v>
      </x:c>
      <x:c r="AA553" t="n">
        <x:v>3</x:v>
      </x:c>
      <x:c r="AB553" t="str">
        <x:v>Pass</x:v>
      </x:c>
      <x:c r="AC553" t="str"/>
      <x:c r="AD553" t="str"/>
    </x:row>
    <x:row r="554">
      <x:c r="A554" t="str">
        <x:v>REC0553</x:v>
      </x:c>
      <x:c r="B554" t="n">
        <x:v>552</x:v>
      </x:c>
      <x:c r="C554" t="str">
        <x:v>St. John, USVI</x:v>
      </x:c>
      <x:c r="D554" t="str">
        <x:v>GV</x:v>
      </x:c>
      <x:c r="E554" t="str">
        <x:v>Ground Validation</x:v>
      </x:c>
      <x:c r="F554" t="str">
        <x:v>Seaviewer Drop Camera</x:v>
      </x:c>
      <x:c r="G554" t="str">
        <x:v>GV2011_189</x:v>
      </x:c>
      <x:c r="H554" s="28" t="n">
        <x:v>40635</x:v>
      </x:c>
      <x:c r="I554" t="str">
        <x:v>13:14:31</x:v>
      </x:c>
      <x:c r="J554" t="n">
        <x:v>2011</x:v>
      </x:c>
      <x:c r="K554" t="n">
        <x:v>18.24271263</x:v>
      </x:c>
      <x:c r="L554" t="n">
        <x:v>-64.67912263</x:v>
      </x:c>
      <x:c r="M554" t="n">
        <x:v>52.003</x:v>
      </x:c>
      <x:c r="N554" t="str">
        <x:v>https://nccospublicstor.blob.core.windows.net/biomapper/usviinsularshelf2017/videos/low/GV2011_189.mp4</x:v>
      </x:c>
      <x:c r="O554" t="n">
        <x:v>0</x:v>
      </x:c>
      <x:c r="P554" t="n">
        <x:v>0</x:v>
      </x:c>
      <x:c r="Q554" t="n">
        <x:v>1</x:v>
      </x:c>
      <x:c r="R554" t="n">
        <x:v>0</x:v>
      </x:c>
      <x:c r="S554" t="n">
        <x:v>1</x:v>
      </x:c>
      <x:c r="T554" t="n">
        <x:v>0</x:v>
      </x:c>
      <x:c r="U554" t="n">
        <x:v>1</x:v>
      </x:c>
      <x:c r="V554" t="n">
        <x:v>1</x:v>
      </x:c>
      <x:c r="W554" t="n">
        <x:v>0</x:v>
      </x:c>
      <x:c r="X554" t="n">
        <x:v>0</x:v>
      </x:c>
      <x:c r="Y554" t="n">
        <x:v>0</x:v>
      </x:c>
      <x:c r="Z554" t="n">
        <x:v>1</x:v>
      </x:c>
      <x:c r="AA554" t="n">
        <x:v>3</x:v>
      </x:c>
      <x:c r="AB554" t="str">
        <x:v>Pass</x:v>
      </x:c>
      <x:c r="AC554" t="str"/>
      <x:c r="AD554" t="str"/>
    </x:row>
    <x:row r="555">
      <x:c r="A555" t="str">
        <x:v>REC0554</x:v>
      </x:c>
      <x:c r="B555" t="n">
        <x:v>553</x:v>
      </x:c>
      <x:c r="C555" t="str">
        <x:v>St. John, USVI</x:v>
      </x:c>
      <x:c r="D555" t="str">
        <x:v>GV</x:v>
      </x:c>
      <x:c r="E555" t="str">
        <x:v>Ground Validation</x:v>
      </x:c>
      <x:c r="F555" t="str">
        <x:v>Seaviewer Drop Camera</x:v>
      </x:c>
      <x:c r="G555" t="str">
        <x:v>GV2011_190</x:v>
      </x:c>
      <x:c r="H555" s="28" t="n">
        <x:v>40635</x:v>
      </x:c>
      <x:c r="I555" t="str">
        <x:v>13:45:26</x:v>
      </x:c>
      <x:c r="J555" t="n">
        <x:v>2011</x:v>
      </x:c>
      <x:c r="K555" t="n">
        <x:v>18.2474235</x:v>
      </x:c>
      <x:c r="L555" t="n">
        <x:v>-64.67156752</x:v>
      </x:c>
      <x:c r="M555" t="n">
        <x:v>50.539</x:v>
      </x:c>
      <x:c r="N555" t="str">
        <x:v>https://nccospublicstor.blob.core.windows.net/biomapper/usviinsularshelf2017/videos/low/GV2011_190.mp4</x:v>
      </x:c>
      <x:c r="O555" t="n">
        <x:v>0</x:v>
      </x:c>
      <x:c r="P555" t="n">
        <x:v>0</x:v>
      </x:c>
      <x:c r="Q555" t="n">
        <x:v>1</x:v>
      </x:c>
      <x:c r="R555" t="n">
        <x:v>0</x:v>
      </x:c>
      <x:c r="S555" t="n">
        <x:v>1</x:v>
      </x:c>
      <x:c r="T555" t="n">
        <x:v>0</x:v>
      </x:c>
      <x:c r="U555" t="n">
        <x:v>1</x:v>
      </x:c>
      <x:c r="V555" t="n">
        <x:v>1</x:v>
      </x:c>
      <x:c r="W555" t="n">
        <x:v>0</x:v>
      </x:c>
      <x:c r="X555" t="n">
        <x:v>0</x:v>
      </x:c>
      <x:c r="Y555" t="n">
        <x:v>0</x:v>
      </x:c>
      <x:c r="Z555" t="n">
        <x:v>1</x:v>
      </x:c>
      <x:c r="AA555" t="n">
        <x:v>3</x:v>
      </x:c>
      <x:c r="AB555" t="str">
        <x:v>Pass</x:v>
      </x:c>
      <x:c r="AC555" t="str"/>
      <x:c r="AD555" t="str"/>
    </x:row>
    <x:row r="556">
      <x:c r="A556" t="str">
        <x:v>REC0555</x:v>
      </x:c>
      <x:c r="B556" t="n">
        <x:v>554</x:v>
      </x:c>
      <x:c r="C556" t="str">
        <x:v>St. John, USVI</x:v>
      </x:c>
      <x:c r="D556" t="str">
        <x:v>GV</x:v>
      </x:c>
      <x:c r="E556" t="str">
        <x:v>Ground Validation</x:v>
      </x:c>
      <x:c r="F556" t="str">
        <x:v>Seaviewer Drop Camera</x:v>
      </x:c>
      <x:c r="G556" t="str">
        <x:v>GV2011_191</x:v>
      </x:c>
      <x:c r="H556" s="28" t="n">
        <x:v>40635</x:v>
      </x:c>
      <x:c r="I556" t="str">
        <x:v>13:53:01</x:v>
      </x:c>
      <x:c r="J556" t="n">
        <x:v>2011</x:v>
      </x:c>
      <x:c r="K556" t="n">
        <x:v>18.25070969</x:v>
      </x:c>
      <x:c r="L556" t="n">
        <x:v>-64.67727621</x:v>
      </x:c>
      <x:c r="M556" t="n">
        <x:v>42.948</x:v>
      </x:c>
      <x:c r="N556" t="str">
        <x:v>https://nccospublicstor.blob.core.windows.net/biomapper/usviinsularshelf2017/videos/low/GV2011_191.mp4</x:v>
      </x:c>
      <x:c r="O556" t="n">
        <x:v>0</x:v>
      </x:c>
      <x:c r="P556" t="n">
        <x:v>1</x:v>
      </x:c>
      <x:c r="Q556" t="n">
        <x:v>0</x:v>
      </x:c>
      <x:c r="R556" t="n">
        <x:v>0</x:v>
      </x:c>
      <x:c r="S556" t="n">
        <x:v>1</x:v>
      </x:c>
      <x:c r="T556" t="n">
        <x:v>0</x:v>
      </x:c>
      <x:c r="U556" t="n">
        <x:v>1</x:v>
      </x:c>
      <x:c r="V556" t="n">
        <x:v>1</x:v>
      </x:c>
      <x:c r="W556" t="n">
        <x:v>0</x:v>
      </x:c>
      <x:c r="X556" t="n">
        <x:v>0</x:v>
      </x:c>
      <x:c r="Y556" t="n">
        <x:v>0</x:v>
      </x:c>
      <x:c r="Z556" t="n">
        <x:v>1</x:v>
      </x:c>
      <x:c r="AA556" t="n">
        <x:v>3</x:v>
      </x:c>
      <x:c r="AB556" t="str">
        <x:v>Pass</x:v>
      </x:c>
      <x:c r="AC556" t="str"/>
      <x:c r="AD556" t="str"/>
    </x:row>
    <x:row r="557">
      <x:c r="A557" t="str">
        <x:v>REC0556</x:v>
      </x:c>
      <x:c r="B557" t="n">
        <x:v>555</x:v>
      </x:c>
      <x:c r="C557" t="str">
        <x:v>St. John, USVI</x:v>
      </x:c>
      <x:c r="D557" t="str">
        <x:v>GV</x:v>
      </x:c>
      <x:c r="E557" t="str">
        <x:v>Ground Validation</x:v>
      </x:c>
      <x:c r="F557" t="str">
        <x:v>Seaviewer Drop Camera</x:v>
      </x:c>
      <x:c r="G557" t="str">
        <x:v>GV2011_192</x:v>
      </x:c>
      <x:c r="H557" s="28" t="n">
        <x:v>40635</x:v>
      </x:c>
      <x:c r="I557" t="str">
        <x:v>14:01:03</x:v>
      </x:c>
      <x:c r="J557" t="n">
        <x:v>2011</x:v>
      </x:c>
      <x:c r="K557" t="n">
        <x:v>18.24825816</x:v>
      </x:c>
      <x:c r="L557" t="n">
        <x:v>-64.68278818</x:v>
      </x:c>
      <x:c r="M557" t="n">
        <x:v>41.316</x:v>
      </x:c>
      <x:c r="N557" t="str">
        <x:v>https://nccospublicstor.blob.core.windows.net/biomapper/usviinsularshelf2017/videos/low/GV2011_192.mp4</x:v>
      </x:c>
      <x:c r="O557" t="n">
        <x:v>1</x:v>
      </x:c>
      <x:c r="P557" t="n">
        <x:v>0</x:v>
      </x:c>
      <x:c r="Q557" t="n">
        <x:v>0</x:v>
      </x:c>
      <x:c r="R557" t="n">
        <x:v>1</x:v>
      </x:c>
      <x:c r="S557" t="n">
        <x:v>1</x:v>
      </x:c>
      <x:c r="T557" t="n">
        <x:v>0</x:v>
      </x:c>
      <x:c r="U557" t="n">
        <x:v>1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2</x:v>
      </x:c>
      <x:c r="AA557" t="n">
        <x:v>3</x:v>
      </x:c>
      <x:c r="AB557" t="str">
        <x:v>Pass</x:v>
      </x:c>
      <x:c r="AC557" t="str"/>
      <x:c r="AD557" t="str"/>
    </x:row>
    <x:row r="558">
      <x:c r="A558" t="str">
        <x:v>REC0557</x:v>
      </x:c>
      <x:c r="B558" t="n">
        <x:v>556</x:v>
      </x:c>
      <x:c r="C558" t="str">
        <x:v>St. John, USVI</x:v>
      </x:c>
      <x:c r="D558" t="str">
        <x:v>GV</x:v>
      </x:c>
      <x:c r="E558" t="str">
        <x:v>Ground Validation</x:v>
      </x:c>
      <x:c r="F558" t="str">
        <x:v>Seaviewer Drop Camera</x:v>
      </x:c>
      <x:c r="G558" t="str">
        <x:v>GV2011_193</x:v>
      </x:c>
      <x:c r="H558" s="28" t="n">
        <x:v>40635</x:v>
      </x:c>
      <x:c r="I558" t="str">
        <x:v>11:49:18</x:v>
      </x:c>
      <x:c r="J558" t="n">
        <x:v>2011</x:v>
      </x:c>
      <x:c r="K558" t="n">
        <x:v>18.23003753</x:v>
      </x:c>
      <x:c r="L558" t="n">
        <x:v>-64.68140441</x:v>
      </x:c>
      <x:c r="M558" t="n">
        <x:v>48.835</x:v>
      </x:c>
      <x:c r="N558" t="str">
        <x:v>https://nccospublicstor.blob.core.windows.net/biomapper/usviinsularshelf2017/videos/low/GV2011_193.mp4</x:v>
      </x:c>
      <x:c r="O558" t="n">
        <x:v>0</x:v>
      </x:c>
      <x:c r="P558" t="n">
        <x:v>0</x:v>
      </x:c>
      <x:c r="Q558" t="n">
        <x:v>1</x:v>
      </x:c>
      <x:c r="R558" t="n">
        <x:v>0</x:v>
      </x:c>
      <x:c r="S558" t="n">
        <x:v>1</x:v>
      </x:c>
      <x:c r="T558" t="n">
        <x:v>0</x:v>
      </x:c>
      <x:c r="U558" t="n">
        <x:v>1</x:v>
      </x:c>
      <x:c r="V558" t="n">
        <x:v>1</x:v>
      </x:c>
      <x:c r="W558" t="n">
        <x:v>0</x:v>
      </x:c>
      <x:c r="X558" t="n">
        <x:v>0</x:v>
      </x:c>
      <x:c r="Y558" t="n">
        <x:v>0</x:v>
      </x:c>
      <x:c r="Z558" t="n">
        <x:v>1</x:v>
      </x:c>
      <x:c r="AA558" t="n">
        <x:v>3</x:v>
      </x:c>
      <x:c r="AB558" t="str">
        <x:v>Pass</x:v>
      </x:c>
      <x:c r="AC558" t="str"/>
      <x:c r="AD558" t="str"/>
    </x:row>
    <x:row r="559">
      <x:c r="A559" t="str">
        <x:v>REC0558</x:v>
      </x:c>
      <x:c r="B559" t="n">
        <x:v>557</x:v>
      </x:c>
      <x:c r="C559" t="str">
        <x:v>St. John, USVI</x:v>
      </x:c>
      <x:c r="D559" t="str">
        <x:v>GV</x:v>
      </x:c>
      <x:c r="E559" t="str">
        <x:v>Ground Validation</x:v>
      </x:c>
      <x:c r="F559" t="str">
        <x:v>Seaviewer Drop Camera</x:v>
      </x:c>
      <x:c r="G559" t="str">
        <x:v>GV2011_194</x:v>
      </x:c>
      <x:c r="H559" s="28" t="n">
        <x:v>40635</x:v>
      </x:c>
      <x:c r="I559" t="str">
        <x:v>11:30:25</x:v>
      </x:c>
      <x:c r="J559" t="n">
        <x:v>2011</x:v>
      </x:c>
      <x:c r="K559" t="n">
        <x:v>18.22977846</x:v>
      </x:c>
      <x:c r="L559" t="n">
        <x:v>-64.66952449</x:v>
      </x:c>
      <x:c r="M559" t="n">
        <x:v>53.616</x:v>
      </x:c>
      <x:c r="N559" t="str">
        <x:v>https://nccospublicstor.blob.core.windows.net/biomapper/usviinsularshelf2017/videos/low/GV2011_194.mp4</x:v>
      </x:c>
      <x:c r="O559" t="n">
        <x:v>0</x:v>
      </x:c>
      <x:c r="P559" t="n">
        <x:v>0</x:v>
      </x:c>
      <x:c r="Q559" t="n">
        <x:v>1</x:v>
      </x:c>
      <x:c r="R559" t="n">
        <x:v>0</x:v>
      </x:c>
      <x:c r="S559" t="n">
        <x:v>0</x:v>
      </x:c>
      <x:c r="T559" t="n">
        <x:v>0</x:v>
      </x:c>
      <x:c r="U559" t="n">
        <x:v>1</x:v>
      </x:c>
      <x:c r="V559" t="n">
        <x:v>1</x:v>
      </x:c>
      <x:c r="W559" t="n">
        <x:v>0</x:v>
      </x:c>
      <x:c r="X559" t="n">
        <x:v>0</x:v>
      </x:c>
      <x:c r="Y559" t="n">
        <x:v>0</x:v>
      </x:c>
      <x:c r="Z559" t="n">
        <x:v>1</x:v>
      </x:c>
      <x:c r="AA559" t="n">
        <x:v>2</x:v>
      </x:c>
      <x:c r="AB559" t="str">
        <x:v>Pass</x:v>
      </x:c>
      <x:c r="AC559" t="str"/>
      <x:c r="AD559" t="str"/>
    </x:row>
    <x:row r="560">
      <x:c r="A560" t="str">
        <x:v>REC0559</x:v>
      </x:c>
      <x:c r="B560" t="n">
        <x:v>558</x:v>
      </x:c>
      <x:c r="C560" t="str">
        <x:v>St. Thomas, USVI</x:v>
      </x:c>
      <x:c r="D560" t="str">
        <x:v>GV</x:v>
      </x:c>
      <x:c r="E560" t="str">
        <x:v>Ground Validation</x:v>
      </x:c>
      <x:c r="F560" t="str">
        <x:v>Seaviewer Drop Camera</x:v>
      </x:c>
      <x:c r="G560" t="str">
        <x:v>GV2011_195_1</x:v>
      </x:c>
      <x:c r="H560" s="28" t="n">
        <x:v>40636</x:v>
      </x:c>
      <x:c r="I560" t="str">
        <x:v>11:18:09</x:v>
      </x:c>
      <x:c r="J560" t="n">
        <x:v>2011</x:v>
      </x:c>
      <x:c r="K560" t="n">
        <x:v>18.23019624</x:v>
      </x:c>
      <x:c r="L560" t="n">
        <x:v>-65.13100189</x:v>
      </x:c>
      <x:c r="M560" t="n">
        <x:v>39.043</x:v>
      </x:c>
      <x:c r="N560" t="str">
        <x:v>https://nccospublicstor.blob.core.windows.net/biomapper/usviinsularshelf2017/videos/low/GV2011_195_1.mp4</x:v>
      </x:c>
      <x:c r="O560" t="n">
        <x:v>1</x:v>
      </x:c>
      <x:c r="P560" t="n">
        <x:v>0</x:v>
      </x:c>
      <x:c r="Q560" t="n">
        <x:v>0</x:v>
      </x:c>
      <x:c r="R560" t="n">
        <x:v>0</x:v>
      </x:c>
      <x:c r="S560" t="n">
        <x:v>1</x:v>
      </x:c>
      <x:c r="T560" t="n">
        <x:v>0</x:v>
      </x:c>
      <x:c r="U560" t="n">
        <x:v>1</x:v>
      </x:c>
      <x:c r="V560" t="n">
        <x:v>1</x:v>
      </x:c>
      <x:c r="W560" t="n">
        <x:v>0</x:v>
      </x:c>
      <x:c r="X560" t="n">
        <x:v>0</x:v>
      </x:c>
      <x:c r="Y560" t="n">
        <x:v>0</x:v>
      </x:c>
      <x:c r="Z560" t="n">
        <x:v>1</x:v>
      </x:c>
      <x:c r="AA560" t="n">
        <x:v>3</x:v>
      </x:c>
      <x:c r="AB560" t="str">
        <x:v>Pass</x:v>
      </x:c>
      <x:c r="AC560" t="str"/>
      <x:c r="AD560" t="str"/>
    </x:row>
    <x:row r="561">
      <x:c r="A561" t="str">
        <x:v>REC0560</x:v>
      </x:c>
      <x:c r="B561" t="n">
        <x:v>559</x:v>
      </x:c>
      <x:c r="C561" t="str">
        <x:v>St. Thomas, USVI</x:v>
      </x:c>
      <x:c r="D561" t="str">
        <x:v>GV</x:v>
      </x:c>
      <x:c r="E561" t="str">
        <x:v>Ground Validation</x:v>
      </x:c>
      <x:c r="F561" t="str">
        <x:v>Seaviewer Drop Camera</x:v>
      </x:c>
      <x:c r="G561" t="str">
        <x:v>GV2011_195_2</x:v>
      </x:c>
      <x:c r="H561" s="28" t="n">
        <x:v>40643</x:v>
      </x:c>
      <x:c r="I561" t="str">
        <x:v>08:10:58</x:v>
      </x:c>
      <x:c r="J561" t="n">
        <x:v>2011</x:v>
      </x:c>
      <x:c r="K561" t="n">
        <x:v>18.26524352</x:v>
      </x:c>
      <x:c r="L561" t="n">
        <x:v>-64.91596172</x:v>
      </x:c>
      <x:c r="M561" t="n">
        <x:v>32.059</x:v>
      </x:c>
      <x:c r="N561" t="str">
        <x:v>https://nccospublicstor.blob.core.windows.net/biomapper/usviinsularshelf2017/videos/low/GV2011_195_2.mp4</x:v>
      </x:c>
      <x:c r="O561" t="n">
        <x:v>1</x:v>
      </x:c>
      <x:c r="P561" t="n">
        <x:v>0</x:v>
      </x:c>
      <x:c r="Q561" t="n">
        <x:v>0</x:v>
      </x:c>
      <x:c r="R561" t="n">
        <x:v>1</x:v>
      </x:c>
      <x:c r="S561" t="n">
        <x:v>1</x:v>
      </x:c>
      <x:c r="T561" t="n">
        <x:v>1</x:v>
      </x:c>
      <x:c r="U561" t="n">
        <x:v>1</x:v>
      </x:c>
      <x:c r="V561" t="n">
        <x:v>1</x:v>
      </x:c>
      <x:c r="W561" t="n">
        <x:v>0</x:v>
      </x:c>
      <x:c r="X561" t="n">
        <x:v>0</x:v>
      </x:c>
      <x:c r="Y561" t="n">
        <x:v>0</x:v>
      </x:c>
      <x:c r="Z561" t="n">
        <x:v>2</x:v>
      </x:c>
      <x:c r="AA561" t="n">
        <x:v>4</x:v>
      </x:c>
      <x:c r="AB561" t="str">
        <x:v>Pass</x:v>
      </x:c>
      <x:c r="AC561" t="str"/>
      <x:c r="AD561" t="str">
        <x:v>School of Grunt</x:v>
      </x:c>
    </x:row>
    <x:row r="562">
      <x:c r="A562" t="str">
        <x:v>REC0561</x:v>
      </x:c>
      <x:c r="B562" t="n">
        <x:v>560</x:v>
      </x:c>
      <x:c r="C562" t="str">
        <x:v>Puerto Rico</x:v>
      </x:c>
      <x:c r="D562" t="str">
        <x:v>GV</x:v>
      </x:c>
      <x:c r="E562" t="str">
        <x:v>Ground Validation</x:v>
      </x:c>
      <x:c r="F562" t="str">
        <x:v>Seaviewer Drop Camera</x:v>
      </x:c>
      <x:c r="G562" t="str">
        <x:v>GV2011_196_1</x:v>
      </x:c>
      <x:c r="H562" s="28" t="n">
        <x:v>40636</x:v>
      </x:c>
      <x:c r="I562" t="str">
        <x:v>11:26:28</x:v>
      </x:c>
      <x:c r="J562" t="n">
        <x:v>2011</x:v>
      </x:c>
      <x:c r="K562" t="n">
        <x:v>18.23273054</x:v>
      </x:c>
      <x:c r="L562" t="n">
        <x:v>-65.1366262</x:v>
      </x:c>
      <x:c r="M562" t="n">
        <x:v>31.784</x:v>
      </x:c>
      <x:c r="N562" t="str">
        <x:v>https://nccospublicstor.blob.core.windows.net/biomapper/usviinsularshelf2017/videos/low/GV2011_196_1.mp4</x:v>
      </x:c>
      <x:c r="O562" t="n">
        <x:v>1</x:v>
      </x:c>
      <x:c r="P562" t="n">
        <x:v>0</x:v>
      </x:c>
      <x:c r="Q562" t="n">
        <x:v>0</x:v>
      </x:c>
      <x:c r="R562" t="n">
        <x:v>0</x:v>
      </x:c>
      <x:c r="S562" t="n">
        <x:v>1</x:v>
      </x:c>
      <x:c r="T562" t="n">
        <x:v>1</x:v>
      </x:c>
      <x:c r="U562" t="n">
        <x:v>1</x:v>
      </x:c>
      <x:c r="V562" t="n">
        <x:v>1</x:v>
      </x:c>
      <x:c r="W562" t="n">
        <x:v>0</x:v>
      </x:c>
      <x:c r="X562" t="n">
        <x:v>0</x:v>
      </x:c>
      <x:c r="Y562" t="n">
        <x:v>0</x:v>
      </x:c>
      <x:c r="Z562" t="n">
        <x:v>1</x:v>
      </x:c>
      <x:c r="AA562" t="n">
        <x:v>4</x:v>
      </x:c>
      <x:c r="AB562" t="str">
        <x:v>Pass</x:v>
      </x:c>
      <x:c r="AC562" t="str"/>
      <x:c r="AD562" t="str"/>
    </x:row>
    <x:row r="563">
      <x:c r="A563" t="str">
        <x:v>REC0562</x:v>
      </x:c>
      <x:c r="B563" t="n">
        <x:v>561</x:v>
      </x:c>
      <x:c r="C563" t="str">
        <x:v>St. Thomas, USVI</x:v>
      </x:c>
      <x:c r="D563" t="str">
        <x:v>GV</x:v>
      </x:c>
      <x:c r="E563" t="str">
        <x:v>Ground Validation</x:v>
      </x:c>
      <x:c r="F563" t="str">
        <x:v>Seaviewer Drop Camera</x:v>
      </x:c>
      <x:c r="G563" t="str">
        <x:v>GV2011_196_2</x:v>
      </x:c>
      <x:c r="H563" s="28" t="n">
        <x:v>40643</x:v>
      </x:c>
      <x:c r="I563" t="str">
        <x:v>08:18:48</x:v>
      </x:c>
      <x:c r="J563" t="n">
        <x:v>2011</x:v>
      </x:c>
      <x:c r="K563" t="n">
        <x:v>18.26029141</x:v>
      </x:c>
      <x:c r="L563" t="n">
        <x:v>-64.91967818</x:v>
      </x:c>
      <x:c r="M563" t="n">
        <x:v>34.291</x:v>
      </x:c>
      <x:c r="N563" t="str">
        <x:v>https://nccospublicstor.blob.core.windows.net/biomapper/usviinsularshelf2017/videos/low/GV2011_196_2.mp4</x:v>
      </x:c>
      <x:c r="O563" t="n">
        <x:v>0</x:v>
      </x:c>
      <x:c r="P563" t="n">
        <x:v>0</x:v>
      </x:c>
      <x:c r="Q563" t="n">
        <x:v>1</x:v>
      </x:c>
      <x:c r="R563" t="n">
        <x:v>0</x:v>
      </x:c>
      <x:c r="S563" t="n">
        <x:v>0</x:v>
      </x:c>
      <x:c r="T563" t="n">
        <x:v>0</x:v>
      </x:c>
      <x:c r="U563" t="n">
        <x:v>1</x:v>
      </x:c>
      <x:c r="V563" t="n">
        <x:v>1</x:v>
      </x:c>
      <x:c r="W563" t="n">
        <x:v>0</x:v>
      </x:c>
      <x:c r="X563" t="n">
        <x:v>0</x:v>
      </x:c>
      <x:c r="Y563" t="n">
        <x:v>0</x:v>
      </x:c>
      <x:c r="Z563" t="n">
        <x:v>1</x:v>
      </x:c>
      <x:c r="AA563" t="n">
        <x:v>2</x:v>
      </x:c>
      <x:c r="AB563" t="str">
        <x:v>Pass</x:v>
      </x:c>
      <x:c r="AC563" t="str"/>
      <x:c r="AD563" t="str"/>
    </x:row>
    <x:row r="564">
      <x:c r="A564" t="str">
        <x:v>REC0563</x:v>
      </x:c>
      <x:c r="B564" t="n">
        <x:v>562</x:v>
      </x:c>
      <x:c r="C564" t="str">
        <x:v>Puerto Rico</x:v>
      </x:c>
      <x:c r="D564" t="str">
        <x:v>GV</x:v>
      </x:c>
      <x:c r="E564" t="str">
        <x:v>Ground Validation</x:v>
      </x:c>
      <x:c r="F564" t="str">
        <x:v>Seaviewer Drop Camera</x:v>
      </x:c>
      <x:c r="G564" t="str">
        <x:v>GV2011_197_1</x:v>
      </x:c>
      <x:c r="H564" s="28" t="n">
        <x:v>40636</x:v>
      </x:c>
      <x:c r="I564" t="str">
        <x:v>11:35:49</x:v>
      </x:c>
      <x:c r="J564" t="n">
        <x:v>2011</x:v>
      </x:c>
      <x:c r="K564" t="n">
        <x:v>18.23904819</x:v>
      </x:c>
      <x:c r="L564" t="n">
        <x:v>-65.14202824</x:v>
      </x:c>
      <x:c r="M564" t="n">
        <x:v>29.809</x:v>
      </x:c>
      <x:c r="N564" t="str">
        <x:v>https://nccospublicstor.blob.core.windows.net/biomapper/usviinsularshelf2017/videos/low/GV2011_197_1.mp4</x:v>
      </x:c>
      <x:c r="O564" t="n">
        <x:v>1</x:v>
      </x:c>
      <x:c r="P564" t="n">
        <x:v>0</x:v>
      </x:c>
      <x:c r="Q564" t="n">
        <x:v>0</x:v>
      </x:c>
      <x:c r="R564" t="n">
        <x:v>0</x:v>
      </x:c>
      <x:c r="S564" t="n">
        <x:v>1</x:v>
      </x:c>
      <x:c r="T564" t="n">
        <x:v>0</x:v>
      </x:c>
      <x:c r="U564" t="n">
        <x:v>1</x:v>
      </x:c>
      <x:c r="V564" t="n">
        <x:v>1</x:v>
      </x:c>
      <x:c r="W564" t="n">
        <x:v>0</x:v>
      </x:c>
      <x:c r="X564" t="n">
        <x:v>0</x:v>
      </x:c>
      <x:c r="Y564" t="n">
        <x:v>0</x:v>
      </x:c>
      <x:c r="Z564" t="n">
        <x:v>1</x:v>
      </x:c>
      <x:c r="AA564" t="n">
        <x:v>3</x:v>
      </x:c>
      <x:c r="AB564" t="str">
        <x:v>Pass</x:v>
      </x:c>
      <x:c r="AC564" t="str"/>
      <x:c r="AD564" t="str"/>
    </x:row>
    <x:row r="565">
      <x:c r="A565" t="str">
        <x:v>REC0564</x:v>
      </x:c>
      <x:c r="B565" t="n">
        <x:v>563</x:v>
      </x:c>
      <x:c r="C565" t="str">
        <x:v>St. Thomas, USVI</x:v>
      </x:c>
      <x:c r="D565" t="str">
        <x:v>GV</x:v>
      </x:c>
      <x:c r="E565" t="str">
        <x:v>Ground Validation</x:v>
      </x:c>
      <x:c r="F565" t="str">
        <x:v>Seaviewer Drop Camera</x:v>
      </x:c>
      <x:c r="G565" t="str">
        <x:v>GV2011_197_2</x:v>
      </x:c>
      <x:c r="H565" s="28" t="n">
        <x:v>40643</x:v>
      </x:c>
      <x:c r="I565" t="str">
        <x:v>08:25:03</x:v>
      </x:c>
      <x:c r="J565" t="n">
        <x:v>2011</x:v>
      </x:c>
      <x:c r="K565" t="n">
        <x:v>18.25587567</x:v>
      </x:c>
      <x:c r="L565" t="n">
        <x:v>-64.92232672</x:v>
      </x:c>
      <x:c r="M565" t="n">
        <x:v>38.671</x:v>
      </x:c>
      <x:c r="N565" t="str">
        <x:v>https://nccospublicstor.blob.core.windows.net/biomapper/usviinsularshelf2017/videos/low/GV2011_197_2.mp4</x:v>
      </x:c>
      <x:c r="O565" t="n">
        <x:v>0</x:v>
      </x:c>
      <x:c r="P565" t="n">
        <x:v>0</x:v>
      </x:c>
      <x:c r="Q565" t="n">
        <x:v>1</x:v>
      </x:c>
      <x:c r="R565" t="n">
        <x:v>0</x:v>
      </x:c>
      <x:c r="S565" t="n">
        <x:v>0</x:v>
      </x:c>
      <x:c r="T565" t="n">
        <x:v>0</x:v>
      </x:c>
      <x:c r="U565" t="n">
        <x:v>1</x:v>
      </x:c>
      <x:c r="V565" t="n">
        <x:v>1</x:v>
      </x:c>
      <x:c r="W565" t="n">
        <x:v>0</x:v>
      </x:c>
      <x:c r="X565" t="n">
        <x:v>0</x:v>
      </x:c>
      <x:c r="Y565" t="n">
        <x:v>0</x:v>
      </x:c>
      <x:c r="Z565" t="n">
        <x:v>1</x:v>
      </x:c>
      <x:c r="AA565" t="n">
        <x:v>2</x:v>
      </x:c>
      <x:c r="AB565" t="str">
        <x:v>Pass</x:v>
      </x:c>
      <x:c r="AC565" t="str"/>
      <x:c r="AD565" t="str"/>
    </x:row>
    <x:row r="566">
      <x:c r="A566" t="str">
        <x:v>REC0565</x:v>
      </x:c>
      <x:c r="B566" t="n">
        <x:v>564</x:v>
      </x:c>
      <x:c r="C566" t="str">
        <x:v>Puerto Rico</x:v>
      </x:c>
      <x:c r="D566" t="str">
        <x:v>GV</x:v>
      </x:c>
      <x:c r="E566" t="str">
        <x:v>Ground Validation</x:v>
      </x:c>
      <x:c r="F566" t="str">
        <x:v>Seaviewer Drop Camera</x:v>
      </x:c>
      <x:c r="G566" t="str">
        <x:v>GV2011_198_1</x:v>
      </x:c>
      <x:c r="H566" s="28" t="n">
        <x:v>40636</x:v>
      </x:c>
      <x:c r="I566" t="str">
        <x:v>11:43:28</x:v>
      </x:c>
      <x:c r="J566" t="n">
        <x:v>2011</x:v>
      </x:c>
      <x:c r="K566" t="n">
        <x:v>18.2425185</x:v>
      </x:c>
      <x:c r="L566" t="n">
        <x:v>-65.14497619</x:v>
      </x:c>
      <x:c r="M566" t="n">
        <x:v>36.952</x:v>
      </x:c>
      <x:c r="N566" t="str">
        <x:v>https://nccospublicstor.blob.core.windows.net/biomapper/usviinsularshelf2017/videos/low/GV2011_198_1.mp4</x:v>
      </x:c>
      <x:c r="O566" t="n">
        <x:v>1</x:v>
      </x:c>
      <x:c r="P566" t="n">
        <x:v>0</x:v>
      </x:c>
      <x:c r="Q566" t="n">
        <x:v>0</x:v>
      </x:c>
      <x:c r="R566" t="n">
        <x:v>0</x:v>
      </x:c>
      <x:c r="S566" t="n">
        <x:v>1</x:v>
      </x:c>
      <x:c r="T566" t="n">
        <x:v>0</x:v>
      </x:c>
      <x:c r="U566" t="n">
        <x:v>1</x:v>
      </x:c>
      <x:c r="V566" t="n">
        <x:v>1</x:v>
      </x:c>
      <x:c r="W566" t="n">
        <x:v>0</x:v>
      </x:c>
      <x:c r="X566" t="n">
        <x:v>0</x:v>
      </x:c>
      <x:c r="Y566" t="n">
        <x:v>0</x:v>
      </x:c>
      <x:c r="Z566" t="n">
        <x:v>1</x:v>
      </x:c>
      <x:c r="AA566" t="n">
        <x:v>3</x:v>
      </x:c>
      <x:c r="AB566" t="str">
        <x:v>Pass</x:v>
      </x:c>
      <x:c r="AC566" t="str"/>
      <x:c r="AD566" t="str"/>
    </x:row>
    <x:row r="567">
      <x:c r="A567" t="str">
        <x:v>REC0566</x:v>
      </x:c>
      <x:c r="B567" t="n">
        <x:v>565</x:v>
      </x:c>
      <x:c r="C567" t="str">
        <x:v>St. Thomas, USVI</x:v>
      </x:c>
      <x:c r="D567" t="str">
        <x:v>GV</x:v>
      </x:c>
      <x:c r="E567" t="str">
        <x:v>Ground Validation</x:v>
      </x:c>
      <x:c r="F567" t="str">
        <x:v>Seaviewer Drop Camera</x:v>
      </x:c>
      <x:c r="G567" t="str">
        <x:v>GV2011_198_2</x:v>
      </x:c>
      <x:c r="H567" s="28" t="n">
        <x:v>40643</x:v>
      </x:c>
      <x:c r="I567" t="str">
        <x:v>08:37:30</x:v>
      </x:c>
      <x:c r="J567" t="n">
        <x:v>2011</x:v>
      </x:c>
      <x:c r="K567" t="n">
        <x:v>18.25144763</x:v>
      </x:c>
      <x:c r="L567" t="n">
        <x:v>-64.9253736</x:v>
      </x:c>
      <x:c r="M567" t="n">
        <x:v>39.202</x:v>
      </x:c>
      <x:c r="N567" t="str">
        <x:v>https://nccospublicstor.blob.core.windows.net/biomapper/usviinsularshelf2017/videos/low/GV2011_198_2.mp4</x:v>
      </x:c>
      <x:c r="O567" t="n">
        <x:v>0</x:v>
      </x:c>
      <x:c r="P567" t="n">
        <x:v>0</x:v>
      </x:c>
      <x:c r="Q567" t="n">
        <x:v>1</x:v>
      </x:c>
      <x:c r="R567" t="n">
        <x:v>1</x:v>
      </x:c>
      <x:c r="S567" t="n">
        <x:v>0</x:v>
      </x:c>
      <x:c r="T567" t="n">
        <x:v>0</x:v>
      </x:c>
      <x:c r="U567" t="n">
        <x:v>1</x:v>
      </x:c>
      <x:c r="V567" t="n">
        <x:v>1</x:v>
      </x:c>
      <x:c r="W567" t="n">
        <x:v>0</x:v>
      </x:c>
      <x:c r="X567" t="n">
        <x:v>0</x:v>
      </x:c>
      <x:c r="Y567" t="n">
        <x:v>0</x:v>
      </x:c>
      <x:c r="Z567" t="n">
        <x:v>2</x:v>
      </x:c>
      <x:c r="AA567" t="n">
        <x:v>2</x:v>
      </x:c>
      <x:c r="AB567" t="str">
        <x:v>Pass</x:v>
      </x:c>
      <x:c r="AC567" t="str"/>
      <x:c r="AD567" t="str"/>
    </x:row>
    <x:row r="568">
      <x:c r="A568" t="str">
        <x:v>REC0567</x:v>
      </x:c>
      <x:c r="B568" t="n">
        <x:v>566</x:v>
      </x:c>
      <x:c r="C568" t="str">
        <x:v>St. Thomas, USVI</x:v>
      </x:c>
      <x:c r="D568" t="str">
        <x:v>GV</x:v>
      </x:c>
      <x:c r="E568" t="str">
        <x:v>Ground Validation</x:v>
      </x:c>
      <x:c r="F568" t="str">
        <x:v>Seaviewer Drop Camera</x:v>
      </x:c>
      <x:c r="G568" t="str">
        <x:v>GV2011_199</x:v>
      </x:c>
      <x:c r="H568" s="28" t="n">
        <x:v>40643</x:v>
      </x:c>
      <x:c r="I568" t="str">
        <x:v>08:44:59</x:v>
      </x:c>
      <x:c r="J568" t="n">
        <x:v>2011</x:v>
      </x:c>
      <x:c r="K568" t="n">
        <x:v>18.24934591</x:v>
      </x:c>
      <x:c r="L568" t="n">
        <x:v>-64.92732353</x:v>
      </x:c>
      <x:c r="M568" t="n">
        <x:v>39.857</x:v>
      </x:c>
      <x:c r="N568" t="str">
        <x:v>https://nccospublicstor.blob.core.windows.net/biomapper/usviinsularshelf2017/videos/low/GV2011_199.mp4</x:v>
      </x:c>
      <x:c r="O568" t="n">
        <x:v>0</x:v>
      </x:c>
      <x:c r="P568" t="n">
        <x:v>0</x:v>
      </x:c>
      <x:c r="Q568" t="n">
        <x:v>1</x:v>
      </x:c>
      <x:c r="R568" t="n">
        <x:v>1</x:v>
      </x:c>
      <x:c r="S568" t="n">
        <x:v>0</x:v>
      </x:c>
      <x:c r="T568" t="n">
        <x:v>0</x:v>
      </x:c>
      <x:c r="U568" t="n">
        <x:v>1</x:v>
      </x:c>
      <x:c r="V568" t="n">
        <x:v>1</x:v>
      </x:c>
      <x:c r="W568" t="n">
        <x:v>0</x:v>
      </x:c>
      <x:c r="X568" t="n">
        <x:v>0</x:v>
      </x:c>
      <x:c r="Y568" t="n">
        <x:v>0</x:v>
      </x:c>
      <x:c r="Z568" t="n">
        <x:v>2</x:v>
      </x:c>
      <x:c r="AA568" t="n">
        <x:v>2</x:v>
      </x:c>
      <x:c r="AB568" t="str">
        <x:v>Pass</x:v>
      </x:c>
      <x:c r="AC568" t="str"/>
      <x:c r="AD568" t="str"/>
    </x:row>
    <x:row r="569">
      <x:c r="A569" t="str">
        <x:v>REC0568</x:v>
      </x:c>
      <x:c r="B569" t="n">
        <x:v>567</x:v>
      </x:c>
      <x:c r="C569" t="str">
        <x:v>St. Thomas, USVI</x:v>
      </x:c>
      <x:c r="D569" t="str">
        <x:v>GV</x:v>
      </x:c>
      <x:c r="E569" t="str">
        <x:v>Ground Validation</x:v>
      </x:c>
      <x:c r="F569" t="str">
        <x:v>Seaviewer Drop Camera</x:v>
      </x:c>
      <x:c r="G569" t="str">
        <x:v>GV2011_200</x:v>
      </x:c>
      <x:c r="H569" s="28" t="n">
        <x:v>40643</x:v>
      </x:c>
      <x:c r="I569" t="str">
        <x:v>08:32:04</x:v>
      </x:c>
      <x:c r="J569" t="n">
        <x:v>2011</x:v>
      </x:c>
      <x:c r="K569" t="n">
        <x:v>18.25382908</x:v>
      </x:c>
      <x:c r="L569" t="n">
        <x:v>-64.92469789</x:v>
      </x:c>
      <x:c r="M569" t="n">
        <x:v>39.548</x:v>
      </x:c>
      <x:c r="N569" t="str">
        <x:v>https://nccospublicstor.blob.core.windows.net/biomapper/usviinsularshelf2017/videos/low/GV2011_200.mp4</x:v>
      </x:c>
      <x:c r="O569" t="n">
        <x:v>0</x:v>
      </x:c>
      <x:c r="P569" t="n">
        <x:v>0</x:v>
      </x:c>
      <x:c r="Q569" t="n">
        <x:v>1</x:v>
      </x:c>
      <x:c r="R569" t="n">
        <x:v>1</x:v>
      </x:c>
      <x:c r="S569" t="n">
        <x:v>0</x:v>
      </x:c>
      <x:c r="T569" t="n">
        <x:v>0</x:v>
      </x:c>
      <x:c r="U569" t="n">
        <x:v>1</x:v>
      </x:c>
      <x:c r="V569" t="n">
        <x:v>1</x:v>
      </x:c>
      <x:c r="W569" t="n">
        <x:v>0</x:v>
      </x:c>
      <x:c r="X569" t="n">
        <x:v>1</x:v>
      </x:c>
      <x:c r="Y569" t="n">
        <x:v>0</x:v>
      </x:c>
      <x:c r="Z569" t="n">
        <x:v>2</x:v>
      </x:c>
      <x:c r="AA569" t="n">
        <x:v>2</x:v>
      </x:c>
      <x:c r="AB569" t="str">
        <x:v>Pass</x:v>
      </x:c>
      <x:c r="AC569" t="str"/>
      <x:c r="AD569" t="str">
        <x:v>Wire or rope and trap??</x:v>
      </x:c>
    </x:row>
    <x:row r="570">
      <x:c r="A570" t="str">
        <x:v>REC0569</x:v>
      </x:c>
      <x:c r="B570" t="n">
        <x:v>568</x:v>
      </x:c>
      <x:c r="C570" t="str">
        <x:v>St. Thomas, USVI</x:v>
      </x:c>
      <x:c r="D570" t="str">
        <x:v>GV</x:v>
      </x:c>
      <x:c r="E570" t="str">
        <x:v>Ground Validation</x:v>
      </x:c>
      <x:c r="F570" t="str">
        <x:v>Seaviewer Drop Camera</x:v>
      </x:c>
      <x:c r="G570" t="str">
        <x:v>GV2011_201</x:v>
      </x:c>
      <x:c r="H570" s="28" t="n">
        <x:v>40643</x:v>
      </x:c>
      <x:c r="I570" t="str">
        <x:v>08:52:27</x:v>
      </x:c>
      <x:c r="J570" t="n">
        <x:v>2011</x:v>
      </x:c>
      <x:c r="K570" t="n">
        <x:v>18.25120557</x:v>
      </x:c>
      <x:c r="L570" t="n">
        <x:v>-64.93313548</x:v>
      </x:c>
      <x:c r="M570" t="n">
        <x:v>40.103</x:v>
      </x:c>
      <x:c r="N570" t="str">
        <x:v>https://nccospublicstor.blob.core.windows.net/biomapper/usviinsularshelf2017/videos/low/GV2011_201.mp4</x:v>
      </x:c>
      <x:c r="O570" t="n">
        <x:v>0</x:v>
      </x:c>
      <x:c r="P570" t="n">
        <x:v>0</x:v>
      </x:c>
      <x:c r="Q570" t="n">
        <x:v>0</x:v>
      </x:c>
      <x:c r="R570" t="n">
        <x:v>1</x:v>
      </x:c>
      <x:c r="S570" t="n">
        <x:v>0</x:v>
      </x:c>
      <x:c r="T570" t="n">
        <x:v>0</x:v>
      </x:c>
      <x:c r="U570" t="n">
        <x:v>1</x:v>
      </x:c>
      <x:c r="V570" t="n">
        <x:v>1</x:v>
      </x:c>
      <x:c r="W570" t="n">
        <x:v>0</x:v>
      </x:c>
      <x:c r="X570" t="n">
        <x:v>0</x:v>
      </x:c>
      <x:c r="Y570" t="n">
        <x:v>0</x:v>
      </x:c>
      <x:c r="Z570" t="n">
        <x:v>1</x:v>
      </x:c>
      <x:c r="AA570" t="n">
        <x:v>2</x:v>
      </x:c>
      <x:c r="AB570" t="str">
        <x:v>Pass</x:v>
      </x:c>
      <x:c r="AC570" t="str"/>
      <x:c r="AD570" t="str"/>
    </x:row>
    <x:row r="571">
      <x:c r="A571" t="str">
        <x:v>REC0570</x:v>
      </x:c>
      <x:c r="B571" t="n">
        <x:v>569</x:v>
      </x:c>
      <x:c r="C571" t="str">
        <x:v>St. Thomas, USVI</x:v>
      </x:c>
      <x:c r="D571" t="str">
        <x:v>GV</x:v>
      </x:c>
      <x:c r="E571" t="str">
        <x:v>Ground Validation</x:v>
      </x:c>
      <x:c r="F571" t="str">
        <x:v>Seaviewer Drop Camera</x:v>
      </x:c>
      <x:c r="G571" t="str">
        <x:v>GV2011_202</x:v>
      </x:c>
      <x:c r="H571" s="28" t="n">
        <x:v>40643</x:v>
      </x:c>
      <x:c r="I571" t="str">
        <x:v>08:57:35</x:v>
      </x:c>
      <x:c r="J571" t="n">
        <x:v>2011</x:v>
      </x:c>
      <x:c r="K571" t="n">
        <x:v>18.25151387</x:v>
      </x:c>
      <x:c r="L571" t="n">
        <x:v>-64.93408194</x:v>
      </x:c>
      <x:c r="M571" t="n">
        <x:v>39.874</x:v>
      </x:c>
      <x:c r="N571" t="str">
        <x:v>https://nccospublicstor.blob.core.windows.net/biomapper/usviinsularshelf2017/videos/low/GV2011_202.mp4</x:v>
      </x:c>
      <x:c r="O571" t="n">
        <x:v>0</x:v>
      </x:c>
      <x:c r="P571" t="n">
        <x:v>0</x:v>
      </x:c>
      <x:c r="Q571" t="n">
        <x:v>1</x:v>
      </x:c>
      <x:c r="R571" t="n">
        <x:v>1</x:v>
      </x:c>
      <x:c r="S571" t="n">
        <x:v>0</x:v>
      </x:c>
      <x:c r="T571" t="n">
        <x:v>0</x:v>
      </x:c>
      <x:c r="U571" t="n">
        <x:v>1</x:v>
      </x:c>
      <x:c r="V571" t="n">
        <x:v>1</x:v>
      </x:c>
      <x:c r="W571" t="n">
        <x:v>0</x:v>
      </x:c>
      <x:c r="X571" t="n">
        <x:v>0</x:v>
      </x:c>
      <x:c r="Y571" t="n">
        <x:v>0</x:v>
      </x:c>
      <x:c r="Z571" t="n">
        <x:v>2</x:v>
      </x:c>
      <x:c r="AA571" t="n">
        <x:v>2</x:v>
      </x:c>
      <x:c r="AB571" t="str">
        <x:v>Pass</x:v>
      </x:c>
      <x:c r="AC571" t="str"/>
      <x:c r="AD571" t="str"/>
    </x:row>
    <x:row r="572">
      <x:c r="A572" t="str">
        <x:v>REC0571</x:v>
      </x:c>
      <x:c r="B572" t="n">
        <x:v>570</x:v>
      </x:c>
      <x:c r="C572" t="str">
        <x:v>St. Thomas, USVI</x:v>
      </x:c>
      <x:c r="D572" t="str">
        <x:v>GV</x:v>
      </x:c>
      <x:c r="E572" t="str">
        <x:v>Ground Validation</x:v>
      </x:c>
      <x:c r="F572" t="str">
        <x:v>Seaviewer Drop Camera</x:v>
      </x:c>
      <x:c r="G572" t="str">
        <x:v>GV2011_203</x:v>
      </x:c>
      <x:c r="H572" s="28" t="n">
        <x:v>40643</x:v>
      </x:c>
      <x:c r="I572" t="str">
        <x:v>09:04:10</x:v>
      </x:c>
      <x:c r="J572" t="n">
        <x:v>2011</x:v>
      </x:c>
      <x:c r="K572" t="n">
        <x:v>18.25275395</x:v>
      </x:c>
      <x:c r="L572" t="n">
        <x:v>-64.93650754</x:v>
      </x:c>
      <x:c r="M572" t="n">
        <x:v>39.629</x:v>
      </x:c>
      <x:c r="N572" t="str">
        <x:v>https://nccospublicstor.blob.core.windows.net/biomapper/usviinsularshelf2017/videos/low/GV2011_203.mp4</x:v>
      </x:c>
      <x:c r="O572" t="n">
        <x:v>0</x:v>
      </x:c>
      <x:c r="P572" t="n">
        <x:v>0</x:v>
      </x:c>
      <x:c r="Q572" t="n">
        <x:v>1</x:v>
      </x:c>
      <x:c r="R572" t="n">
        <x:v>1</x:v>
      </x:c>
      <x:c r="S572" t="n">
        <x:v>0</x:v>
      </x:c>
      <x:c r="T572" t="n">
        <x:v>0</x:v>
      </x:c>
      <x:c r="U572" t="n">
        <x:v>1</x:v>
      </x:c>
      <x:c r="V572" t="n">
        <x:v>1</x:v>
      </x:c>
      <x:c r="W572" t="n">
        <x:v>0</x:v>
      </x:c>
      <x:c r="X572" t="n">
        <x:v>1</x:v>
      </x:c>
      <x:c r="Y572" t="n">
        <x:v>0</x:v>
      </x:c>
      <x:c r="Z572" t="n">
        <x:v>2</x:v>
      </x:c>
      <x:c r="AA572" t="n">
        <x:v>2</x:v>
      </x:c>
      <x:c r="AB572" t="str">
        <x:v>Pass</x:v>
      </x:c>
      <x:c r="AC572" t="str"/>
      <x:c r="AD572" t="str">
        <x:v>Trap</x:v>
      </x:c>
    </x:row>
    <x:row r="573">
      <x:c r="A573" t="str">
        <x:v>REC0572</x:v>
      </x:c>
      <x:c r="B573" t="n">
        <x:v>571</x:v>
      </x:c>
      <x:c r="C573" t="str">
        <x:v>St. Thomas, USVI</x:v>
      </x:c>
      <x:c r="D573" t="str">
        <x:v>GV</x:v>
      </x:c>
      <x:c r="E573" t="str">
        <x:v>Ground Validation</x:v>
      </x:c>
      <x:c r="F573" t="str">
        <x:v>Seaviewer Drop Camera</x:v>
      </x:c>
      <x:c r="G573" t="str">
        <x:v>GV2011_204</x:v>
      </x:c>
      <x:c r="H573" s="28" t="n">
        <x:v>40643</x:v>
      </x:c>
      <x:c r="I573" t="str">
        <x:v>09:09:42</x:v>
      </x:c>
      <x:c r="J573" t="n">
        <x:v>2011</x:v>
      </x:c>
      <x:c r="K573" t="n">
        <x:v>18.25458513</x:v>
      </x:c>
      <x:c r="L573" t="n">
        <x:v>-64.94132647</x:v>
      </x:c>
      <x:c r="M573" t="n">
        <x:v>40.059</x:v>
      </x:c>
      <x:c r="N573" t="str">
        <x:v>https://nccospublicstor.blob.core.windows.net/biomapper/usviinsularshelf2017/videos/low/GV2011_204.mp4</x:v>
      </x:c>
      <x:c r="O573" t="n">
        <x:v>0</x:v>
      </x:c>
      <x:c r="P573" t="n">
        <x:v>0</x:v>
      </x:c>
      <x:c r="Q573" t="n">
        <x:v>0</x:v>
      </x:c>
      <x:c r="R573" t="n">
        <x:v>1</x:v>
      </x:c>
      <x:c r="S573" t="n">
        <x:v>0</x:v>
      </x:c>
      <x:c r="T573" t="n">
        <x:v>0</x:v>
      </x:c>
      <x:c r="U573" t="n">
        <x:v>1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1</x:v>
      </x:c>
      <x:c r="AA573" t="n">
        <x:v>1</x:v>
      </x:c>
      <x:c r="AB573" t="str">
        <x:v>Pass</x:v>
      </x:c>
      <x:c r="AC573" t="str"/>
      <x:c r="AD573" t="str"/>
    </x:row>
    <x:row r="574">
      <x:c r="A574" t="str">
        <x:v>REC0573</x:v>
      </x:c>
      <x:c r="B574" t="n">
        <x:v>572</x:v>
      </x:c>
      <x:c r="C574" t="str">
        <x:v>St. Thomas, USVI</x:v>
      </x:c>
      <x:c r="D574" t="str">
        <x:v>GV</x:v>
      </x:c>
      <x:c r="E574" t="str">
        <x:v>Ground Validation</x:v>
      </x:c>
      <x:c r="F574" t="str">
        <x:v>Seaviewer Drop Camera</x:v>
      </x:c>
      <x:c r="G574" t="str">
        <x:v>GV2011_205</x:v>
      </x:c>
      <x:c r="H574" s="28" t="n">
        <x:v>40643</x:v>
      </x:c>
      <x:c r="I574" t="str">
        <x:v>09:14:25</x:v>
      </x:c>
      <x:c r="J574" t="n">
        <x:v>2011</x:v>
      </x:c>
      <x:c r="K574" t="n">
        <x:v>18.2539964</x:v>
      </x:c>
      <x:c r="L574" t="n">
        <x:v>-64.94250288</x:v>
      </x:c>
      <x:c r="M574" t="n">
        <x:v>40.04</x:v>
      </x:c>
      <x:c r="N574" t="str">
        <x:v>https://nccospublicstor.blob.core.windows.net/biomapper/usviinsularshelf2017/videos/low/GV2011_205.mp4</x:v>
      </x:c>
      <x:c r="O574" t="n">
        <x:v>0</x:v>
      </x:c>
      <x:c r="P574" t="n">
        <x:v>0</x:v>
      </x:c>
      <x:c r="Q574" t="n">
        <x:v>1</x:v>
      </x:c>
      <x:c r="R574" t="n">
        <x:v>1</x:v>
      </x:c>
      <x:c r="S574" t="n">
        <x:v>0</x:v>
      </x:c>
      <x:c r="T574" t="n">
        <x:v>0</x:v>
      </x:c>
      <x:c r="U574" t="n">
        <x:v>1</x:v>
      </x:c>
      <x:c r="V574" t="n">
        <x:v>1</x:v>
      </x:c>
      <x:c r="W574" t="n">
        <x:v>0</x:v>
      </x:c>
      <x:c r="X574" t="n">
        <x:v>0</x:v>
      </x:c>
      <x:c r="Y574" t="n">
        <x:v>0</x:v>
      </x:c>
      <x:c r="Z574" t="n">
        <x:v>2</x:v>
      </x:c>
      <x:c r="AA574" t="n">
        <x:v>2</x:v>
      </x:c>
      <x:c r="AB574" t="str">
        <x:v>Pass</x:v>
      </x:c>
      <x:c r="AC574" t="str"/>
      <x:c r="AD574" t="str"/>
    </x:row>
    <x:row r="575">
      <x:c r="A575" t="str">
        <x:v>REC0574</x:v>
      </x:c>
      <x:c r="B575" t="n">
        <x:v>573</x:v>
      </x:c>
      <x:c r="C575" t="str">
        <x:v>St. Thomas, USVI</x:v>
      </x:c>
      <x:c r="D575" t="str">
        <x:v>GV</x:v>
      </x:c>
      <x:c r="E575" t="str">
        <x:v>Ground Validation</x:v>
      </x:c>
      <x:c r="F575" t="str">
        <x:v>Seaviewer Drop Camera</x:v>
      </x:c>
      <x:c r="G575" t="str">
        <x:v>GV2011_206</x:v>
      </x:c>
      <x:c r="H575" s="28" t="n">
        <x:v>40643</x:v>
      </x:c>
      <x:c r="I575" t="str">
        <x:v>09:20:55</x:v>
      </x:c>
      <x:c r="J575" t="n">
        <x:v>2011</x:v>
      </x:c>
      <x:c r="K575" t="n">
        <x:v>18.2506255</x:v>
      </x:c>
      <x:c r="L575" t="n">
        <x:v>-64.94671992</x:v>
      </x:c>
      <x:c r="M575" t="n">
        <x:v>40.014</x:v>
      </x:c>
      <x:c r="N575" t="str">
        <x:v>https://nccospublicstor.blob.core.windows.net/biomapper/usviinsularshelf2017/videos/low/GV2011_206.mp4</x:v>
      </x:c>
      <x:c r="O575" t="n">
        <x:v>0</x:v>
      </x:c>
      <x:c r="P575" t="n">
        <x:v>0</x:v>
      </x:c>
      <x:c r="Q575" t="n">
        <x:v>1</x:v>
      </x:c>
      <x:c r="R575" t="n">
        <x:v>1</x:v>
      </x:c>
      <x:c r="S575" t="n">
        <x:v>0</x:v>
      </x:c>
      <x:c r="T575" t="n">
        <x:v>0</x:v>
      </x:c>
      <x:c r="U575" t="n">
        <x:v>1</x:v>
      </x:c>
      <x:c r="V575" t="n">
        <x:v>1</x:v>
      </x:c>
      <x:c r="W575" t="n">
        <x:v>0</x:v>
      </x:c>
      <x:c r="X575" t="n">
        <x:v>0</x:v>
      </x:c>
      <x:c r="Y575" t="n">
        <x:v>0</x:v>
      </x:c>
      <x:c r="Z575" t="n">
        <x:v>2</x:v>
      </x:c>
      <x:c r="AA575" t="n">
        <x:v>2</x:v>
      </x:c>
      <x:c r="AB575" t="str">
        <x:v>Pass</x:v>
      </x:c>
      <x:c r="AC575" t="str"/>
      <x:c r="AD575" t="str"/>
    </x:row>
    <x:row r="576">
      <x:c r="A576" t="str">
        <x:v>REC0575</x:v>
      </x:c>
      <x:c r="B576" t="n">
        <x:v>574</x:v>
      </x:c>
      <x:c r="C576" t="str">
        <x:v>St. Thomas, USVI</x:v>
      </x:c>
      <x:c r="D576" t="str">
        <x:v>GV</x:v>
      </x:c>
      <x:c r="E576" t="str">
        <x:v>Ground Validation</x:v>
      </x:c>
      <x:c r="F576" t="str">
        <x:v>Seaviewer Drop Camera</x:v>
      </x:c>
      <x:c r="G576" t="str">
        <x:v>GV2011_207</x:v>
      </x:c>
      <x:c r="H576" s="28" t="n">
        <x:v>40643</x:v>
      </x:c>
      <x:c r="I576" t="str">
        <x:v>09:28:21</x:v>
      </x:c>
      <x:c r="J576" t="n">
        <x:v>2011</x:v>
      </x:c>
      <x:c r="K576" t="n">
        <x:v>18.24835856</x:v>
      </x:c>
      <x:c r="L576" t="n">
        <x:v>-64.94893151</x:v>
      </x:c>
      <x:c r="M576" t="n">
        <x:v>40.378</x:v>
      </x:c>
      <x:c r="N576" t="str">
        <x:v>https://nccospublicstor.blob.core.windows.net/biomapper/usviinsularshelf2017/videos/low/GV2011_207.mp4</x:v>
      </x:c>
      <x:c r="O576" t="n">
        <x:v>0</x:v>
      </x:c>
      <x:c r="P576" t="n">
        <x:v>0</x:v>
      </x:c>
      <x:c r="Q576" t="n">
        <x:v>1</x:v>
      </x:c>
      <x:c r="R576" t="n">
        <x:v>1</x:v>
      </x:c>
      <x:c r="S576" t="n">
        <x:v>0</x:v>
      </x:c>
      <x:c r="T576" t="n">
        <x:v>0</x:v>
      </x:c>
      <x:c r="U576" t="n">
        <x:v>1</x:v>
      </x:c>
      <x:c r="V576" t="n">
        <x:v>1</x:v>
      </x:c>
      <x:c r="W576" t="n">
        <x:v>0</x:v>
      </x:c>
      <x:c r="X576" t="n">
        <x:v>0</x:v>
      </x:c>
      <x:c r="Y576" t="n">
        <x:v>0</x:v>
      </x:c>
      <x:c r="Z576" t="n">
        <x:v>2</x:v>
      </x:c>
      <x:c r="AA576" t="n">
        <x:v>2</x:v>
      </x:c>
      <x:c r="AB576" t="str">
        <x:v>Pass</x:v>
      </x:c>
      <x:c r="AC576" t="str"/>
      <x:c r="AD576" t="str"/>
    </x:row>
    <x:row r="577">
      <x:c r="A577" t="str">
        <x:v>REC0576</x:v>
      </x:c>
      <x:c r="B577" t="n">
        <x:v>575</x:v>
      </x:c>
      <x:c r="C577" t="str">
        <x:v>St. Thomas, USVI</x:v>
      </x:c>
      <x:c r="D577" t="str">
        <x:v>GV</x:v>
      </x:c>
      <x:c r="E577" t="str">
        <x:v>Ground Validation</x:v>
      </x:c>
      <x:c r="F577" t="str">
        <x:v>Seaviewer Drop Camera</x:v>
      </x:c>
      <x:c r="G577" t="str">
        <x:v>GV2011_208</x:v>
      </x:c>
      <x:c r="H577" s="28" t="n">
        <x:v>40643</x:v>
      </x:c>
      <x:c r="I577" t="str">
        <x:v>09:38:12</x:v>
      </x:c>
      <x:c r="J577" t="n">
        <x:v>2011</x:v>
      </x:c>
      <x:c r="K577" t="n">
        <x:v>18.24732476</x:v>
      </x:c>
      <x:c r="L577" t="n">
        <x:v>-64.95009199</x:v>
      </x:c>
      <x:c r="M577" t="n">
        <x:v>40.621</x:v>
      </x:c>
      <x:c r="N577" t="str">
        <x:v>https://nccospublicstor.blob.core.windows.net/biomapper/usviinsularshelf2017/videos/low/GV2011_208.mp4</x:v>
      </x:c>
      <x:c r="O577" t="n">
        <x:v>0</x:v>
      </x:c>
      <x:c r="P577" t="n">
        <x:v>0</x:v>
      </x:c>
      <x:c r="Q577" t="n">
        <x:v>0</x:v>
      </x:c>
      <x:c r="R577" t="n">
        <x:v>1</x:v>
      </x:c>
      <x:c r="S577" t="n">
        <x:v>0</x:v>
      </x:c>
      <x:c r="T577" t="n">
        <x:v>0</x:v>
      </x:c>
      <x:c r="U577" t="n">
        <x:v>1</x:v>
      </x:c>
      <x:c r="V577" t="n">
        <x:v>1</x:v>
      </x:c>
      <x:c r="W577" t="n">
        <x:v>0</x:v>
      </x:c>
      <x:c r="X577" t="n">
        <x:v>0</x:v>
      </x:c>
      <x:c r="Y577" t="n">
        <x:v>0</x:v>
      </x:c>
      <x:c r="Z577" t="n">
        <x:v>1</x:v>
      </x:c>
      <x:c r="AA577" t="n">
        <x:v>2</x:v>
      </x:c>
      <x:c r="AB577" t="str">
        <x:v>Pass</x:v>
      </x:c>
      <x:c r="AC577" t="str"/>
      <x:c r="AD577" t="str"/>
    </x:row>
    <x:row r="578">
      <x:c r="A578" t="str">
        <x:v>REC0577</x:v>
      </x:c>
      <x:c r="B578" t="n">
        <x:v>576</x:v>
      </x:c>
      <x:c r="C578" t="str">
        <x:v>St. Thomas, USVI</x:v>
      </x:c>
      <x:c r="D578" t="str">
        <x:v>GV</x:v>
      </x:c>
      <x:c r="E578" t="str">
        <x:v>Ground Validation</x:v>
      </x:c>
      <x:c r="F578" t="str">
        <x:v>Seaviewer Drop Camera</x:v>
      </x:c>
      <x:c r="G578" t="str">
        <x:v>GV2011_209</x:v>
      </x:c>
      <x:c r="H578" s="28" t="n">
        <x:v>40643</x:v>
      </x:c>
      <x:c r="I578" t="str">
        <x:v>11:11:59</x:v>
      </x:c>
      <x:c r="J578" t="n">
        <x:v>2011</x:v>
      </x:c>
      <x:c r="K578" t="n">
        <x:v>18.24304182</x:v>
      </x:c>
      <x:c r="L578" t="n">
        <x:v>-64.95402062</x:v>
      </x:c>
      <x:c r="M578" t="n">
        <x:v>41.286</x:v>
      </x:c>
      <x:c r="N578" t="str">
        <x:v>https://nccospublicstor.blob.core.windows.net/biomapper/usviinsularshelf2017/videos/low/GV2011_209.mp4</x:v>
      </x:c>
      <x:c r="O578" t="n">
        <x:v>0</x:v>
      </x:c>
      <x:c r="P578" t="n">
        <x:v>0</x:v>
      </x:c>
      <x:c r="Q578" t="n">
        <x:v>1</x:v>
      </x:c>
      <x:c r="R578" t="n">
        <x:v>1</x:v>
      </x:c>
      <x:c r="S578" t="n">
        <x:v>0</x:v>
      </x:c>
      <x:c r="T578" t="n">
        <x:v>0</x:v>
      </x:c>
      <x:c r="U578" t="n">
        <x:v>1</x:v>
      </x:c>
      <x:c r="V578" t="n">
        <x:v>1</x:v>
      </x:c>
      <x:c r="W578" t="n">
        <x:v>0</x:v>
      </x:c>
      <x:c r="X578" t="n">
        <x:v>0</x:v>
      </x:c>
      <x:c r="Y578" t="n">
        <x:v>0</x:v>
      </x:c>
      <x:c r="Z578" t="n">
        <x:v>2</x:v>
      </x:c>
      <x:c r="AA578" t="n">
        <x:v>2</x:v>
      </x:c>
      <x:c r="AB578" t="str">
        <x:v>Pass</x:v>
      </x:c>
      <x:c r="AC578" t="str"/>
      <x:c r="AD578" t="str"/>
    </x:row>
    <x:row r="579">
      <x:c r="A579" t="str">
        <x:v>REC0578</x:v>
      </x:c>
      <x:c r="B579" t="n">
        <x:v>577</x:v>
      </x:c>
      <x:c r="C579" t="str">
        <x:v>St. Thomas, USVI</x:v>
      </x:c>
      <x:c r="D579" t="str">
        <x:v>GV</x:v>
      </x:c>
      <x:c r="E579" t="str">
        <x:v>Ground Validation</x:v>
      </x:c>
      <x:c r="F579" t="str">
        <x:v>Seaviewer Drop Camera</x:v>
      </x:c>
      <x:c r="G579" t="str">
        <x:v>GV2011_210</x:v>
      </x:c>
      <x:c r="H579" s="28" t="n">
        <x:v>40643</x:v>
      </x:c>
      <x:c r="I579" t="str">
        <x:v>11:21:25</x:v>
      </x:c>
      <x:c r="J579" t="n">
        <x:v>2011</x:v>
      </x:c>
      <x:c r="K579" t="n">
        <x:v>18.23734766</x:v>
      </x:c>
      <x:c r="L579" t="n">
        <x:v>-64.9599497</x:v>
      </x:c>
      <x:c r="M579" t="n">
        <x:v>41.386</x:v>
      </x:c>
      <x:c r="N579" t="str">
        <x:v>https://nccospublicstor.blob.core.windows.net/biomapper/usviinsularshelf2017/videos/low/GV2011_210.mp4</x:v>
      </x:c>
      <x:c r="O579" t="n">
        <x:v>0</x:v>
      </x:c>
      <x:c r="P579" t="n">
        <x:v>0</x:v>
      </x:c>
      <x:c r="Q579" t="n">
        <x:v>1</x:v>
      </x:c>
      <x:c r="R579" t="n">
        <x:v>1</x:v>
      </x:c>
      <x:c r="S579" t="n">
        <x:v>0</x:v>
      </x:c>
      <x:c r="T579" t="n">
        <x:v>0</x:v>
      </x:c>
      <x:c r="U579" t="n">
        <x:v>1</x:v>
      </x:c>
      <x:c r="V579" t="n">
        <x:v>1</x:v>
      </x:c>
      <x:c r="W579" t="n">
        <x:v>0</x:v>
      </x:c>
      <x:c r="X579" t="n">
        <x:v>0</x:v>
      </x:c>
      <x:c r="Y579" t="n">
        <x:v>0</x:v>
      </x:c>
      <x:c r="Z579" t="n">
        <x:v>2</x:v>
      </x:c>
      <x:c r="AA579" t="n">
        <x:v>2</x:v>
      </x:c>
      <x:c r="AB579" t="str">
        <x:v>Pass</x:v>
      </x:c>
      <x:c r="AC579" t="str"/>
      <x:c r="AD579" t="str"/>
    </x:row>
    <x:row r="580">
      <x:c r="A580" t="str">
        <x:v>REC0579</x:v>
      </x:c>
      <x:c r="B580" t="n">
        <x:v>578</x:v>
      </x:c>
      <x:c r="C580" t="str">
        <x:v>St. Thomas, USVI</x:v>
      </x:c>
      <x:c r="D580" t="str">
        <x:v>GV</x:v>
      </x:c>
      <x:c r="E580" t="str">
        <x:v>Ground Validation</x:v>
      </x:c>
      <x:c r="F580" t="str">
        <x:v>Seaviewer Drop Camera</x:v>
      </x:c>
      <x:c r="G580" t="str">
        <x:v>GV2011_211</x:v>
      </x:c>
      <x:c r="H580" s="28" t="n">
        <x:v>40643</x:v>
      </x:c>
      <x:c r="I580" t="str">
        <x:v>11:28:05</x:v>
      </x:c>
      <x:c r="J580" t="n">
        <x:v>2011</x:v>
      </x:c>
      <x:c r="K580" t="n">
        <x:v>18.23474565</x:v>
      </x:c>
      <x:c r="L580" t="n">
        <x:v>-64.96280215</x:v>
      </x:c>
      <x:c r="M580" t="n">
        <x:v>41.202</x:v>
      </x:c>
      <x:c r="N580" t="str">
        <x:v>https://nccospublicstor.blob.core.windows.net/biomapper/usviinsularshelf2017/videos/low/GV2011_211.mp4</x:v>
      </x:c>
      <x:c r="O580" t="n">
        <x:v>0</x:v>
      </x:c>
      <x:c r="P580" t="n">
        <x:v>0</x:v>
      </x:c>
      <x:c r="Q580" t="n">
        <x:v>1</x:v>
      </x:c>
      <x:c r="R580" t="n">
        <x:v>1</x:v>
      </x:c>
      <x:c r="S580" t="n">
        <x:v>0</x:v>
      </x:c>
      <x:c r="T580" t="n">
        <x:v>0</x:v>
      </x:c>
      <x:c r="U580" t="n">
        <x:v>1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2</x:v>
      </x:c>
      <x:c r="AA580" t="n">
        <x:v>1</x:v>
      </x:c>
      <x:c r="AB580" t="str">
        <x:v>Pass</x:v>
      </x:c>
      <x:c r="AC580" t="str"/>
      <x:c r="AD580" t="str"/>
    </x:row>
    <x:row r="581">
      <x:c r="A581" t="str">
        <x:v>REC0580</x:v>
      </x:c>
      <x:c r="B581" t="n">
        <x:v>579</x:v>
      </x:c>
      <x:c r="C581" t="str">
        <x:v>St. Thomas, USVI</x:v>
      </x:c>
      <x:c r="D581" t="str">
        <x:v>GV</x:v>
      </x:c>
      <x:c r="E581" t="str">
        <x:v>Ground Validation</x:v>
      </x:c>
      <x:c r="F581" t="str">
        <x:v>Seaviewer Drop Camera</x:v>
      </x:c>
      <x:c r="G581" t="str">
        <x:v>GV2011_212</x:v>
      </x:c>
      <x:c r="H581" s="28" t="n">
        <x:v>40643</x:v>
      </x:c>
      <x:c r="I581" t="str">
        <x:v>11:39:56</x:v>
      </x:c>
      <x:c r="J581" t="n">
        <x:v>2011</x:v>
      </x:c>
      <x:c r="K581" t="n">
        <x:v>18.23020697</x:v>
      </x:c>
      <x:c r="L581" t="n">
        <x:v>-64.96788733</x:v>
      </x:c>
      <x:c r="M581" t="n">
        <x:v>41.671</x:v>
      </x:c>
      <x:c r="N581" t="str">
        <x:v>https://nccospublicstor.blob.core.windows.net/biomapper/usviinsularshelf2017/videos/low/GV2011_212.mp4</x:v>
      </x:c>
      <x:c r="O581" t="n">
        <x:v>0</x:v>
      </x:c>
      <x:c r="P581" t="n">
        <x:v>0</x:v>
      </x:c>
      <x:c r="Q581" t="n">
        <x:v>1</x:v>
      </x:c>
      <x:c r="R581" t="n">
        <x:v>1</x:v>
      </x:c>
      <x:c r="S581" t="n">
        <x:v>0</x:v>
      </x:c>
      <x:c r="T581" t="n">
        <x:v>0</x:v>
      </x:c>
      <x:c r="U581" t="n">
        <x:v>1</x:v>
      </x:c>
      <x:c r="V581" t="n">
        <x:v>1</x:v>
      </x:c>
      <x:c r="W581" t="n">
        <x:v>0</x:v>
      </x:c>
      <x:c r="X581" t="n">
        <x:v>0</x:v>
      </x:c>
      <x:c r="Y581" t="n">
        <x:v>0</x:v>
      </x:c>
      <x:c r="Z581" t="n">
        <x:v>2</x:v>
      </x:c>
      <x:c r="AA581" t="n">
        <x:v>2</x:v>
      </x:c>
      <x:c r="AB581" t="str">
        <x:v>Pass</x:v>
      </x:c>
      <x:c r="AC581" t="str"/>
      <x:c r="AD581" t="str"/>
    </x:row>
    <x:row r="582">
      <x:c r="A582" t="str">
        <x:v>REC0581</x:v>
      </x:c>
      <x:c r="B582" t="n">
        <x:v>580</x:v>
      </x:c>
      <x:c r="C582" t="str">
        <x:v>St. Thomas, USVI</x:v>
      </x:c>
      <x:c r="D582" t="str">
        <x:v>GV</x:v>
      </x:c>
      <x:c r="E582" t="str">
        <x:v>Ground Validation</x:v>
      </x:c>
      <x:c r="F582" t="str">
        <x:v>Seaviewer Drop Camera</x:v>
      </x:c>
      <x:c r="G582" t="str">
        <x:v>GV2011_213</x:v>
      </x:c>
      <x:c r="H582" s="28" t="n">
        <x:v>40643</x:v>
      </x:c>
      <x:c r="I582" t="str">
        <x:v>11:46:55</x:v>
      </x:c>
      <x:c r="J582" t="n">
        <x:v>2011</x:v>
      </x:c>
      <x:c r="K582" t="n">
        <x:v>18.22667042</x:v>
      </x:c>
      <x:c r="L582" t="n">
        <x:v>-64.97069119</x:v>
      </x:c>
      <x:c r="M582" t="n">
        <x:v>41.224</x:v>
      </x:c>
      <x:c r="N582" t="str">
        <x:v>https://nccospublicstor.blob.core.windows.net/biomapper/usviinsularshelf2017/videos/low/GV2011_213.mp4</x:v>
      </x:c>
      <x:c r="O582" t="n">
        <x:v>0</x:v>
      </x:c>
      <x:c r="P582" t="n">
        <x:v>0</x:v>
      </x:c>
      <x:c r="Q582" t="n">
        <x:v>0</x:v>
      </x:c>
      <x:c r="R582" t="n">
        <x:v>1</x:v>
      </x:c>
      <x:c r="S582" t="n">
        <x:v>0</x:v>
      </x:c>
      <x:c r="T582" t="n">
        <x:v>0</x:v>
      </x:c>
      <x:c r="U582" t="n">
        <x:v>1</x:v>
      </x:c>
      <x:c r="V582" t="n">
        <x:v>1</x:v>
      </x:c>
      <x:c r="W582" t="n">
        <x:v>0</x:v>
      </x:c>
      <x:c r="X582" t="n">
        <x:v>0</x:v>
      </x:c>
      <x:c r="Y582" t="n">
        <x:v>0</x:v>
      </x:c>
      <x:c r="Z582" t="n">
        <x:v>1</x:v>
      </x:c>
      <x:c r="AA582" t="n">
        <x:v>2</x:v>
      </x:c>
      <x:c r="AB582" t="str">
        <x:v>Pass</x:v>
      </x:c>
      <x:c r="AC582" t="str"/>
      <x:c r="AD582" t="str">
        <x:v>School of Grunt</x:v>
      </x:c>
    </x:row>
    <x:row r="583">
      <x:c r="A583" t="str">
        <x:v>REC0582</x:v>
      </x:c>
      <x:c r="B583" t="n">
        <x:v>581</x:v>
      </x:c>
      <x:c r="C583" t="str">
        <x:v>St. Thomas, USVI</x:v>
      </x:c>
      <x:c r="D583" t="str">
        <x:v>GV</x:v>
      </x:c>
      <x:c r="E583" t="str">
        <x:v>Ground Validation</x:v>
      </x:c>
      <x:c r="F583" t="str">
        <x:v>Seaviewer Drop Camera</x:v>
      </x:c>
      <x:c r="G583" t="str">
        <x:v>GV2011_214</x:v>
      </x:c>
      <x:c r="H583" s="28" t="n">
        <x:v>40643</x:v>
      </x:c>
      <x:c r="I583" t="str">
        <x:v>11:52:37</x:v>
      </x:c>
      <x:c r="J583" t="n">
        <x:v>2011</x:v>
      </x:c>
      <x:c r="K583" t="n">
        <x:v>18.22976093</x:v>
      </x:c>
      <x:c r="L583" t="n">
        <x:v>-64.97157919</x:v>
      </x:c>
      <x:c r="M583" t="n">
        <x:v>41.153</x:v>
      </x:c>
      <x:c r="N583" t="str">
        <x:v>https://nccospublicstor.blob.core.windows.net/biomapper/usviinsularshelf2017/videos/low/GV2011_214.mp4</x:v>
      </x:c>
      <x:c r="O583" t="n">
        <x:v>0</x:v>
      </x:c>
      <x:c r="P583" t="n">
        <x:v>0</x:v>
      </x:c>
      <x:c r="Q583" t="n">
        <x:v>1</x:v>
      </x:c>
      <x:c r="R583" t="n">
        <x:v>1</x:v>
      </x:c>
      <x:c r="S583" t="n">
        <x:v>0</x:v>
      </x:c>
      <x:c r="T583" t="n">
        <x:v>0</x:v>
      </x:c>
      <x:c r="U583" t="n">
        <x:v>1</x:v>
      </x:c>
      <x:c r="V583" t="n">
        <x:v>1</x:v>
      </x:c>
      <x:c r="W583" t="n">
        <x:v>0</x:v>
      </x:c>
      <x:c r="X583" t="n">
        <x:v>0</x:v>
      </x:c>
      <x:c r="Y583" t="n">
        <x:v>0</x:v>
      </x:c>
      <x:c r="Z583" t="n">
        <x:v>2</x:v>
      </x:c>
      <x:c r="AA583" t="n">
        <x:v>2</x:v>
      </x:c>
      <x:c r="AB583" t="str">
        <x:v>Pass</x:v>
      </x:c>
      <x:c r="AC583" t="str"/>
      <x:c r="AD583" t="str"/>
    </x:row>
    <x:row r="584">
      <x:c r="A584" t="str">
        <x:v>REC0583</x:v>
      </x:c>
      <x:c r="B584" t="n">
        <x:v>582</x:v>
      </x:c>
      <x:c r="C584" t="str">
        <x:v>St. Thomas, USVI</x:v>
      </x:c>
      <x:c r="D584" t="str">
        <x:v>GV</x:v>
      </x:c>
      <x:c r="E584" t="str">
        <x:v>Ground Validation</x:v>
      </x:c>
      <x:c r="F584" t="str">
        <x:v>Seaviewer Drop Camera</x:v>
      </x:c>
      <x:c r="G584" t="str">
        <x:v>GV2011_215</x:v>
      </x:c>
      <x:c r="H584" s="28" t="n">
        <x:v>40643</x:v>
      </x:c>
      <x:c r="I584" t="str">
        <x:v>11:57:36</x:v>
      </x:c>
      <x:c r="J584" t="n">
        <x:v>2011</x:v>
      </x:c>
      <x:c r="K584" t="n">
        <x:v>18.23209088</x:v>
      </x:c>
      <x:c r="L584" t="n">
        <x:v>-64.97253208</x:v>
      </x:c>
      <x:c r="M584" t="n">
        <x:v>40.472</x:v>
      </x:c>
      <x:c r="N584" t="str">
        <x:v>https://nccospublicstor.blob.core.windows.net/biomapper/usviinsularshelf2017/videos/low/GV2011_215.mp4</x:v>
      </x:c>
      <x:c r="O584" t="n">
        <x:v>0</x:v>
      </x:c>
      <x:c r="P584" t="n">
        <x:v>0</x:v>
      </x:c>
      <x:c r="Q584" t="n">
        <x:v>1</x:v>
      </x:c>
      <x:c r="R584" t="n">
        <x:v>0</x:v>
      </x:c>
      <x:c r="S584" t="n">
        <x:v>0</x:v>
      </x:c>
      <x:c r="T584" t="n">
        <x:v>0</x:v>
      </x:c>
      <x:c r="U584" t="n">
        <x:v>1</x:v>
      </x:c>
      <x:c r="V584" t="n">
        <x:v>1</x:v>
      </x:c>
      <x:c r="W584" t="n">
        <x:v>0</x:v>
      </x:c>
      <x:c r="X584" t="n">
        <x:v>0</x:v>
      </x:c>
      <x:c r="Y584" t="n">
        <x:v>0</x:v>
      </x:c>
      <x:c r="Z584" t="n">
        <x:v>1</x:v>
      </x:c>
      <x:c r="AA584" t="n">
        <x:v>2</x:v>
      </x:c>
      <x:c r="AB584" t="str">
        <x:v>Pass</x:v>
      </x:c>
      <x:c r="AC584" t="str"/>
      <x:c r="AD584" t="str"/>
    </x:row>
    <x:row r="585">
      <x:c r="A585" t="str">
        <x:v>REC0584</x:v>
      </x:c>
      <x:c r="B585" t="n">
        <x:v>583</x:v>
      </x:c>
      <x:c r="C585" t="str">
        <x:v>St. Thomas, USVI</x:v>
      </x:c>
      <x:c r="D585" t="str">
        <x:v>GV</x:v>
      </x:c>
      <x:c r="E585" t="str">
        <x:v>Ground Validation</x:v>
      </x:c>
      <x:c r="F585" t="str">
        <x:v>Seaviewer Drop Camera</x:v>
      </x:c>
      <x:c r="G585" t="str">
        <x:v>GV2011_216</x:v>
      </x:c>
      <x:c r="H585" s="28" t="n">
        <x:v>40643</x:v>
      </x:c>
      <x:c r="I585" t="str">
        <x:v>12:03:53</x:v>
      </x:c>
      <x:c r="J585" t="n">
        <x:v>2011</x:v>
      </x:c>
      <x:c r="K585" t="n">
        <x:v>18.23505398</x:v>
      </x:c>
      <x:c r="L585" t="n">
        <x:v>-64.9739504</x:v>
      </x:c>
      <x:c r="M585" t="n">
        <x:v>40.224</x:v>
      </x:c>
      <x:c r="N585" t="str">
        <x:v>https://nccospublicstor.blob.core.windows.net/biomapper/usviinsularshelf2017/videos/low/GV2011_216.mp4</x:v>
      </x:c>
      <x:c r="O585" t="n">
        <x:v>0</x:v>
      </x:c>
      <x:c r="P585" t="n">
        <x:v>0</x:v>
      </x:c>
      <x:c r="Q585" t="n">
        <x:v>1</x:v>
      </x:c>
      <x:c r="R585" t="n">
        <x:v>1</x:v>
      </x:c>
      <x:c r="S585" t="n">
        <x:v>0</x:v>
      </x:c>
      <x:c r="T585" t="n">
        <x:v>0</x:v>
      </x:c>
      <x:c r="U585" t="n">
        <x:v>1</x:v>
      </x:c>
      <x:c r="V585" t="n">
        <x:v>1</x:v>
      </x:c>
      <x:c r="W585" t="n">
        <x:v>0</x:v>
      </x:c>
      <x:c r="X585" t="n">
        <x:v>0</x:v>
      </x:c>
      <x:c r="Y585" t="n">
        <x:v>0</x:v>
      </x:c>
      <x:c r="Z585" t="n">
        <x:v>2</x:v>
      </x:c>
      <x:c r="AA585" t="n">
        <x:v>2</x:v>
      </x:c>
      <x:c r="AB585" t="str">
        <x:v>Pass</x:v>
      </x:c>
      <x:c r="AC585" t="str"/>
      <x:c r="AD585" t="str"/>
    </x:row>
    <x:row r="586">
      <x:c r="A586" t="str">
        <x:v>REC0585</x:v>
      </x:c>
      <x:c r="B586" t="n">
        <x:v>584</x:v>
      </x:c>
      <x:c r="C586" t="str">
        <x:v>St. Thomas, USVI</x:v>
      </x:c>
      <x:c r="D586" t="str">
        <x:v>GV</x:v>
      </x:c>
      <x:c r="E586" t="str">
        <x:v>Ground Validation</x:v>
      </x:c>
      <x:c r="F586" t="str">
        <x:v>Seaviewer Drop Camera</x:v>
      </x:c>
      <x:c r="G586" t="str">
        <x:v>GV2011_217</x:v>
      </x:c>
      <x:c r="H586" s="28" t="n">
        <x:v>40643</x:v>
      </x:c>
      <x:c r="I586" t="str">
        <x:v>12:10:43</x:v>
      </x:c>
      <x:c r="J586" t="n">
        <x:v>2011</x:v>
      </x:c>
      <x:c r="K586" t="n">
        <x:v>18.23829137</x:v>
      </x:c>
      <x:c r="L586" t="n">
        <x:v>-64.97521439</x:v>
      </x:c>
      <x:c r="M586" t="n">
        <x:v>39.364</x:v>
      </x:c>
      <x:c r="N586" t="str">
        <x:v>https://nccospublicstor.blob.core.windows.net/biomapper/usviinsularshelf2017/videos/low/GV2011_217.mp4</x:v>
      </x:c>
      <x:c r="O586" t="n">
        <x:v>0</x:v>
      </x:c>
      <x:c r="P586" t="n">
        <x:v>1</x:v>
      </x:c>
      <x:c r="Q586" t="n">
        <x:v>0</x:v>
      </x:c>
      <x:c r="R586" t="n">
        <x:v>0</x:v>
      </x:c>
      <x:c r="S586" t="n">
        <x:v>1</x:v>
      </x:c>
      <x:c r="T586" t="n">
        <x:v>1</x:v>
      </x:c>
      <x:c r="U586" t="n">
        <x:v>1</x:v>
      </x:c>
      <x:c r="V586" t="n">
        <x:v>1</x:v>
      </x:c>
      <x:c r="W586" t="n">
        <x:v>0</x:v>
      </x:c>
      <x:c r="X586" t="n">
        <x:v>0</x:v>
      </x:c>
      <x:c r="Y586" t="n">
        <x:v>0</x:v>
      </x:c>
      <x:c r="Z586" t="n">
        <x:v>1</x:v>
      </x:c>
      <x:c r="AA586" t="n">
        <x:v>4</x:v>
      </x:c>
      <x:c r="AB586" t="str">
        <x:v>Pass</x:v>
      </x:c>
      <x:c r="AC586" t="str"/>
      <x:c r="AD586" t="str"/>
    </x:row>
    <x:row r="587">
      <x:c r="A587" t="str">
        <x:v>REC0586</x:v>
      </x:c>
      <x:c r="B587" t="n">
        <x:v>585</x:v>
      </x:c>
      <x:c r="C587" t="str">
        <x:v>St. Thomas, USVI</x:v>
      </x:c>
      <x:c r="D587" t="str">
        <x:v>GV</x:v>
      </x:c>
      <x:c r="E587" t="str">
        <x:v>Ground Validation</x:v>
      </x:c>
      <x:c r="F587" t="str">
        <x:v>Seaviewer Drop Camera</x:v>
      </x:c>
      <x:c r="G587" t="str">
        <x:v>GV2011_218</x:v>
      </x:c>
      <x:c r="H587" s="28" t="n">
        <x:v>40643</x:v>
      </x:c>
      <x:c r="I587" t="str">
        <x:v>12:16:45</x:v>
      </x:c>
      <x:c r="J587" t="n">
        <x:v>2011</x:v>
      </x:c>
      <x:c r="K587" t="n">
        <x:v>18.24001868</x:v>
      </x:c>
      <x:c r="L587" t="n">
        <x:v>-64.97614008</x:v>
      </x:c>
      <x:c r="M587" t="n">
        <x:v>39.854</x:v>
      </x:c>
      <x:c r="N587" t="str">
        <x:v>https://nccospublicstor.blob.core.windows.net/biomapper/usviinsularshelf2017/videos/low/GV2011_218.mp4</x:v>
      </x:c>
      <x:c r="O587" t="n">
        <x:v>0</x:v>
      </x:c>
      <x:c r="P587" t="n">
        <x:v>0</x:v>
      </x:c>
      <x:c r="Q587" t="n">
        <x:v>1</x:v>
      </x:c>
      <x:c r="R587" t="n">
        <x:v>1</x:v>
      </x:c>
      <x:c r="S587" t="n">
        <x:v>0</x:v>
      </x:c>
      <x:c r="T587" t="n">
        <x:v>0</x:v>
      </x:c>
      <x:c r="U587" t="n">
        <x:v>1</x:v>
      </x:c>
      <x:c r="V587" t="n">
        <x:v>1</x:v>
      </x:c>
      <x:c r="W587" t="n">
        <x:v>0</x:v>
      </x:c>
      <x:c r="X587" t="n">
        <x:v>0</x:v>
      </x:c>
      <x:c r="Y587" t="n">
        <x:v>0</x:v>
      </x:c>
      <x:c r="Z587" t="n">
        <x:v>2</x:v>
      </x:c>
      <x:c r="AA587" t="n">
        <x:v>2</x:v>
      </x:c>
      <x:c r="AB587" t="str">
        <x:v>Pass</x:v>
      </x:c>
      <x:c r="AC587" t="str"/>
      <x:c r="AD587" t="str"/>
    </x:row>
    <x:row r="588">
      <x:c r="A588" t="str">
        <x:v>REC0587</x:v>
      </x:c>
      <x:c r="B588" t="n">
        <x:v>586</x:v>
      </x:c>
      <x:c r="C588" t="str">
        <x:v>St. Thomas, USVI</x:v>
      </x:c>
      <x:c r="D588" t="str">
        <x:v>GV</x:v>
      </x:c>
      <x:c r="E588" t="str">
        <x:v>Ground Validation</x:v>
      </x:c>
      <x:c r="F588" t="str">
        <x:v>Seaviewer Drop Camera</x:v>
      </x:c>
      <x:c r="G588" t="str">
        <x:v>GV2011_219</x:v>
      </x:c>
      <x:c r="H588" s="28" t="n">
        <x:v>40643</x:v>
      </x:c>
      <x:c r="I588" t="str">
        <x:v>12:24:36</x:v>
      </x:c>
      <x:c r="J588" t="n">
        <x:v>2011</x:v>
      </x:c>
      <x:c r="K588" t="n">
        <x:v>18.24506972</x:v>
      </x:c>
      <x:c r="L588" t="n">
        <x:v>-64.97988656</x:v>
      </x:c>
      <x:c r="M588" t="n">
        <x:v>40.743</x:v>
      </x:c>
      <x:c r="N588" t="str">
        <x:v>https://nccospublicstor.blob.core.windows.net/biomapper/usviinsularshelf2017/videos/low/GV2011_219.mp4</x:v>
      </x:c>
      <x:c r="O588" t="n">
        <x:v>0</x:v>
      </x:c>
      <x:c r="P588" t="n">
        <x:v>0</x:v>
      </x:c>
      <x:c r="Q588" t="n">
        <x:v>1</x:v>
      </x:c>
      <x:c r="R588" t="n">
        <x:v>1</x:v>
      </x:c>
      <x:c r="S588" t="n">
        <x:v>0</x:v>
      </x:c>
      <x:c r="T588" t="n">
        <x:v>0</x:v>
      </x:c>
      <x:c r="U588" t="n">
        <x:v>1</x:v>
      </x:c>
      <x:c r="V588" t="n">
        <x:v>1</x:v>
      </x:c>
      <x:c r="W588" t="n">
        <x:v>0</x:v>
      </x:c>
      <x:c r="X588" t="n">
        <x:v>0</x:v>
      </x:c>
      <x:c r="Y588" t="n">
        <x:v>0</x:v>
      </x:c>
      <x:c r="Z588" t="n">
        <x:v>2</x:v>
      </x:c>
      <x:c r="AA588" t="n">
        <x:v>2</x:v>
      </x:c>
      <x:c r="AB588" t="str">
        <x:v>Pass</x:v>
      </x:c>
      <x:c r="AC588" t="str"/>
      <x:c r="AD588" t="str"/>
    </x:row>
    <x:row r="589">
      <x:c r="A589" t="str">
        <x:v>REC0588</x:v>
      </x:c>
      <x:c r="B589" t="n">
        <x:v>587</x:v>
      </x:c>
      <x:c r="C589" t="str">
        <x:v>St. Thomas, USVI</x:v>
      </x:c>
      <x:c r="D589" t="str">
        <x:v>GV</x:v>
      </x:c>
      <x:c r="E589" t="str">
        <x:v>Ground Validation</x:v>
      </x:c>
      <x:c r="F589" t="str">
        <x:v>Seaviewer Drop Camera</x:v>
      </x:c>
      <x:c r="G589" t="str">
        <x:v>GV2011_220</x:v>
      </x:c>
      <x:c r="H589" s="28" t="n">
        <x:v>40643</x:v>
      </x:c>
      <x:c r="I589" t="str">
        <x:v>13:18:40</x:v>
      </x:c>
      <x:c r="J589" t="n">
        <x:v>2011</x:v>
      </x:c>
      <x:c r="K589" t="n">
        <x:v>18.23067896</x:v>
      </x:c>
      <x:c r="L589" t="n">
        <x:v>-64.99751885</x:v>
      </x:c>
      <x:c r="M589" t="n">
        <x:v>41.615</x:v>
      </x:c>
      <x:c r="N589" t="str">
        <x:v>https://nccospublicstor.blob.core.windows.net/biomapper/usviinsularshelf2017/videos/low/GV2011_220.mp4</x:v>
      </x:c>
      <x:c r="O589" t="n">
        <x:v>0</x:v>
      </x:c>
      <x:c r="P589" t="n">
        <x:v>0</x:v>
      </x:c>
      <x:c r="Q589" t="n">
        <x:v>1</x:v>
      </x:c>
      <x:c r="R589" t="n">
        <x:v>1</x:v>
      </x:c>
      <x:c r="S589" t="n">
        <x:v>0</x:v>
      </x:c>
      <x:c r="T589" t="n">
        <x:v>0</x:v>
      </x:c>
      <x:c r="U589" t="n">
        <x:v>1</x:v>
      </x:c>
      <x:c r="V589" t="n">
        <x:v>1</x:v>
      </x:c>
      <x:c r="W589" t="n">
        <x:v>0</x:v>
      </x:c>
      <x:c r="X589" t="n">
        <x:v>0</x:v>
      </x:c>
      <x:c r="Y589" t="n">
        <x:v>0</x:v>
      </x:c>
      <x:c r="Z589" t="n">
        <x:v>2</x:v>
      </x:c>
      <x:c r="AA589" t="n">
        <x:v>2</x:v>
      </x:c>
      <x:c r="AB589" t="str">
        <x:v>Pass</x:v>
      </x:c>
      <x:c r="AC589" t="str"/>
      <x:c r="AD589" t="str"/>
    </x:row>
    <x:row r="590">
      <x:c r="A590" t="str">
        <x:v>REC0589</x:v>
      </x:c>
      <x:c r="B590" t="n">
        <x:v>588</x:v>
      </x:c>
      <x:c r="C590" t="str">
        <x:v>St. Thomas, USVI</x:v>
      </x:c>
      <x:c r="D590" t="str">
        <x:v>GV</x:v>
      </x:c>
      <x:c r="E590" t="str">
        <x:v>Ground Validation</x:v>
      </x:c>
      <x:c r="F590" t="str">
        <x:v>Seaviewer Drop Camera</x:v>
      </x:c>
      <x:c r="G590" t="str">
        <x:v>GV2011_221</x:v>
      </x:c>
      <x:c r="H590" s="28" t="n">
        <x:v>40643</x:v>
      </x:c>
      <x:c r="I590" t="str">
        <x:v>13:26:18</x:v>
      </x:c>
      <x:c r="J590" t="n">
        <x:v>2011</x:v>
      </x:c>
      <x:c r="K590" t="n">
        <x:v>18.2361526</x:v>
      </x:c>
      <x:c r="L590" t="n">
        <x:v>-65.00080402</x:v>
      </x:c>
      <x:c r="M590" t="n">
        <x:v>40.248</x:v>
      </x:c>
      <x:c r="N590" t="str">
        <x:v>https://nccospublicstor.blob.core.windows.net/biomapper/usviinsularshelf2017/videos/low/GV2011_221.mp4</x:v>
      </x:c>
      <x:c r="O590" t="n">
        <x:v>0</x:v>
      </x:c>
      <x:c r="P590" t="n">
        <x:v>0</x:v>
      </x:c>
      <x:c r="Q590" t="n">
        <x:v>1</x:v>
      </x:c>
      <x:c r="R590" t="n">
        <x:v>1</x:v>
      </x:c>
      <x:c r="S590" t="n">
        <x:v>0</x:v>
      </x:c>
      <x:c r="T590" t="n">
        <x:v>0</x:v>
      </x:c>
      <x:c r="U590" t="n">
        <x:v>1</x:v>
      </x:c>
      <x:c r="V590" t="n">
        <x:v>1</x:v>
      </x:c>
      <x:c r="W590" t="n">
        <x:v>0</x:v>
      </x:c>
      <x:c r="X590" t="n">
        <x:v>0</x:v>
      </x:c>
      <x:c r="Y590" t="n">
        <x:v>0</x:v>
      </x:c>
      <x:c r="Z590" t="n">
        <x:v>2</x:v>
      </x:c>
      <x:c r="AA590" t="n">
        <x:v>2</x:v>
      </x:c>
      <x:c r="AB590" t="str">
        <x:v>Pass</x:v>
      </x:c>
      <x:c r="AC590" t="str"/>
      <x:c r="AD590" t="str">
        <x:v>Almaco Jack</x:v>
      </x:c>
    </x:row>
    <x:row r="591">
      <x:c r="A591" t="str">
        <x:v>REC0590</x:v>
      </x:c>
      <x:c r="B591" t="n">
        <x:v>589</x:v>
      </x:c>
      <x:c r="C591" t="str">
        <x:v>St. Thomas, USVI</x:v>
      </x:c>
      <x:c r="D591" t="str">
        <x:v>GV</x:v>
      </x:c>
      <x:c r="E591" t="str">
        <x:v>Ground Validation</x:v>
      </x:c>
      <x:c r="F591" t="str">
        <x:v>Seaviewer Drop Camera</x:v>
      </x:c>
      <x:c r="G591" t="str">
        <x:v>GV2011_222</x:v>
      </x:c>
      <x:c r="H591" s="28" t="n">
        <x:v>40643</x:v>
      </x:c>
      <x:c r="I591" t="str">
        <x:v>13:33:02</x:v>
      </x:c>
      <x:c r="J591" t="n">
        <x:v>2011</x:v>
      </x:c>
      <x:c r="K591" t="n">
        <x:v>18.23993976</x:v>
      </x:c>
      <x:c r="L591" t="n">
        <x:v>-65.00328369</x:v>
      </x:c>
      <x:c r="M591" t="n">
        <x:v>40.89</x:v>
      </x:c>
      <x:c r="N591" t="str">
        <x:v>https://nccospublicstor.blob.core.windows.net/biomapper/usviinsularshelf2017/videos/low/GV2011_222.mp4</x:v>
      </x:c>
      <x:c r="O591" t="n">
        <x:v>0</x:v>
      </x:c>
      <x:c r="P591" t="n">
        <x:v>0</x:v>
      </x:c>
      <x:c r="Q591" t="n">
        <x:v>0</x:v>
      </x:c>
      <x:c r="R591" t="n">
        <x:v>1</x:v>
      </x:c>
      <x:c r="S591" t="n">
        <x:v>0</x:v>
      </x:c>
      <x:c r="T591" t="n">
        <x:v>0</x:v>
      </x:c>
      <x:c r="U591" t="n">
        <x:v>1</x:v>
      </x:c>
      <x:c r="V591" t="n">
        <x:v>1</x:v>
      </x:c>
      <x:c r="W591" t="n">
        <x:v>0</x:v>
      </x:c>
      <x:c r="X591" t="n">
        <x:v>0</x:v>
      </x:c>
      <x:c r="Y591" t="n">
        <x:v>0</x:v>
      </x:c>
      <x:c r="Z591" t="n">
        <x:v>1</x:v>
      </x:c>
      <x:c r="AA591" t="n">
        <x:v>2</x:v>
      </x:c>
      <x:c r="AB591" t="str">
        <x:v>Pass</x:v>
      </x:c>
      <x:c r="AC591" t="str"/>
      <x:c r="AD591" t="str"/>
    </x:row>
    <x:row r="592">
      <x:c r="A592" t="str">
        <x:v>REC0591</x:v>
      </x:c>
      <x:c r="B592" t="n">
        <x:v>590</x:v>
      </x:c>
      <x:c r="C592" t="str">
        <x:v>St. Thomas, USVI</x:v>
      </x:c>
      <x:c r="D592" t="str">
        <x:v>GV</x:v>
      </x:c>
      <x:c r="E592" t="str">
        <x:v>Ground Validation</x:v>
      </x:c>
      <x:c r="F592" t="str">
        <x:v>Seaviewer Drop Camera</x:v>
      </x:c>
      <x:c r="G592" t="str">
        <x:v>GV2011_223</x:v>
      </x:c>
      <x:c r="H592" s="28" t="n">
        <x:v>40643</x:v>
      </x:c>
      <x:c r="I592" t="str">
        <x:v>13:54:08</x:v>
      </x:c>
      <x:c r="J592" t="n">
        <x:v>2011</x:v>
      </x:c>
      <x:c r="K592" t="n">
        <x:v>18.24970792</x:v>
      </x:c>
      <x:c r="L592" t="n">
        <x:v>-65.00982482</x:v>
      </x:c>
      <x:c r="M592" t="n">
        <x:v>39.696</x:v>
      </x:c>
      <x:c r="N592" t="str">
        <x:v>https://nccospublicstor.blob.core.windows.net/biomapper/usviinsularshelf2017/videos/low/GV2011_223.mp4</x:v>
      </x:c>
      <x:c r="O592" t="n">
        <x:v>0</x:v>
      </x:c>
      <x:c r="P592" t="n">
        <x:v>0</x:v>
      </x:c>
      <x:c r="Q592" t="n">
        <x:v>1</x:v>
      </x:c>
      <x:c r="R592" t="n">
        <x:v>1</x:v>
      </x:c>
      <x:c r="S592" t="n">
        <x:v>0</x:v>
      </x:c>
      <x:c r="T592" t="n">
        <x:v>0</x:v>
      </x:c>
      <x:c r="U592" t="n">
        <x:v>1</x:v>
      </x:c>
      <x:c r="V592" t="n">
        <x:v>1</x:v>
      </x:c>
      <x:c r="W592" t="n">
        <x:v>0</x:v>
      </x:c>
      <x:c r="X592" t="n">
        <x:v>0</x:v>
      </x:c>
      <x:c r="Y592" t="n">
        <x:v>0</x:v>
      </x:c>
      <x:c r="Z592" t="n">
        <x:v>2</x:v>
      </x:c>
      <x:c r="AA592" t="n">
        <x:v>2</x:v>
      </x:c>
      <x:c r="AB592" t="str">
        <x:v>Pass</x:v>
      </x:c>
      <x:c r="AC592" t="str"/>
      <x:c r="AD592" t="str"/>
    </x:row>
    <x:row r="593">
      <x:c r="A593" t="str">
        <x:v>REC0592</x:v>
      </x:c>
      <x:c r="B593" t="n">
        <x:v>591</x:v>
      </x:c>
      <x:c r="C593" t="str">
        <x:v>St. Thomas, USVI</x:v>
      </x:c>
      <x:c r="D593" t="str">
        <x:v>GV</x:v>
      </x:c>
      <x:c r="E593" t="str">
        <x:v>Ground Validation</x:v>
      </x:c>
      <x:c r="F593" t="str">
        <x:v>Seaviewer Drop Camera</x:v>
      </x:c>
      <x:c r="G593" t="str">
        <x:v>GV2011_224</x:v>
      </x:c>
      <x:c r="H593" s="28" t="n">
        <x:v>40643</x:v>
      </x:c>
      <x:c r="I593" t="str">
        <x:v>13:39:40</x:v>
      </x:c>
      <x:c r="J593" t="n">
        <x:v>2011</x:v>
      </x:c>
      <x:c r="K593" t="n">
        <x:v>18.24400899</x:v>
      </x:c>
      <x:c r="L593" t="n">
        <x:v>-65.00510667</x:v>
      </x:c>
      <x:c r="M593" t="n">
        <x:v>40.289</x:v>
      </x:c>
      <x:c r="N593" t="str">
        <x:v>https://nccospublicstor.blob.core.windows.net/biomapper/usviinsularshelf2017/videos/low/GV2011_224.mp4</x:v>
      </x:c>
      <x:c r="O593" t="n">
        <x:v>0</x:v>
      </x:c>
      <x:c r="P593" t="n">
        <x:v>0</x:v>
      </x:c>
      <x:c r="Q593" t="n">
        <x:v>1</x:v>
      </x:c>
      <x:c r="R593" t="n">
        <x:v>1</x:v>
      </x:c>
      <x:c r="S593" t="n">
        <x:v>0</x:v>
      </x:c>
      <x:c r="T593" t="n">
        <x:v>0</x:v>
      </x:c>
      <x:c r="U593" t="n">
        <x:v>1</x:v>
      </x:c>
      <x:c r="V593" t="n">
        <x:v>1</x:v>
      </x:c>
      <x:c r="W593" t="n">
        <x:v>0</x:v>
      </x:c>
      <x:c r="X593" t="n">
        <x:v>0</x:v>
      </x:c>
      <x:c r="Y593" t="n">
        <x:v>0</x:v>
      </x:c>
      <x:c r="Z593" t="n">
        <x:v>2</x:v>
      </x:c>
      <x:c r="AA593" t="n">
        <x:v>2</x:v>
      </x:c>
      <x:c r="AB593" t="str">
        <x:v>Pass</x:v>
      </x:c>
      <x:c r="AC593" t="str"/>
      <x:c r="AD593" t="str"/>
    </x:row>
    <x:row r="594">
      <x:c r="A594" t="str">
        <x:v>REC0593</x:v>
      </x:c>
      <x:c r="B594" t="n">
        <x:v>592</x:v>
      </x:c>
      <x:c r="C594" t="str">
        <x:v>St. Thomas, USVI</x:v>
      </x:c>
      <x:c r="D594" t="str">
        <x:v>GV</x:v>
      </x:c>
      <x:c r="E594" t="str">
        <x:v>Ground Validation</x:v>
      </x:c>
      <x:c r="F594" t="str">
        <x:v>Seaviewer Drop Camera</x:v>
      </x:c>
      <x:c r="G594" t="str">
        <x:v>GV2011_225</x:v>
      </x:c>
      <x:c r="H594" s="28" t="n">
        <x:v>40643</x:v>
      </x:c>
      <x:c r="I594" t="str">
        <x:v>14:01:37</x:v>
      </x:c>
      <x:c r="J594" t="n">
        <x:v>2011</x:v>
      </x:c>
      <x:c r="K594" t="n">
        <x:v>18.24297213</x:v>
      </x:c>
      <x:c r="L594" t="n">
        <x:v>-65.01221466</x:v>
      </x:c>
      <x:c r="M594" t="n">
        <x:v>40.34</x:v>
      </x:c>
      <x:c r="N594" t="str">
        <x:v>https://nccospublicstor.blob.core.windows.net/biomapper/usviinsularshelf2017/videos/low/GV2011_225.mp4</x:v>
      </x:c>
      <x:c r="O594" t="n">
        <x:v>0</x:v>
      </x:c>
      <x:c r="P594" t="n">
        <x:v>0</x:v>
      </x:c>
      <x:c r="Q594" t="n">
        <x:v>1</x:v>
      </x:c>
      <x:c r="R594" t="n">
        <x:v>1</x:v>
      </x:c>
      <x:c r="S594" t="n">
        <x:v>0</x:v>
      </x:c>
      <x:c r="T594" t="n">
        <x:v>0</x:v>
      </x:c>
      <x:c r="U594" t="n">
        <x:v>1</x:v>
      </x:c>
      <x:c r="V594" t="n">
        <x:v>1</x:v>
      </x:c>
      <x:c r="W594" t="n">
        <x:v>0</x:v>
      </x:c>
      <x:c r="X594" t="n">
        <x:v>0</x:v>
      </x:c>
      <x:c r="Y594" t="n">
        <x:v>0</x:v>
      </x:c>
      <x:c r="Z594" t="n">
        <x:v>2</x:v>
      </x:c>
      <x:c r="AA594" t="n">
        <x:v>2</x:v>
      </x:c>
      <x:c r="AB594" t="str">
        <x:v>Pass</x:v>
      </x:c>
      <x:c r="AC594" t="str"/>
      <x:c r="AD594" t="str"/>
    </x:row>
    <x:row r="595">
      <x:c r="A595" t="str">
        <x:v>REC0594</x:v>
      </x:c>
      <x:c r="B595" t="n">
        <x:v>593</x:v>
      </x:c>
      <x:c r="C595" t="str">
        <x:v>St. Thomas, USVI</x:v>
      </x:c>
      <x:c r="D595" t="str">
        <x:v>GV</x:v>
      </x:c>
      <x:c r="E595" t="str">
        <x:v>Ground Validation</x:v>
      </x:c>
      <x:c r="F595" t="str">
        <x:v>Seaviewer Drop Camera</x:v>
      </x:c>
      <x:c r="G595" t="str">
        <x:v>GV2011_226</x:v>
      </x:c>
      <x:c r="H595" s="28" t="n">
        <x:v>40643</x:v>
      </x:c>
      <x:c r="I595" t="str">
        <x:v>14:19:26</x:v>
      </x:c>
      <x:c r="J595" t="n">
        <x:v>2011</x:v>
      </x:c>
      <x:c r="K595" t="n">
        <x:v>18.23459342</x:v>
      </x:c>
      <x:c r="L595" t="n">
        <x:v>-65.01851953</x:v>
      </x:c>
      <x:c r="M595" t="n">
        <x:v>40.652</x:v>
      </x:c>
      <x:c r="N595" t="str">
        <x:v>https://nccospublicstor.blob.core.windows.net/biomapper/usviinsularshelf2017/videos/low/GV2011_226.mp4</x:v>
      </x:c>
      <x:c r="O595" t="n">
        <x:v>0</x:v>
      </x:c>
      <x:c r="P595" t="n">
        <x:v>0</x:v>
      </x:c>
      <x:c r="Q595" t="n">
        <x:v>1</x:v>
      </x:c>
      <x:c r="R595" t="n">
        <x:v>1</x:v>
      </x:c>
      <x:c r="S595" t="n">
        <x:v>0</x:v>
      </x:c>
      <x:c r="T595" t="n">
        <x:v>0</x:v>
      </x:c>
      <x:c r="U595" t="n">
        <x:v>1</x:v>
      </x:c>
      <x:c r="V595" t="n">
        <x:v>1</x:v>
      </x:c>
      <x:c r="W595" t="n">
        <x:v>0</x:v>
      </x:c>
      <x:c r="X595" t="n">
        <x:v>0</x:v>
      </x:c>
      <x:c r="Y595" t="n">
        <x:v>0</x:v>
      </x:c>
      <x:c r="Z595" t="n">
        <x:v>2</x:v>
      </x:c>
      <x:c r="AA595" t="n">
        <x:v>2</x:v>
      </x:c>
      <x:c r="AB595" t="str">
        <x:v>Pass</x:v>
      </x:c>
      <x:c r="AC595" t="str"/>
      <x:c r="AD595" t="str"/>
    </x:row>
    <x:row r="596">
      <x:c r="A596" t="str">
        <x:v>REC0595</x:v>
      </x:c>
      <x:c r="B596" t="n">
        <x:v>594</x:v>
      </x:c>
      <x:c r="C596" t="str">
        <x:v>St. Thomas, USVI</x:v>
      </x:c>
      <x:c r="D596" t="str">
        <x:v>GV</x:v>
      </x:c>
      <x:c r="E596" t="str">
        <x:v>Ground Validation</x:v>
      </x:c>
      <x:c r="F596" t="str">
        <x:v>Seaviewer Drop Camera</x:v>
      </x:c>
      <x:c r="G596" t="str">
        <x:v>GV2011_227</x:v>
      </x:c>
      <x:c r="H596" s="28" t="n">
        <x:v>40643</x:v>
      </x:c>
      <x:c r="I596" t="str">
        <x:v>14:34:52</x:v>
      </x:c>
      <x:c r="J596" t="n">
        <x:v>2011</x:v>
      </x:c>
      <x:c r="K596" t="n">
        <x:v>18.24524472</x:v>
      </x:c>
      <x:c r="L596" t="n">
        <x:v>-65.02489858</x:v>
      </x:c>
      <x:c r="M596" t="n">
        <x:v>39.11</x:v>
      </x:c>
      <x:c r="N596" t="str">
        <x:v>https://nccospublicstor.blob.core.windows.net/biomapper/usviinsularshelf2017/videos/low/GV2011_227.mp4</x:v>
      </x:c>
      <x:c r="O596" t="n">
        <x:v>0</x:v>
      </x:c>
      <x:c r="P596" t="n">
        <x:v>0</x:v>
      </x:c>
      <x:c r="Q596" t="n">
        <x:v>1</x:v>
      </x:c>
      <x:c r="R596" t="n">
        <x:v>1</x:v>
      </x:c>
      <x:c r="S596" t="n">
        <x:v>0</x:v>
      </x:c>
      <x:c r="T596" t="n">
        <x:v>0</x:v>
      </x:c>
      <x:c r="U596" t="n">
        <x:v>1</x:v>
      </x:c>
      <x:c r="V596" t="n">
        <x:v>1</x:v>
      </x:c>
      <x:c r="W596" t="n">
        <x:v>0</x:v>
      </x:c>
      <x:c r="X596" t="n">
        <x:v>0</x:v>
      </x:c>
      <x:c r="Y596" t="n">
        <x:v>0</x:v>
      </x:c>
      <x:c r="Z596" t="n">
        <x:v>2</x:v>
      </x:c>
      <x:c r="AA596" t="n">
        <x:v>2</x:v>
      </x:c>
      <x:c r="AB596" t="str">
        <x:v>Pass</x:v>
      </x:c>
      <x:c r="AC596" t="str"/>
      <x:c r="AD596" t="str"/>
    </x:row>
    <x:row r="597">
      <x:c r="A597" t="str">
        <x:v>REC0596</x:v>
      </x:c>
      <x:c r="B597" t="n">
        <x:v>595</x:v>
      </x:c>
      <x:c r="C597" t="str">
        <x:v>St. Thomas, USVI</x:v>
      </x:c>
      <x:c r="D597" t="str">
        <x:v>GV</x:v>
      </x:c>
      <x:c r="E597" t="str">
        <x:v>Ground Validation</x:v>
      </x:c>
      <x:c r="F597" t="str">
        <x:v>Seaviewer Drop Camera</x:v>
      </x:c>
      <x:c r="G597" t="str">
        <x:v>GV2011_228</x:v>
      </x:c>
      <x:c r="H597" s="28" t="n">
        <x:v>40643</x:v>
      </x:c>
      <x:c r="I597" t="str">
        <x:v>14:48:34</x:v>
      </x:c>
      <x:c r="J597" t="n">
        <x:v>2011</x:v>
      </x:c>
      <x:c r="K597" t="n">
        <x:v>18.25488486</x:v>
      </x:c>
      <x:c r="L597" t="n">
        <x:v>-65.03047937</x:v>
      </x:c>
      <x:c r="M597" t="n">
        <x:v>35.795</x:v>
      </x:c>
      <x:c r="N597" t="str">
        <x:v>https://nccospublicstor.blob.core.windows.net/biomapper/usviinsularshelf2017/videos/low/GV2011_228.mp4</x:v>
      </x:c>
      <x:c r="O597" t="n">
        <x:v>0</x:v>
      </x:c>
      <x:c r="P597" t="n">
        <x:v>0</x:v>
      </x:c>
      <x:c r="Q597" t="n">
        <x:v>1</x:v>
      </x:c>
      <x:c r="R597" t="n">
        <x:v>1</x:v>
      </x:c>
      <x:c r="S597" t="n">
        <x:v>0</x:v>
      </x:c>
      <x:c r="T597" t="n">
        <x:v>0</x:v>
      </x:c>
      <x:c r="U597" t="n">
        <x:v>1</x:v>
      </x:c>
      <x:c r="V597" t="n">
        <x:v>1</x:v>
      </x:c>
      <x:c r="W597" t="n">
        <x:v>0</x:v>
      </x:c>
      <x:c r="X597" t="n">
        <x:v>0</x:v>
      </x:c>
      <x:c r="Y597" t="n">
        <x:v>0</x:v>
      </x:c>
      <x:c r="Z597" t="n">
        <x:v>2</x:v>
      </x:c>
      <x:c r="AA597" t="n">
        <x:v>2</x:v>
      </x:c>
      <x:c r="AB597" t="str">
        <x:v>Pass</x:v>
      </x:c>
      <x:c r="AC597" t="str"/>
      <x:c r="AD597" t="str"/>
    </x:row>
    <x:row r="598">
      <x:c r="A598" t="str">
        <x:v>REC0597</x:v>
      </x:c>
      <x:c r="B598" t="n">
        <x:v>596</x:v>
      </x:c>
      <x:c r="C598" t="str">
        <x:v>St. Thomas, USVI</x:v>
      </x:c>
      <x:c r="D598" t="str">
        <x:v>GV</x:v>
      </x:c>
      <x:c r="E598" t="str">
        <x:v>Ground Validation</x:v>
      </x:c>
      <x:c r="F598" t="str">
        <x:v>Seaviewer Drop Camera</x:v>
      </x:c>
      <x:c r="G598" t="str">
        <x:v>GV2011_229</x:v>
      </x:c>
      <x:c r="H598" s="28" t="n">
        <x:v>40643</x:v>
      </x:c>
      <x:c r="I598" t="str">
        <x:v>14:13:39</x:v>
      </x:c>
      <x:c r="J598" t="n">
        <x:v>2011</x:v>
      </x:c>
      <x:c r="K598" t="n">
        <x:v>18.23566988</x:v>
      </x:c>
      <x:c r="L598" t="n">
        <x:v>-65.01714033</x:v>
      </x:c>
      <x:c r="M598" t="n">
        <x:v>41.364</x:v>
      </x:c>
      <x:c r="N598" t="str">
        <x:v>https://nccospublicstor.blob.core.windows.net/biomapper/usviinsularshelf2017/videos/low/GV2011_229.mp4</x:v>
      </x:c>
      <x:c r="O598" t="n">
        <x:v>0</x:v>
      </x:c>
      <x:c r="P598" t="n">
        <x:v>0</x:v>
      </x:c>
      <x:c r="Q598" t="n">
        <x:v>0</x:v>
      </x:c>
      <x:c r="R598" t="n">
        <x:v>1</x:v>
      </x:c>
      <x:c r="S598" t="n">
        <x:v>0</x:v>
      </x:c>
      <x:c r="T598" t="n">
        <x:v>0</x:v>
      </x:c>
      <x:c r="U598" t="n">
        <x:v>1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1</x:v>
      </x:c>
      <x:c r="AA598" t="n">
        <x:v>1</x:v>
      </x:c>
      <x:c r="AB598" t="str">
        <x:v>Pass</x:v>
      </x:c>
      <x:c r="AC598" t="str"/>
      <x:c r="AD598" t="str"/>
    </x:row>
    <x:row r="599">
      <x:c r="A599" t="str">
        <x:v>REC0598</x:v>
      </x:c>
      <x:c r="B599" t="n">
        <x:v>597</x:v>
      </x:c>
      <x:c r="C599" t="str">
        <x:v>St. Thomas, USVI</x:v>
      </x:c>
      <x:c r="D599" t="str">
        <x:v>GV</x:v>
      </x:c>
      <x:c r="E599" t="str">
        <x:v>Ground Validation</x:v>
      </x:c>
      <x:c r="F599" t="str">
        <x:v>Seaviewer Drop Camera</x:v>
      </x:c>
      <x:c r="G599" t="str">
        <x:v>GV2011_230</x:v>
      </x:c>
      <x:c r="H599" s="28" t="n">
        <x:v>40643</x:v>
      </x:c>
      <x:c r="I599" t="str">
        <x:v>14:07:44</x:v>
      </x:c>
      <x:c r="J599" t="n">
        <x:v>2011</x:v>
      </x:c>
      <x:c r="K599" t="n">
        <x:v>18.23882117</x:v>
      </x:c>
      <x:c r="L599" t="n">
        <x:v>-65.01426973</x:v>
      </x:c>
      <x:c r="M599" t="n">
        <x:v>40.364</x:v>
      </x:c>
      <x:c r="N599" t="str">
        <x:v>https://nccospublicstor.blob.core.windows.net/biomapper/usviinsularshelf2017/videos/low/GV2011_230.mp4</x:v>
      </x:c>
      <x:c r="O599" t="n">
        <x:v>0</x:v>
      </x:c>
      <x:c r="P599" t="n">
        <x:v>0</x:v>
      </x:c>
      <x:c r="Q599" t="n">
        <x:v>1</x:v>
      </x:c>
      <x:c r="R599" t="n">
        <x:v>1</x:v>
      </x:c>
      <x:c r="S599" t="n">
        <x:v>0</x:v>
      </x:c>
      <x:c r="T599" t="n">
        <x:v>0</x:v>
      </x:c>
      <x:c r="U599" t="n">
        <x:v>1</x:v>
      </x:c>
      <x:c r="V599" t="n">
        <x:v>1</x:v>
      </x:c>
      <x:c r="W599" t="n">
        <x:v>0</x:v>
      </x:c>
      <x:c r="X599" t="n">
        <x:v>0</x:v>
      </x:c>
      <x:c r="Y599" t="n">
        <x:v>0</x:v>
      </x:c>
      <x:c r="Z599" t="n">
        <x:v>2</x:v>
      </x:c>
      <x:c r="AA599" t="n">
        <x:v>2</x:v>
      </x:c>
      <x:c r="AB599" t="str">
        <x:v>Pass</x:v>
      </x:c>
      <x:c r="AC599" t="str"/>
      <x:c r="AD599" t="str"/>
    </x:row>
    <x:row r="600">
      <x:c r="A600" t="str">
        <x:v>REC0599</x:v>
      </x:c>
      <x:c r="B600" t="n">
        <x:v>598</x:v>
      </x:c>
      <x:c r="C600" t="str">
        <x:v>St. Thomas, USVI</x:v>
      </x:c>
      <x:c r="D600" t="str">
        <x:v>GV</x:v>
      </x:c>
      <x:c r="E600" t="str">
        <x:v>Ground Validation</x:v>
      </x:c>
      <x:c r="F600" t="str">
        <x:v>Seaviewer Drop Camera</x:v>
      </x:c>
      <x:c r="G600" t="str">
        <x:v>GV2011_231</x:v>
      </x:c>
      <x:c r="H600" s="28" t="n">
        <x:v>40643</x:v>
      </x:c>
      <x:c r="I600" t="str">
        <x:v>14:27:54</x:v>
      </x:c>
      <x:c r="J600" t="n">
        <x:v>2011</x:v>
      </x:c>
      <x:c r="K600" t="n">
        <x:v>18.24186504</x:v>
      </x:c>
      <x:c r="L600" t="n">
        <x:v>-65.02285336</x:v>
      </x:c>
      <x:c r="M600" t="n">
        <x:v>40.445</x:v>
      </x:c>
      <x:c r="N600" t="str">
        <x:v>https://nccospublicstor.blob.core.windows.net/biomapper/usviinsularshelf2017/videos/low/GV2011_231.mp4</x:v>
      </x:c>
      <x:c r="O600" t="n">
        <x:v>0</x:v>
      </x:c>
      <x:c r="P600" t="n">
        <x:v>0</x:v>
      </x:c>
      <x:c r="Q600" t="n">
        <x:v>1</x:v>
      </x:c>
      <x:c r="R600" t="n">
        <x:v>1</x:v>
      </x:c>
      <x:c r="S600" t="n">
        <x:v>0</x:v>
      </x:c>
      <x:c r="T600" t="n">
        <x:v>0</x:v>
      </x:c>
      <x:c r="U600" t="n">
        <x:v>1</x:v>
      </x:c>
      <x:c r="V600" t="n">
        <x:v>1</x:v>
      </x:c>
      <x:c r="W600" t="n">
        <x:v>0</x:v>
      </x:c>
      <x:c r="X600" t="n">
        <x:v>0</x:v>
      </x:c>
      <x:c r="Y600" t="n">
        <x:v>0</x:v>
      </x:c>
      <x:c r="Z600" t="n">
        <x:v>2</x:v>
      </x:c>
      <x:c r="AA600" t="n">
        <x:v>2</x:v>
      </x:c>
      <x:c r="AB600" t="str">
        <x:v>Pass</x:v>
      </x:c>
      <x:c r="AC600" t="str"/>
      <x:c r="AD600" t="str"/>
    </x:row>
    <x:row r="601">
      <x:c r="A601" t="str">
        <x:v>REC0600</x:v>
      </x:c>
      <x:c r="B601" t="n">
        <x:v>599</x:v>
      </x:c>
      <x:c r="C601" t="str">
        <x:v>St. Thomas, USVI</x:v>
      </x:c>
      <x:c r="D601" t="str">
        <x:v>GV</x:v>
      </x:c>
      <x:c r="E601" t="str">
        <x:v>Ground Validation</x:v>
      </x:c>
      <x:c r="F601" t="str">
        <x:v>Seaviewer Drop Camera</x:v>
      </x:c>
      <x:c r="G601" t="str">
        <x:v>GV2011_232</x:v>
      </x:c>
      <x:c r="H601" s="28" t="n">
        <x:v>40643</x:v>
      </x:c>
      <x:c r="I601" t="str">
        <x:v>12:52:26</x:v>
      </x:c>
      <x:c r="J601" t="n">
        <x:v>2011</x:v>
      </x:c>
      <x:c r="K601" t="n">
        <x:v>18.24041411</x:v>
      </x:c>
      <x:c r="L601" t="n">
        <x:v>-64.98858248</x:v>
      </x:c>
      <x:c r="M601" t="n">
        <x:v>40.008</x:v>
      </x:c>
      <x:c r="N601" t="str">
        <x:v>https://nccospublicstor.blob.core.windows.net/biomapper/usviinsularshelf2017/videos/low/GV2011_232.mp4</x:v>
      </x:c>
      <x:c r="O601" t="n">
        <x:v>0</x:v>
      </x:c>
      <x:c r="P601" t="n">
        <x:v>0</x:v>
      </x:c>
      <x:c r="Q601" t="n">
        <x:v>1</x:v>
      </x:c>
      <x:c r="R601" t="n">
        <x:v>1</x:v>
      </x:c>
      <x:c r="S601" t="n">
        <x:v>0</x:v>
      </x:c>
      <x:c r="T601" t="n">
        <x:v>0</x:v>
      </x:c>
      <x:c r="U601" t="n">
        <x:v>1</x:v>
      </x:c>
      <x:c r="V601" t="n">
        <x:v>1</x:v>
      </x:c>
      <x:c r="W601" t="n">
        <x:v>0</x:v>
      </x:c>
      <x:c r="X601" t="n">
        <x:v>0</x:v>
      </x:c>
      <x:c r="Y601" t="n">
        <x:v>0</x:v>
      </x:c>
      <x:c r="Z601" t="n">
        <x:v>2</x:v>
      </x:c>
      <x:c r="AA601" t="n">
        <x:v>2</x:v>
      </x:c>
      <x:c r="AB601" t="str">
        <x:v>Pass</x:v>
      </x:c>
      <x:c r="AC601" t="str"/>
      <x:c r="AD601" t="str"/>
    </x:row>
    <x:row r="602">
      <x:c r="A602" t="str">
        <x:v>REC0601</x:v>
      </x:c>
      <x:c r="B602" t="n">
        <x:v>600</x:v>
      </x:c>
      <x:c r="C602" t="str">
        <x:v>St. Thomas, USVI</x:v>
      </x:c>
      <x:c r="D602" t="str">
        <x:v>GV</x:v>
      </x:c>
      <x:c r="E602" t="str">
        <x:v>Ground Validation</x:v>
      </x:c>
      <x:c r="F602" t="str">
        <x:v>Seaviewer Drop Camera</x:v>
      </x:c>
      <x:c r="G602" t="str">
        <x:v>GV2011_233</x:v>
      </x:c>
      <x:c r="H602" s="28" t="n">
        <x:v>40643</x:v>
      </x:c>
      <x:c r="I602" t="str">
        <x:v>12:31:46</x:v>
      </x:c>
      <x:c r="J602" t="n">
        <x:v>2011</x:v>
      </x:c>
      <x:c r="K602" t="n">
        <x:v>18.24869494</x:v>
      </x:c>
      <x:c r="L602" t="n">
        <x:v>-64.98322373</x:v>
      </x:c>
      <x:c r="M602" t="n">
        <x:v>41.026</x:v>
      </x:c>
      <x:c r="N602" t="str">
        <x:v>https://nccospublicstor.blob.core.windows.net/biomapper/usviinsularshelf2017/videos/low/GV2011_233.mp4</x:v>
      </x:c>
      <x:c r="O602" t="n">
        <x:v>0</x:v>
      </x:c>
      <x:c r="P602" t="n">
        <x:v>0</x:v>
      </x:c>
      <x:c r="Q602" t="n">
        <x:v>0</x:v>
      </x:c>
      <x:c r="R602" t="n">
        <x:v>1</x:v>
      </x:c>
      <x:c r="S602" t="n">
        <x:v>0</x:v>
      </x:c>
      <x:c r="T602" t="n">
        <x:v>0</x:v>
      </x:c>
      <x:c r="U602" t="n">
        <x:v>1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1</x:v>
      </x:c>
      <x:c r="AA602" t="n">
        <x:v>1</x:v>
      </x:c>
      <x:c r="AB602" t="str">
        <x:v>Pass</x:v>
      </x:c>
      <x:c r="AC602" t="str"/>
      <x:c r="AD602" t="str"/>
    </x:row>
    <x:row r="603">
      <x:c r="A603" t="str">
        <x:v>REC0602</x:v>
      </x:c>
      <x:c r="B603" t="n">
        <x:v>601</x:v>
      </x:c>
      <x:c r="C603" t="str">
        <x:v>St. Thomas, USVI</x:v>
      </x:c>
      <x:c r="D603" t="str">
        <x:v>GV</x:v>
      </x:c>
      <x:c r="E603" t="str">
        <x:v>Ground Validation</x:v>
      </x:c>
      <x:c r="F603" t="str">
        <x:v>Seaviewer Drop Camera</x:v>
      </x:c>
      <x:c r="G603" t="str">
        <x:v>GV2011_234</x:v>
      </x:c>
      <x:c r="H603" s="28" t="n">
        <x:v>40643</x:v>
      </x:c>
      <x:c r="I603" t="str">
        <x:v>12:38:05</x:v>
      </x:c>
      <x:c r="J603" t="n">
        <x:v>2011</x:v>
      </x:c>
      <x:c r="K603" t="n">
        <x:v>18.24704631</x:v>
      </x:c>
      <x:c r="L603" t="n">
        <x:v>-64.98395788</x:v>
      </x:c>
      <x:c r="M603" t="n">
        <x:v>40.592</x:v>
      </x:c>
      <x:c r="N603" t="str">
        <x:v>https://nccospublicstor.blob.core.windows.net/biomapper/usviinsularshelf2017/videos/low/GV2011_234.mp4</x:v>
      </x:c>
      <x:c r="O603" t="n">
        <x:v>0</x:v>
      </x:c>
      <x:c r="P603" t="n">
        <x:v>0</x:v>
      </x:c>
      <x:c r="Q603" t="n">
        <x:v>1</x:v>
      </x:c>
      <x:c r="R603" t="n">
        <x:v>1</x:v>
      </x:c>
      <x:c r="S603" t="n">
        <x:v>0</x:v>
      </x:c>
      <x:c r="T603" t="n">
        <x:v>0</x:v>
      </x:c>
      <x:c r="U603" t="n">
        <x:v>1</x:v>
      </x:c>
      <x:c r="V603" t="n">
        <x:v>1</x:v>
      </x:c>
      <x:c r="W603" t="n">
        <x:v>0</x:v>
      </x:c>
      <x:c r="X603" t="n">
        <x:v>0</x:v>
      </x:c>
      <x:c r="Y603" t="n">
        <x:v>0</x:v>
      </x:c>
      <x:c r="Z603" t="n">
        <x:v>2</x:v>
      </x:c>
      <x:c r="AA603" t="n">
        <x:v>2</x:v>
      </x:c>
      <x:c r="AB603" t="str">
        <x:v>Pass</x:v>
      </x:c>
      <x:c r="AC603" t="str"/>
      <x:c r="AD603" t="str"/>
    </x:row>
    <x:row r="604">
      <x:c r="A604" t="str">
        <x:v>REC0603</x:v>
      </x:c>
      <x:c r="B604" t="n">
        <x:v>602</x:v>
      </x:c>
      <x:c r="C604" t="str">
        <x:v>St. Thomas, USVI</x:v>
      </x:c>
      <x:c r="D604" t="str">
        <x:v>GV</x:v>
      </x:c>
      <x:c r="E604" t="str">
        <x:v>Ground Validation</x:v>
      </x:c>
      <x:c r="F604" t="str">
        <x:v>Seaviewer Drop Camera</x:v>
      </x:c>
      <x:c r="G604" t="str">
        <x:v>GV2011_235</x:v>
      </x:c>
      <x:c r="H604" s="28" t="n">
        <x:v>40643</x:v>
      </x:c>
      <x:c r="I604" t="str">
        <x:v>12:44:26</x:v>
      </x:c>
      <x:c r="J604" t="n">
        <x:v>2011</x:v>
      </x:c>
      <x:c r="K604" t="n">
        <x:v>18.24554279</x:v>
      </x:c>
      <x:c r="L604" t="n">
        <x:v>-64.98505103</x:v>
      </x:c>
      <x:c r="M604" t="n">
        <x:v>39.863</x:v>
      </x:c>
      <x:c r="N604" t="str">
        <x:v>https://nccospublicstor.blob.core.windows.net/biomapper/usviinsularshelf2017/videos/low/GV2011_235.mp4</x:v>
      </x:c>
      <x:c r="O604" t="n">
        <x:v>0</x:v>
      </x:c>
      <x:c r="P604" t="n">
        <x:v>0</x:v>
      </x:c>
      <x:c r="Q604" t="n">
        <x:v>1</x:v>
      </x:c>
      <x:c r="R604" t="n">
        <x:v>0</x:v>
      </x:c>
      <x:c r="S604" t="n">
        <x:v>0</x:v>
      </x:c>
      <x:c r="T604" t="n">
        <x:v>0</x:v>
      </x:c>
      <x:c r="U604" t="n">
        <x:v>1</x:v>
      </x:c>
      <x:c r="V604" t="n">
        <x:v>1</x:v>
      </x:c>
      <x:c r="W604" t="n">
        <x:v>0</x:v>
      </x:c>
      <x:c r="X604" t="n">
        <x:v>0</x:v>
      </x:c>
      <x:c r="Y604" t="n">
        <x:v>0</x:v>
      </x:c>
      <x:c r="Z604" t="n">
        <x:v>1</x:v>
      </x:c>
      <x:c r="AA604" t="n">
        <x:v>2</x:v>
      </x:c>
      <x:c r="AB604" t="str">
        <x:v>Pass</x:v>
      </x:c>
      <x:c r="AC604" t="str"/>
      <x:c r="AD604" t="str"/>
    </x:row>
    <x:row r="605">
      <x:c r="A605" t="str">
        <x:v>REC0604</x:v>
      </x:c>
      <x:c r="B605" t="n">
        <x:v>603</x:v>
      </x:c>
      <x:c r="C605" t="str">
        <x:v>St. Thomas, USVI</x:v>
      </x:c>
      <x:c r="D605" t="str">
        <x:v>GV</x:v>
      </x:c>
      <x:c r="E605" t="str">
        <x:v>Ground Validation</x:v>
      </x:c>
      <x:c r="F605" t="str">
        <x:v>Seaviewer Drop Camera</x:v>
      </x:c>
      <x:c r="G605" t="str">
        <x:v>GV2011_236</x:v>
      </x:c>
      <x:c r="H605" s="28" t="n">
        <x:v>40643</x:v>
      </x:c>
      <x:c r="I605" t="str">
        <x:v>13:12:57</x:v>
      </x:c>
      <x:c r="J605" t="n">
        <x:v>2011</x:v>
      </x:c>
      <x:c r="K605" t="n">
        <x:v>18.23126956</x:v>
      </x:c>
      <x:c r="L605" t="n">
        <x:v>-64.99479474</x:v>
      </x:c>
      <x:c r="M605" t="n">
        <x:v>41.703</x:v>
      </x:c>
      <x:c r="N605" t="str">
        <x:v>https://nccospublicstor.blob.core.windows.net/biomapper/usviinsularshelf2017/videos/low/GV2011_236.mp4</x:v>
      </x:c>
      <x:c r="O605" t="n">
        <x:v>0</x:v>
      </x:c>
      <x:c r="P605" t="n">
        <x:v>0</x:v>
      </x:c>
      <x:c r="Q605" t="n">
        <x:v>0</x:v>
      </x:c>
      <x:c r="R605" t="n">
        <x:v>1</x:v>
      </x:c>
      <x:c r="S605" t="n">
        <x:v>0</x:v>
      </x:c>
      <x:c r="T605" t="n">
        <x:v>0</x:v>
      </x:c>
      <x:c r="U605" t="n">
        <x:v>1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1</x:v>
      </x:c>
      <x:c r="AA605" t="n">
        <x:v>1</x:v>
      </x:c>
      <x:c r="AB605" t="str">
        <x:v>Pass</x:v>
      </x:c>
      <x:c r="AC605" t="str"/>
      <x:c r="AD605" t="str"/>
    </x:row>
    <x:row r="606">
      <x:c r="A606" t="str">
        <x:v>REC0605</x:v>
      </x:c>
      <x:c r="B606" t="n">
        <x:v>604</x:v>
      </x:c>
      <x:c r="C606" t="str">
        <x:v>St. Thomas, USVI</x:v>
      </x:c>
      <x:c r="D606" t="str">
        <x:v>GV</x:v>
      </x:c>
      <x:c r="E606" t="str">
        <x:v>Ground Validation</x:v>
      </x:c>
      <x:c r="F606" t="str">
        <x:v>Seaviewer Drop Camera</x:v>
      </x:c>
      <x:c r="G606" t="str">
        <x:v>GV2011_237</x:v>
      </x:c>
      <x:c r="H606" s="28" t="n">
        <x:v>40643</x:v>
      </x:c>
      <x:c r="I606" t="str">
        <x:v>13:00:22</x:v>
      </x:c>
      <x:c r="J606" t="n">
        <x:v>2011</x:v>
      </x:c>
      <x:c r="K606" t="n">
        <x:v>18.23593452</x:v>
      </x:c>
      <x:c r="L606" t="n">
        <x:v>-64.99100829</x:v>
      </x:c>
      <x:c r="M606" t="n">
        <x:v>39.998</x:v>
      </x:c>
      <x:c r="N606" t="str">
        <x:v>https://nccospublicstor.blob.core.windows.net/biomapper/usviinsularshelf2017/videos/low/GV2011_237.mp4</x:v>
      </x:c>
      <x:c r="O606" t="n">
        <x:v>0</x:v>
      </x:c>
      <x:c r="P606" t="n">
        <x:v>0</x:v>
      </x:c>
      <x:c r="Q606" t="n">
        <x:v>1</x:v>
      </x:c>
      <x:c r="R606" t="n">
        <x:v>0</x:v>
      </x:c>
      <x:c r="S606" t="n">
        <x:v>0</x:v>
      </x:c>
      <x:c r="T606" t="n">
        <x:v>0</x:v>
      </x:c>
      <x:c r="U606" t="n">
        <x:v>1</x:v>
      </x:c>
      <x:c r="V606" t="n">
        <x:v>1</x:v>
      </x:c>
      <x:c r="W606" t="n">
        <x:v>0</x:v>
      </x:c>
      <x:c r="X606" t="n">
        <x:v>0</x:v>
      </x:c>
      <x:c r="Y606" t="n">
        <x:v>0</x:v>
      </x:c>
      <x:c r="Z606" t="n">
        <x:v>1</x:v>
      </x:c>
      <x:c r="AA606" t="n">
        <x:v>2</x:v>
      </x:c>
      <x:c r="AB606" t="str">
        <x:v>Pass</x:v>
      </x:c>
      <x:c r="AC606" t="str"/>
      <x:c r="AD606" t="str"/>
    </x:row>
    <x:row r="607">
      <x:c r="A607" t="str">
        <x:v>REC0606</x:v>
      </x:c>
      <x:c r="B607" t="n">
        <x:v>605</x:v>
      </x:c>
      <x:c r="C607" t="str">
        <x:v>St. Thomas, USVI</x:v>
      </x:c>
      <x:c r="D607" t="str">
        <x:v>GV</x:v>
      </x:c>
      <x:c r="E607" t="str">
        <x:v>Ground Validation</x:v>
      </x:c>
      <x:c r="F607" t="str">
        <x:v>Seaviewer Drop Camera</x:v>
      </x:c>
      <x:c r="G607" t="str">
        <x:v>GV2011_238</x:v>
      </x:c>
      <x:c r="H607" s="28" t="n">
        <x:v>40643</x:v>
      </x:c>
      <x:c r="I607" t="str">
        <x:v>13:06:22</x:v>
      </x:c>
      <x:c r="J607" t="n">
        <x:v>2011</x:v>
      </x:c>
      <x:c r="K607" t="n">
        <x:v>18.23381097</x:v>
      </x:c>
      <x:c r="L607" t="n">
        <x:v>-64.99204484</x:v>
      </x:c>
      <x:c r="M607" t="n">
        <x:v>40.636</x:v>
      </x:c>
      <x:c r="N607" t="str">
        <x:v>https://nccospublicstor.blob.core.windows.net/biomapper/usviinsularshelf2017/videos/low/GV2011_238.mp4</x:v>
      </x:c>
      <x:c r="O607" t="n">
        <x:v>0</x:v>
      </x:c>
      <x:c r="P607" t="n">
        <x:v>0</x:v>
      </x:c>
      <x:c r="Q607" t="n">
        <x:v>1</x:v>
      </x:c>
      <x:c r="R607" t="n">
        <x:v>1</x:v>
      </x:c>
      <x:c r="S607" t="n">
        <x:v>0</x:v>
      </x:c>
      <x:c r="T607" t="n">
        <x:v>0</x:v>
      </x:c>
      <x:c r="U607" t="n">
        <x:v>1</x:v>
      </x:c>
      <x:c r="V607" t="n">
        <x:v>1</x:v>
      </x:c>
      <x:c r="W607" t="n">
        <x:v>0</x:v>
      </x:c>
      <x:c r="X607" t="n">
        <x:v>0</x:v>
      </x:c>
      <x:c r="Y607" t="n">
        <x:v>0</x:v>
      </x:c>
      <x:c r="Z607" t="n">
        <x:v>2</x:v>
      </x:c>
      <x:c r="AA607" t="n">
        <x:v>2</x:v>
      </x:c>
      <x:c r="AB607" t="str">
        <x:v>Pass</x:v>
      </x:c>
      <x:c r="AC607" t="str"/>
      <x:c r="AD607" t="str"/>
    </x:row>
    <x:row r="608">
      <x:c r="A608" t="str">
        <x:v>REC0607</x:v>
      </x:c>
      <x:c r="B608" t="n">
        <x:v>606</x:v>
      </x:c>
      <x:c r="C608" t="str">
        <x:v>St. Thomas, USVI</x:v>
      </x:c>
      <x:c r="D608" t="str">
        <x:v>GV</x:v>
      </x:c>
      <x:c r="E608" t="str">
        <x:v>Ground Validation</x:v>
      </x:c>
      <x:c r="F608" t="str">
        <x:v>Seaviewer Drop Camera</x:v>
      </x:c>
      <x:c r="G608" t="str">
        <x:v>GV2011_239</x:v>
      </x:c>
      <x:c r="H608" s="28" t="n">
        <x:v>40643</x:v>
      </x:c>
      <x:c r="I608" t="str">
        <x:v>14:41:15</x:v>
      </x:c>
      <x:c r="J608" t="n">
        <x:v>2011</x:v>
      </x:c>
      <x:c r="K608" t="n">
        <x:v>18.24979506</x:v>
      </x:c>
      <x:c r="L608" t="n">
        <x:v>-65.0268285</x:v>
      </x:c>
      <x:c r="M608" t="n">
        <x:v>38.43</x:v>
      </x:c>
      <x:c r="N608" t="str">
        <x:v>https://nccospublicstor.blob.core.windows.net/biomapper/usviinsularshelf2017/videos/low/GV2011_239.mp4</x:v>
      </x:c>
      <x:c r="O608" t="n">
        <x:v>0</x:v>
      </x:c>
      <x:c r="P608" t="n">
        <x:v>0</x:v>
      </x:c>
      <x:c r="Q608" t="n">
        <x:v>1</x:v>
      </x:c>
      <x:c r="R608" t="n">
        <x:v>1</x:v>
      </x:c>
      <x:c r="S608" t="n">
        <x:v>0</x:v>
      </x:c>
      <x:c r="T608" t="n">
        <x:v>0</x:v>
      </x:c>
      <x:c r="U608" t="n">
        <x:v>1</x:v>
      </x:c>
      <x:c r="V608" t="n">
        <x:v>1</x:v>
      </x:c>
      <x:c r="W608" t="n">
        <x:v>0</x:v>
      </x:c>
      <x:c r="X608" t="n">
        <x:v>0</x:v>
      </x:c>
      <x:c r="Y608" t="n">
        <x:v>0</x:v>
      </x:c>
      <x:c r="Z608" t="n">
        <x:v>2</x:v>
      </x:c>
      <x:c r="AA608" t="n">
        <x:v>2</x:v>
      </x:c>
      <x:c r="AB608" t="str">
        <x:v>Pass</x:v>
      </x:c>
      <x:c r="AC608" t="str"/>
      <x:c r="AD608" t="str"/>
    </x:row>
    <x:row r="609">
      <x:c r="A609" t="str">
        <x:v>REC0608</x:v>
      </x:c>
      <x:c r="B609" t="n">
        <x:v>607</x:v>
      </x:c>
      <x:c r="C609" t="str">
        <x:v>St. Thomas, USVI</x:v>
      </x:c>
      <x:c r="D609" t="str">
        <x:v>GV</x:v>
      </x:c>
      <x:c r="E609" t="str">
        <x:v>Ground Validation</x:v>
      </x:c>
      <x:c r="F609" t="str">
        <x:v>Seaviewer Drop Camera</x:v>
      </x:c>
      <x:c r="G609" t="str">
        <x:v>GV2011_240</x:v>
      </x:c>
      <x:c r="H609" s="28" t="n">
        <x:v>40643</x:v>
      </x:c>
      <x:c r="I609" t="str">
        <x:v>11:34:44</x:v>
      </x:c>
      <x:c r="J609" t="n">
        <x:v>2011</x:v>
      </x:c>
      <x:c r="K609" t="n">
        <x:v>18.23152027</x:v>
      </x:c>
      <x:c r="L609" t="n">
        <x:v>-64.96598484</x:v>
      </x:c>
      <x:c r="M609" t="n">
        <x:v>41.69</x:v>
      </x:c>
      <x:c r="N609" t="str">
        <x:v>https://nccospublicstor.blob.core.windows.net/biomapper/usviinsularshelf2017/videos/low/GV2011_240.mp4</x:v>
      </x:c>
      <x:c r="O609" t="n">
        <x:v>0</x:v>
      </x:c>
      <x:c r="P609" t="n">
        <x:v>0</x:v>
      </x:c>
      <x:c r="Q609" t="n">
        <x:v>0</x:v>
      </x:c>
      <x:c r="R609" t="n">
        <x:v>1</x:v>
      </x:c>
      <x:c r="S609" t="n">
        <x:v>0</x:v>
      </x:c>
      <x:c r="T609" t="n">
        <x:v>0</x:v>
      </x:c>
      <x:c r="U609" t="n">
        <x:v>1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1</x:v>
      </x:c>
      <x:c r="AA609" t="n">
        <x:v>1</x:v>
      </x:c>
      <x:c r="AB609" t="str">
        <x:v>Pass</x:v>
      </x:c>
      <x:c r="AC609" t="str"/>
      <x:c r="AD609" t="str"/>
    </x:row>
    <x:row r="610">
      <x:c r="A610" t="str">
        <x:v>REC0609</x:v>
      </x:c>
      <x:c r="B610" t="n">
        <x:v>608</x:v>
      </x:c>
      <x:c r="C610" t="str">
        <x:v>St. Thomas, USVI</x:v>
      </x:c>
      <x:c r="D610" t="str">
        <x:v>GV</x:v>
      </x:c>
      <x:c r="E610" t="str">
        <x:v>Ground Validation</x:v>
      </x:c>
      <x:c r="F610" t="str">
        <x:v>Seaviewer Drop Camera</x:v>
      </x:c>
      <x:c r="G610" t="str">
        <x:v>GV2011_241</x:v>
      </x:c>
      <x:c r="H610" s="28" t="n">
        <x:v>40643</x:v>
      </x:c>
      <x:c r="I610" t="str">
        <x:v>09:33:09</x:v>
      </x:c>
      <x:c r="J610" t="n">
        <x:v>2011</x:v>
      </x:c>
      <x:c r="K610" t="n">
        <x:v>18.24786413</x:v>
      </x:c>
      <x:c r="L610" t="n">
        <x:v>-64.94958606</x:v>
      </x:c>
      <x:c r="M610" t="n">
        <x:v>39.791</x:v>
      </x:c>
      <x:c r="N610" t="str">
        <x:v>https://nccospublicstor.blob.core.windows.net/biomapper/usviinsularshelf2017/videos/low/GV2011_241.mp4</x:v>
      </x:c>
      <x:c r="O610" t="n">
        <x:v>0</x:v>
      </x:c>
      <x:c r="P610" t="n">
        <x:v>0</x:v>
      </x:c>
      <x:c r="Q610" t="n">
        <x:v>1</x:v>
      </x:c>
      <x:c r="R610" t="n">
        <x:v>1</x:v>
      </x:c>
      <x:c r="S610" t="n">
        <x:v>0</x:v>
      </x:c>
      <x:c r="T610" t="n">
        <x:v>0</x:v>
      </x:c>
      <x:c r="U610" t="n">
        <x:v>1</x:v>
      </x:c>
      <x:c r="V610" t="n">
        <x:v>1</x:v>
      </x:c>
      <x:c r="W610" t="n">
        <x:v>0</x:v>
      </x:c>
      <x:c r="X610" t="n">
        <x:v>0</x:v>
      </x:c>
      <x:c r="Y610" t="n">
        <x:v>0</x:v>
      </x:c>
      <x:c r="Z610" t="n">
        <x:v>2</x:v>
      </x:c>
      <x:c r="AA610" t="n">
        <x:v>2</x:v>
      </x:c>
      <x:c r="AB610" t="str">
        <x:v>Pass</x:v>
      </x:c>
      <x:c r="AC610" t="str"/>
      <x:c r="AD610" t="str"/>
    </x:row>
    <x:row r="611">
      <x:c r="A611" t="str">
        <x:v>REC0610</x:v>
      </x:c>
      <x:c r="B611" t="n">
        <x:v>609</x:v>
      </x:c>
      <x:c r="C611" t="str">
        <x:v>St. Thomas, USVI</x:v>
      </x:c>
      <x:c r="D611" t="str">
        <x:v>GV</x:v>
      </x:c>
      <x:c r="E611" t="str">
        <x:v>Ground Validation</x:v>
      </x:c>
      <x:c r="F611" t="str">
        <x:v>Seaviewer Drop Camera</x:v>
      </x:c>
      <x:c r="G611" t="str">
        <x:v>GV2011_242</x:v>
      </x:c>
      <x:c r="H611" s="28" t="n">
        <x:v>40644</x:v>
      </x:c>
      <x:c r="I611" t="str">
        <x:v>07:56:02</x:v>
      </x:c>
      <x:c r="J611" t="n">
        <x:v>2011</x:v>
      </x:c>
      <x:c r="K611" t="n">
        <x:v>18.26259411</x:v>
      </x:c>
      <x:c r="L611" t="n">
        <x:v>-64.92979475</x:v>
      </x:c>
      <x:c r="M611" t="n">
        <x:v>31.308</x:v>
      </x:c>
      <x:c r="N611" t="str">
        <x:v>https://nccospublicstor.blob.core.windows.net/biomapper/usviinsularshelf2017/videos/low/GV2011_242.mp4</x:v>
      </x:c>
      <x:c r="O611" t="n">
        <x:v>0</x:v>
      </x:c>
      <x:c r="P611" t="n">
        <x:v>1</x:v>
      </x:c>
      <x:c r="Q611" t="n">
        <x:v>0</x:v>
      </x:c>
      <x:c r="R611" t="n">
        <x:v>0</x:v>
      </x:c>
      <x:c r="S611" t="n">
        <x:v>1</x:v>
      </x:c>
      <x:c r="T611" t="n">
        <x:v>1</x:v>
      </x:c>
      <x:c r="U611" t="n">
        <x:v>1</x:v>
      </x:c>
      <x:c r="V611" t="n">
        <x:v>1</x:v>
      </x:c>
      <x:c r="W611" t="n">
        <x:v>0</x:v>
      </x:c>
      <x:c r="X611" t="n">
        <x:v>0</x:v>
      </x:c>
      <x:c r="Y611" t="n">
        <x:v>0</x:v>
      </x:c>
      <x:c r="Z611" t="n">
        <x:v>1</x:v>
      </x:c>
      <x:c r="AA611" t="n">
        <x:v>4</x:v>
      </x:c>
      <x:c r="AB611" t="str">
        <x:v>Pass</x:v>
      </x:c>
      <x:c r="AC611" t="str"/>
      <x:c r="AD611" t="str"/>
    </x:row>
    <x:row r="612">
      <x:c r="A612" t="str">
        <x:v>REC0611</x:v>
      </x:c>
      <x:c r="B612" t="n">
        <x:v>610</x:v>
      </x:c>
      <x:c r="C612" t="str">
        <x:v>St. Thomas, USVI</x:v>
      </x:c>
      <x:c r="D612" t="str">
        <x:v>GV</x:v>
      </x:c>
      <x:c r="E612" t="str">
        <x:v>Ground Validation</x:v>
      </x:c>
      <x:c r="F612" t="str">
        <x:v>Seaviewer Drop Camera</x:v>
      </x:c>
      <x:c r="G612" t="str">
        <x:v>GV2011_243</x:v>
      </x:c>
      <x:c r="H612" s="28" t="n">
        <x:v>40644</x:v>
      </x:c>
      <x:c r="I612" t="str">
        <x:v>08:02:54</x:v>
      </x:c>
      <x:c r="J612" t="n">
        <x:v>2011</x:v>
      </x:c>
      <x:c r="K612" t="n">
        <x:v>18.26687331</x:v>
      </x:c>
      <x:c r="L612" t="n">
        <x:v>-64.93431505</x:v>
      </x:c>
      <x:c r="M612" t="n">
        <x:v>34.343</x:v>
      </x:c>
      <x:c r="N612" t="str">
        <x:v>https://nccospublicstor.blob.core.windows.net/biomapper/usviinsularshelf2017/videos/low/GV2011_243.mp4</x:v>
      </x:c>
      <x:c r="O612" t="n">
        <x:v>0</x:v>
      </x:c>
      <x:c r="P612" t="n">
        <x:v>0</x:v>
      </x:c>
      <x:c r="Q612" t="n">
        <x:v>1</x:v>
      </x:c>
      <x:c r="R612" t="n">
        <x:v>1</x:v>
      </x:c>
      <x:c r="S612" t="n">
        <x:v>0</x:v>
      </x:c>
      <x:c r="T612" t="n">
        <x:v>0</x:v>
      </x:c>
      <x:c r="U612" t="n">
        <x:v>1</x:v>
      </x:c>
      <x:c r="V612" t="n">
        <x:v>1</x:v>
      </x:c>
      <x:c r="W612" t="n">
        <x:v>0</x:v>
      </x:c>
      <x:c r="X612" t="n">
        <x:v>0</x:v>
      </x:c>
      <x:c r="Y612" t="n">
        <x:v>0</x:v>
      </x:c>
      <x:c r="Z612" t="n">
        <x:v>2</x:v>
      </x:c>
      <x:c r="AA612" t="n">
        <x:v>2</x:v>
      </x:c>
      <x:c r="AB612" t="str">
        <x:v>Pass</x:v>
      </x:c>
      <x:c r="AC612" t="str"/>
      <x:c r="AD612" t="str"/>
    </x:row>
    <x:row r="613">
      <x:c r="A613" t="str">
        <x:v>REC0612</x:v>
      </x:c>
      <x:c r="B613" t="n">
        <x:v>611</x:v>
      </x:c>
      <x:c r="C613" t="str">
        <x:v>St. Thomas, USVI</x:v>
      </x:c>
      <x:c r="D613" t="str">
        <x:v>GV</x:v>
      </x:c>
      <x:c r="E613" t="str">
        <x:v>Ground Validation</x:v>
      </x:c>
      <x:c r="F613" t="str">
        <x:v>Seaviewer Drop Camera</x:v>
      </x:c>
      <x:c r="G613" t="str">
        <x:v>GV2011_244</x:v>
      </x:c>
      <x:c r="H613" s="28" t="n">
        <x:v>40644</x:v>
      </x:c>
      <x:c r="I613" t="str">
        <x:v>08:09:33</x:v>
      </x:c>
      <x:c r="J613" t="n">
        <x:v>2011</x:v>
      </x:c>
      <x:c r="K613" t="n">
        <x:v>18.27120484</x:v>
      </x:c>
      <x:c r="L613" t="n">
        <x:v>-64.93858819</x:v>
      </x:c>
      <x:c r="M613" t="n">
        <x:v>33.559</x:v>
      </x:c>
      <x:c r="N613" t="str">
        <x:v>https://nccospublicstor.blob.core.windows.net/biomapper/usviinsularshelf2017/videos/low/GV2011_244.mp4</x:v>
      </x:c>
      <x:c r="O613" t="n">
        <x:v>0</x:v>
      </x:c>
      <x:c r="P613" t="n">
        <x:v>0</x:v>
      </x:c>
      <x:c r="Q613" t="n">
        <x:v>0</x:v>
      </x:c>
      <x:c r="R613" t="n">
        <x:v>1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1</x:v>
      </x:c>
      <x:c r="AA613" t="n">
        <x:v>0</x:v>
      </x:c>
      <x:c r="AB613" t="str">
        <x:v>Pass</x:v>
      </x:c>
      <x:c r="AC613" t="str"/>
      <x:c r="AD613" t="str"/>
    </x:row>
    <x:row r="614">
      <x:c r="A614" t="str">
        <x:v>REC0613</x:v>
      </x:c>
      <x:c r="B614" t="n">
        <x:v>612</x:v>
      </x:c>
      <x:c r="C614" t="str">
        <x:v>St. Thomas, USVI</x:v>
      </x:c>
      <x:c r="D614" t="str">
        <x:v>GV</x:v>
      </x:c>
      <x:c r="E614" t="str">
        <x:v>Ground Validation</x:v>
      </x:c>
      <x:c r="F614" t="str">
        <x:v>Seaviewer Drop Camera</x:v>
      </x:c>
      <x:c r="G614" t="str">
        <x:v>GV2011_245</x:v>
      </x:c>
      <x:c r="H614" s="28" t="n">
        <x:v>40644</x:v>
      </x:c>
      <x:c r="I614" t="str">
        <x:v>08:16:48</x:v>
      </x:c>
      <x:c r="J614" t="n">
        <x:v>2011</x:v>
      </x:c>
      <x:c r="K614" t="n">
        <x:v>18.27309333</x:v>
      </x:c>
      <x:c r="L614" t="n">
        <x:v>-64.94300355</x:v>
      </x:c>
      <x:c r="M614" t="n">
        <x:v>33.269</x:v>
      </x:c>
      <x:c r="N614" t="str">
        <x:v>https://nccospublicstor.blob.core.windows.net/biomapper/usviinsularshelf2017/videos/low/GV2011_245.mp4</x:v>
      </x:c>
      <x:c r="O614" t="n">
        <x:v>0</x:v>
      </x:c>
      <x:c r="P614" t="n">
        <x:v>0</x:v>
      </x:c>
      <x:c r="Q614" t="n">
        <x:v>1</x:v>
      </x:c>
      <x:c r="R614" t="n">
        <x:v>0</x:v>
      </x:c>
      <x:c r="S614" t="n">
        <x:v>0</x:v>
      </x:c>
      <x:c r="T614" t="n">
        <x:v>0</x:v>
      </x:c>
      <x:c r="U614" t="n">
        <x:v>1</x:v>
      </x:c>
      <x:c r="V614" t="n">
        <x:v>1</x:v>
      </x:c>
      <x:c r="W614" t="n">
        <x:v>0</x:v>
      </x:c>
      <x:c r="X614" t="n">
        <x:v>0</x:v>
      </x:c>
      <x:c r="Y614" t="n">
        <x:v>0</x:v>
      </x:c>
      <x:c r="Z614" t="n">
        <x:v>1</x:v>
      </x:c>
      <x:c r="AA614" t="n">
        <x:v>2</x:v>
      </x:c>
      <x:c r="AB614" t="str">
        <x:v>Pass</x:v>
      </x:c>
      <x:c r="AC614" t="str"/>
      <x:c r="AD614" t="str"/>
    </x:row>
    <x:row r="615">
      <x:c r="A615" t="str">
        <x:v>REC0614</x:v>
      </x:c>
      <x:c r="B615" t="n">
        <x:v>613</x:v>
      </x:c>
      <x:c r="C615" t="str">
        <x:v>St. Thomas, USVI</x:v>
      </x:c>
      <x:c r="D615" t="str">
        <x:v>GV</x:v>
      </x:c>
      <x:c r="E615" t="str">
        <x:v>Ground Validation</x:v>
      </x:c>
      <x:c r="F615" t="str">
        <x:v>Seaviewer Drop Camera</x:v>
      </x:c>
      <x:c r="G615" t="str">
        <x:v>GV2011_246</x:v>
      </x:c>
      <x:c r="H615" s="28" t="n">
        <x:v>40644</x:v>
      </x:c>
      <x:c r="I615" t="str">
        <x:v>08:21:25</x:v>
      </x:c>
      <x:c r="J615" t="n">
        <x:v>2011</x:v>
      </x:c>
      <x:c r="K615" t="n">
        <x:v>18.2700105</x:v>
      </x:c>
      <x:c r="L615" t="n">
        <x:v>-64.94623906</x:v>
      </x:c>
      <x:c r="M615" t="n">
        <x:v>33.919</x:v>
      </x:c>
      <x:c r="N615" t="str">
        <x:v>https://nccospublicstor.blob.core.windows.net/biomapper/usviinsularshelf2017/videos/low/GV2011_246.mp4</x:v>
      </x:c>
      <x:c r="O615" t="n">
        <x:v>0</x:v>
      </x:c>
      <x:c r="P615" t="n">
        <x:v>0</x:v>
      </x:c>
      <x:c r="Q615" t="n">
        <x:v>1</x:v>
      </x:c>
      <x:c r="R615" t="n">
        <x:v>1</x:v>
      </x:c>
      <x:c r="S615" t="n">
        <x:v>0</x:v>
      </x:c>
      <x:c r="T615" t="n">
        <x:v>0</x:v>
      </x:c>
      <x:c r="U615" t="n">
        <x:v>1</x:v>
      </x:c>
      <x:c r="V615" t="n">
        <x:v>1</x:v>
      </x:c>
      <x:c r="W615" t="n">
        <x:v>0</x:v>
      </x:c>
      <x:c r="X615" t="n">
        <x:v>0</x:v>
      </x:c>
      <x:c r="Y615" t="n">
        <x:v>0</x:v>
      </x:c>
      <x:c r="Z615" t="n">
        <x:v>2</x:v>
      </x:c>
      <x:c r="AA615" t="n">
        <x:v>2</x:v>
      </x:c>
      <x:c r="AB615" t="str">
        <x:v>Pass</x:v>
      </x:c>
      <x:c r="AC615" t="str"/>
      <x:c r="AD615" t="str"/>
    </x:row>
    <x:row r="616">
      <x:c r="A616" t="str">
        <x:v>REC0615</x:v>
      </x:c>
      <x:c r="B616" t="n">
        <x:v>614</x:v>
      </x:c>
      <x:c r="C616" t="str">
        <x:v>St. Thomas, USVI</x:v>
      </x:c>
      <x:c r="D616" t="str">
        <x:v>GV</x:v>
      </x:c>
      <x:c r="E616" t="str">
        <x:v>Ground Validation</x:v>
      </x:c>
      <x:c r="F616" t="str">
        <x:v>Seaviewer Drop Camera</x:v>
      </x:c>
      <x:c r="G616" t="str">
        <x:v>GV2011_247</x:v>
      </x:c>
      <x:c r="H616" s="28" t="n">
        <x:v>40644</x:v>
      </x:c>
      <x:c r="I616" t="str">
        <x:v>08:28:42</x:v>
      </x:c>
      <x:c r="J616" t="n">
        <x:v>2011</x:v>
      </x:c>
      <x:c r="K616" t="n">
        <x:v>18.26671846</x:v>
      </x:c>
      <x:c r="L616" t="n">
        <x:v>-64.95286077</x:v>
      </x:c>
      <x:c r="M616" t="n">
        <x:v>32.819</x:v>
      </x:c>
      <x:c r="N616" t="str">
        <x:v>https://nccospublicstor.blob.core.windows.net/biomapper/usviinsularshelf2017/videos/low/GV2011_247.mp4</x:v>
      </x:c>
      <x:c r="O616" t="n">
        <x:v>0</x:v>
      </x:c>
      <x:c r="P616" t="n">
        <x:v>0</x:v>
      </x:c>
      <x:c r="Q616" t="n">
        <x:v>1</x:v>
      </x:c>
      <x:c r="R616" t="n">
        <x:v>1</x:v>
      </x:c>
      <x:c r="S616" t="n">
        <x:v>0</x:v>
      </x:c>
      <x:c r="T616" t="n">
        <x:v>0</x:v>
      </x:c>
      <x:c r="U616" t="n">
        <x:v>1</x:v>
      </x:c>
      <x:c r="V616" t="n">
        <x:v>1</x:v>
      </x:c>
      <x:c r="W616" t="n">
        <x:v>0</x:v>
      </x:c>
      <x:c r="X616" t="n">
        <x:v>0</x:v>
      </x:c>
      <x:c r="Y616" t="n">
        <x:v>0</x:v>
      </x:c>
      <x:c r="Z616" t="n">
        <x:v>2</x:v>
      </x:c>
      <x:c r="AA616" t="n">
        <x:v>2</x:v>
      </x:c>
      <x:c r="AB616" t="str">
        <x:v>Pass</x:v>
      </x:c>
      <x:c r="AC616" t="str"/>
      <x:c r="AD616" t="str"/>
    </x:row>
    <x:row r="617">
      <x:c r="A617" t="str">
        <x:v>REC0616</x:v>
      </x:c>
      <x:c r="B617" t="n">
        <x:v>615</x:v>
      </x:c>
      <x:c r="C617" t="str">
        <x:v>St. Thomas, USVI</x:v>
      </x:c>
      <x:c r="D617" t="str">
        <x:v>GV</x:v>
      </x:c>
      <x:c r="E617" t="str">
        <x:v>Ground Validation</x:v>
      </x:c>
      <x:c r="F617" t="str">
        <x:v>Seaviewer Drop Camera</x:v>
      </x:c>
      <x:c r="G617" t="str">
        <x:v>GV2011_248</x:v>
      </x:c>
      <x:c r="H617" s="28" t="n">
        <x:v>40644</x:v>
      </x:c>
      <x:c r="I617" t="str">
        <x:v>08:32:59</x:v>
      </x:c>
      <x:c r="J617" t="n">
        <x:v>2011</x:v>
      </x:c>
      <x:c r="K617" t="n">
        <x:v>18.26517164</x:v>
      </x:c>
      <x:c r="L617" t="n">
        <x:v>-64.95465452</x:v>
      </x:c>
      <x:c r="M617" t="n">
        <x:v>34.072</x:v>
      </x:c>
      <x:c r="N617" t="str">
        <x:v>https://nccospublicstor.blob.core.windows.net/biomapper/usviinsularshelf2017/videos/low/GV2011_248.mp4</x:v>
      </x:c>
      <x:c r="O617" t="n">
        <x:v>0</x:v>
      </x:c>
      <x:c r="P617" t="n">
        <x:v>0</x:v>
      </x:c>
      <x:c r="Q617" t="n">
        <x:v>0</x:v>
      </x:c>
      <x:c r="R617" t="n">
        <x:v>1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1</x:v>
      </x:c>
      <x:c r="AA617" t="n">
        <x:v>0</x:v>
      </x:c>
      <x:c r="AB617" t="str">
        <x:v>Pass</x:v>
      </x:c>
      <x:c r="AC617" t="str"/>
      <x:c r="AD617" t="str"/>
    </x:row>
    <x:row r="618">
      <x:c r="A618" t="str">
        <x:v>REC0617</x:v>
      </x:c>
      <x:c r="B618" t="n">
        <x:v>616</x:v>
      </x:c>
      <x:c r="C618" t="str">
        <x:v>St. Thomas, USVI</x:v>
      </x:c>
      <x:c r="D618" t="str">
        <x:v>GV</x:v>
      </x:c>
      <x:c r="E618" t="str">
        <x:v>Ground Validation</x:v>
      </x:c>
      <x:c r="F618" t="str">
        <x:v>Seaviewer Drop Camera</x:v>
      </x:c>
      <x:c r="G618" t="str">
        <x:v>GV2011_249</x:v>
      </x:c>
      <x:c r="H618" s="28" t="n">
        <x:v>40644</x:v>
      </x:c>
      <x:c r="I618" t="str">
        <x:v>08:38:12</x:v>
      </x:c>
      <x:c r="J618" t="n">
        <x:v>2011</x:v>
      </x:c>
      <x:c r="K618" t="n">
        <x:v>18.26322476</x:v>
      </x:c>
      <x:c r="L618" t="n">
        <x:v>-64.95760272</x:v>
      </x:c>
      <x:c r="M618" t="n">
        <x:v>34.59</x:v>
      </x:c>
      <x:c r="N618" t="str">
        <x:v>https://nccospublicstor.blob.core.windows.net/biomapper/usviinsularshelf2017/videos/low/GV2011_249.mp4</x:v>
      </x:c>
      <x:c r="O618" t="n">
        <x:v>0</x:v>
      </x:c>
      <x:c r="P618" t="n">
        <x:v>0</x:v>
      </x:c>
      <x:c r="Q618" t="n">
        <x:v>1</x:v>
      </x:c>
      <x:c r="R618" t="n">
        <x:v>1</x:v>
      </x:c>
      <x:c r="S618" t="n">
        <x:v>0</x:v>
      </x:c>
      <x:c r="T618" t="n">
        <x:v>0</x:v>
      </x:c>
      <x:c r="U618" t="n">
        <x:v>1</x:v>
      </x:c>
      <x:c r="V618" t="n">
        <x:v>1</x:v>
      </x:c>
      <x:c r="W618" t="n">
        <x:v>0</x:v>
      </x:c>
      <x:c r="X618" t="n">
        <x:v>0</x:v>
      </x:c>
      <x:c r="Y618" t="n">
        <x:v>0</x:v>
      </x:c>
      <x:c r="Z618" t="n">
        <x:v>2</x:v>
      </x:c>
      <x:c r="AA618" t="n">
        <x:v>2</x:v>
      </x:c>
      <x:c r="AB618" t="str">
        <x:v>Pass</x:v>
      </x:c>
      <x:c r="AC618" t="str"/>
      <x:c r="AD618" t="str"/>
    </x:row>
    <x:row r="619">
      <x:c r="A619" t="str">
        <x:v>REC0618</x:v>
      </x:c>
      <x:c r="B619" t="n">
        <x:v>617</x:v>
      </x:c>
      <x:c r="C619" t="str">
        <x:v>St. Thomas, USVI</x:v>
      </x:c>
      <x:c r="D619" t="str">
        <x:v>GV</x:v>
      </x:c>
      <x:c r="E619" t="str">
        <x:v>Ground Validation</x:v>
      </x:c>
      <x:c r="F619" t="str">
        <x:v>Seaviewer Drop Camera</x:v>
      </x:c>
      <x:c r="G619" t="str">
        <x:v>GV2011_250</x:v>
      </x:c>
      <x:c r="H619" s="28" t="n">
        <x:v>40644</x:v>
      </x:c>
      <x:c r="I619" t="str">
        <x:v>08:46:28</x:v>
      </x:c>
      <x:c r="J619" t="n">
        <x:v>2011</x:v>
      </x:c>
      <x:c r="K619" t="n">
        <x:v>18.25872471</x:v>
      </x:c>
      <x:c r="L619" t="n">
        <x:v>-64.96251386</x:v>
      </x:c>
      <x:c r="M619" t="n">
        <x:v>27.615</x:v>
      </x:c>
      <x:c r="N619" t="str">
        <x:v>https://nccospublicstor.blob.core.windows.net/biomapper/usviinsularshelf2017/videos/low/GV2011_250.mp4</x:v>
      </x:c>
      <x:c r="O619" t="n">
        <x:v>0</x:v>
      </x:c>
      <x:c r="P619" t="n">
        <x:v>1</x:v>
      </x:c>
      <x:c r="Q619" t="n">
        <x:v>0</x:v>
      </x:c>
      <x:c r="R619" t="n">
        <x:v>0</x:v>
      </x:c>
      <x:c r="S619" t="n">
        <x:v>1</x:v>
      </x:c>
      <x:c r="T619" t="n">
        <x:v>1</x:v>
      </x:c>
      <x:c r="U619" t="n">
        <x:v>1</x:v>
      </x:c>
      <x:c r="V619" t="n">
        <x:v>1</x:v>
      </x:c>
      <x:c r="W619" t="n">
        <x:v>0</x:v>
      </x:c>
      <x:c r="X619" t="n">
        <x:v>0</x:v>
      </x:c>
      <x:c r="Y619" t="n">
        <x:v>0</x:v>
      </x:c>
      <x:c r="Z619" t="n">
        <x:v>1</x:v>
      </x:c>
      <x:c r="AA619" t="n">
        <x:v>4</x:v>
      </x:c>
      <x:c r="AB619" t="str">
        <x:v>Pass</x:v>
      </x:c>
      <x:c r="AC619" t="str"/>
      <x:c r="AD619" t="str"/>
    </x:row>
    <x:row r="620">
      <x:c r="A620" t="str">
        <x:v>REC0619</x:v>
      </x:c>
      <x:c r="B620" t="n">
        <x:v>618</x:v>
      </x:c>
      <x:c r="C620" t="str">
        <x:v>St. Thomas, USVI</x:v>
      </x:c>
      <x:c r="D620" t="str">
        <x:v>GV</x:v>
      </x:c>
      <x:c r="E620" t="str">
        <x:v>Ground Validation</x:v>
      </x:c>
      <x:c r="F620" t="str">
        <x:v>Seaviewer Drop Camera</x:v>
      </x:c>
      <x:c r="G620" t="str">
        <x:v>GV2011_251</x:v>
      </x:c>
      <x:c r="H620" s="28" t="n">
        <x:v>40644</x:v>
      </x:c>
      <x:c r="I620" t="str">
        <x:v>08:51:57</x:v>
      </x:c>
      <x:c r="J620" t="n">
        <x:v>2011</x:v>
      </x:c>
      <x:c r="K620" t="n">
        <x:v>18.25568971</x:v>
      </x:c>
      <x:c r="L620" t="n">
        <x:v>-64.9651731</x:v>
      </x:c>
      <x:c r="M620" t="n">
        <x:v>37.18</x:v>
      </x:c>
      <x:c r="N620" t="str">
        <x:v>https://nccospublicstor.blob.core.windows.net/biomapper/usviinsularshelf2017/videos/low/GV2011_251.mp4</x:v>
      </x:c>
      <x:c r="O620" t="n">
        <x:v>0</x:v>
      </x:c>
      <x:c r="P620" t="n">
        <x:v>0</x:v>
      </x:c>
      <x:c r="Q620" t="n">
        <x:v>1</x:v>
      </x:c>
      <x:c r="R620" t="n">
        <x:v>1</x:v>
      </x:c>
      <x:c r="S620" t="n">
        <x:v>0</x:v>
      </x:c>
      <x:c r="T620" t="n">
        <x:v>0</x:v>
      </x:c>
      <x:c r="U620" t="n">
        <x:v>1</x:v>
      </x:c>
      <x:c r="V620" t="n">
        <x:v>1</x:v>
      </x:c>
      <x:c r="W620" t="n">
        <x:v>0</x:v>
      </x:c>
      <x:c r="X620" t="n">
        <x:v>0</x:v>
      </x:c>
      <x:c r="Y620" t="n">
        <x:v>0</x:v>
      </x:c>
      <x:c r="Z620" t="n">
        <x:v>2</x:v>
      </x:c>
      <x:c r="AA620" t="n">
        <x:v>2</x:v>
      </x:c>
      <x:c r="AB620" t="str">
        <x:v>Pass</x:v>
      </x:c>
      <x:c r="AC620" t="str"/>
      <x:c r="AD620" t="str"/>
    </x:row>
    <x:row r="621">
      <x:c r="A621" t="str">
        <x:v>REC0620</x:v>
      </x:c>
      <x:c r="B621" t="n">
        <x:v>619</x:v>
      </x:c>
      <x:c r="C621" t="str">
        <x:v>St. Thomas, USVI</x:v>
      </x:c>
      <x:c r="D621" t="str">
        <x:v>GV</x:v>
      </x:c>
      <x:c r="E621" t="str">
        <x:v>Ground Validation</x:v>
      </x:c>
      <x:c r="F621" t="str">
        <x:v>Seaviewer Drop Camera</x:v>
      </x:c>
      <x:c r="G621" t="str">
        <x:v>GV2011_252</x:v>
      </x:c>
      <x:c r="H621" s="28" t="n">
        <x:v>40644</x:v>
      </x:c>
      <x:c r="I621" t="str">
        <x:v>09:19:29</x:v>
      </x:c>
      <x:c r="J621" t="n">
        <x:v>2011</x:v>
      </x:c>
      <x:c r="K621" t="n">
        <x:v>18.27078235</x:v>
      </x:c>
      <x:c r="L621" t="n">
        <x:v>-64.97854394</x:v>
      </x:c>
      <x:c r="M621" t="n">
        <x:v>34.139</x:v>
      </x:c>
      <x:c r="N621" t="str">
        <x:v>https://nccospublicstor.blob.core.windows.net/biomapper/usviinsularshelf2017/videos/low/GV2011_252.mp4</x:v>
      </x:c>
      <x:c r="O621" t="n">
        <x:v>0</x:v>
      </x:c>
      <x:c r="P621" t="n">
        <x:v>0</x:v>
      </x:c>
      <x:c r="Q621" t="n">
        <x:v>1</x:v>
      </x:c>
      <x:c r="R621" t="n">
        <x:v>0</x:v>
      </x:c>
      <x:c r="S621" t="n">
        <x:v>0</x:v>
      </x:c>
      <x:c r="T621" t="n">
        <x:v>0</x:v>
      </x:c>
      <x:c r="U621" t="n">
        <x:v>1</x:v>
      </x:c>
      <x:c r="V621" t="n">
        <x:v>1</x:v>
      </x:c>
      <x:c r="W621" t="n">
        <x:v>0</x:v>
      </x:c>
      <x:c r="X621" t="n">
        <x:v>0</x:v>
      </x:c>
      <x:c r="Y621" t="n">
        <x:v>0</x:v>
      </x:c>
      <x:c r="Z621" t="n">
        <x:v>1</x:v>
      </x:c>
      <x:c r="AA621" t="n">
        <x:v>2</x:v>
      </x:c>
      <x:c r="AB621" t="str">
        <x:v>Pass</x:v>
      </x:c>
      <x:c r="AC621" t="str"/>
      <x:c r="AD621" t="str"/>
    </x:row>
    <x:row r="622">
      <x:c r="A622" t="str">
        <x:v>REC0621</x:v>
      </x:c>
      <x:c r="B622" t="n">
        <x:v>620</x:v>
      </x:c>
      <x:c r="C622" t="str">
        <x:v>St. Thomas, USVI</x:v>
      </x:c>
      <x:c r="D622" t="str">
        <x:v>GV</x:v>
      </x:c>
      <x:c r="E622" t="str">
        <x:v>Ground Validation</x:v>
      </x:c>
      <x:c r="F622" t="str">
        <x:v>Seaviewer Drop Camera</x:v>
      </x:c>
      <x:c r="G622" t="str">
        <x:v>GV2011_253</x:v>
      </x:c>
      <x:c r="H622" s="28" t="n">
        <x:v>40644</x:v>
      </x:c>
      <x:c r="I622" t="str">
        <x:v>09:27:42</x:v>
      </x:c>
      <x:c r="J622" t="n">
        <x:v>2011</x:v>
      </x:c>
      <x:c r="K622" t="n">
        <x:v>18.26710717</x:v>
      </x:c>
      <x:c r="L622" t="n">
        <x:v>-64.9876672</x:v>
      </x:c>
      <x:c r="M622" t="n">
        <x:v>34.053</x:v>
      </x:c>
      <x:c r="N622" t="str">
        <x:v>https://nccospublicstor.blob.core.windows.net/biomapper/usviinsularshelf2017/videos/low/GV2011_253.mp4</x:v>
      </x:c>
      <x:c r="O622" t="n">
        <x:v>0</x:v>
      </x:c>
      <x:c r="P622" t="n">
        <x:v>0</x:v>
      </x:c>
      <x:c r="Q622" t="n">
        <x:v>1</x:v>
      </x:c>
      <x:c r="R622" t="n">
        <x:v>1</x:v>
      </x:c>
      <x:c r="S622" t="n">
        <x:v>0</x:v>
      </x:c>
      <x:c r="T622" t="n">
        <x:v>0</x:v>
      </x:c>
      <x:c r="U622" t="n">
        <x:v>1</x:v>
      </x:c>
      <x:c r="V622" t="n">
        <x:v>1</x:v>
      </x:c>
      <x:c r="W622" t="n">
        <x:v>0</x:v>
      </x:c>
      <x:c r="X622" t="n">
        <x:v>0</x:v>
      </x:c>
      <x:c r="Y622" t="n">
        <x:v>0</x:v>
      </x:c>
      <x:c r="Z622" t="n">
        <x:v>2</x:v>
      </x:c>
      <x:c r="AA622" t="n">
        <x:v>2</x:v>
      </x:c>
      <x:c r="AB622" t="str">
        <x:v>Pass</x:v>
      </x:c>
      <x:c r="AC622" t="str"/>
      <x:c r="AD622" t="str"/>
    </x:row>
    <x:row r="623">
      <x:c r="A623" t="str">
        <x:v>REC0622</x:v>
      </x:c>
      <x:c r="B623" t="n">
        <x:v>621</x:v>
      </x:c>
      <x:c r="C623" t="str">
        <x:v>St. Thomas, USVI</x:v>
      </x:c>
      <x:c r="D623" t="str">
        <x:v>GV</x:v>
      </x:c>
      <x:c r="E623" t="str">
        <x:v>Ground Validation</x:v>
      </x:c>
      <x:c r="F623" t="str">
        <x:v>Seaviewer Drop Camera</x:v>
      </x:c>
      <x:c r="G623" t="str">
        <x:v>GV2011_254</x:v>
      </x:c>
      <x:c r="H623" s="28" t="n">
        <x:v>40644</x:v>
      </x:c>
      <x:c r="I623" t="str">
        <x:v>09:35:10</x:v>
      </x:c>
      <x:c r="J623" t="n">
        <x:v>2011</x:v>
      </x:c>
      <x:c r="K623" t="n">
        <x:v>18.26278179</x:v>
      </x:c>
      <x:c r="L623" t="n">
        <x:v>-64.99744182</x:v>
      </x:c>
      <x:c r="M623" t="n">
        <x:v>34.139</x:v>
      </x:c>
      <x:c r="N623" t="str">
        <x:v>https://nccospublicstor.blob.core.windows.net/biomapper/usviinsularshelf2017/videos/low/GV2011_254.mp4</x:v>
      </x:c>
      <x:c r="O623" t="n">
        <x:v>0</x:v>
      </x:c>
      <x:c r="P623" t="n">
        <x:v>0</x:v>
      </x:c>
      <x:c r="Q623" t="n">
        <x:v>1</x:v>
      </x:c>
      <x:c r="R623" t="n">
        <x:v>1</x:v>
      </x:c>
      <x:c r="S623" t="n">
        <x:v>0</x:v>
      </x:c>
      <x:c r="T623" t="n">
        <x:v>0</x:v>
      </x:c>
      <x:c r="U623" t="n">
        <x:v>1</x:v>
      </x:c>
      <x:c r="V623" t="n">
        <x:v>1</x:v>
      </x:c>
      <x:c r="W623" t="n">
        <x:v>0</x:v>
      </x:c>
      <x:c r="X623" t="n">
        <x:v>0</x:v>
      </x:c>
      <x:c r="Y623" t="n">
        <x:v>0</x:v>
      </x:c>
      <x:c r="Z623" t="n">
        <x:v>2</x:v>
      </x:c>
      <x:c r="AA623" t="n">
        <x:v>2</x:v>
      </x:c>
      <x:c r="AB623" t="str">
        <x:v>Pass</x:v>
      </x:c>
      <x:c r="AC623" t="str"/>
      <x:c r="AD623" t="str"/>
    </x:row>
    <x:row r="624">
      <x:c r="A624" t="str">
        <x:v>REC0623</x:v>
      </x:c>
      <x:c r="B624" t="n">
        <x:v>622</x:v>
      </x:c>
      <x:c r="C624" t="str">
        <x:v>St. Thomas, USVI</x:v>
      </x:c>
      <x:c r="D624" t="str">
        <x:v>GV</x:v>
      </x:c>
      <x:c r="E624" t="str">
        <x:v>Ground Validation</x:v>
      </x:c>
      <x:c r="F624" t="str">
        <x:v>Seaviewer Drop Camera</x:v>
      </x:c>
      <x:c r="G624" t="str">
        <x:v>GV2011_255</x:v>
      </x:c>
      <x:c r="H624" s="28" t="n">
        <x:v>40644</x:v>
      </x:c>
      <x:c r="I624" t="str">
        <x:v>09:43:44</x:v>
      </x:c>
      <x:c r="J624" t="n">
        <x:v>2011</x:v>
      </x:c>
      <x:c r="K624" t="n">
        <x:v>18.26624477</x:v>
      </x:c>
      <x:c r="L624" t="n">
        <x:v>-65.00617099</x:v>
      </x:c>
      <x:c r="M624" t="n">
        <x:v>33.489</x:v>
      </x:c>
      <x:c r="N624" t="str">
        <x:v>https://nccospublicstor.blob.core.windows.net/biomapper/usviinsularshelf2017/videos/low/GV2011_255.mp4</x:v>
      </x:c>
      <x:c r="O624" t="n">
        <x:v>0</x:v>
      </x:c>
      <x:c r="P624" t="n">
        <x:v>0</x:v>
      </x:c>
      <x:c r="Q624" t="n">
        <x:v>1</x:v>
      </x:c>
      <x:c r="R624" t="n">
        <x:v>0</x:v>
      </x:c>
      <x:c r="S624" t="n">
        <x:v>0</x:v>
      </x:c>
      <x:c r="T624" t="n">
        <x:v>0</x:v>
      </x:c>
      <x:c r="U624" t="n">
        <x:v>1</x:v>
      </x:c>
      <x:c r="V624" t="n">
        <x:v>1</x:v>
      </x:c>
      <x:c r="W624" t="n">
        <x:v>0</x:v>
      </x:c>
      <x:c r="X624" t="n">
        <x:v>0</x:v>
      </x:c>
      <x:c r="Y624" t="n">
        <x:v>0</x:v>
      </x:c>
      <x:c r="Z624" t="n">
        <x:v>1</x:v>
      </x:c>
      <x:c r="AA624" t="n">
        <x:v>2</x:v>
      </x:c>
      <x:c r="AB624" t="str">
        <x:v>Pass</x:v>
      </x:c>
      <x:c r="AC624" t="str"/>
      <x:c r="AD624" t="str"/>
    </x:row>
    <x:row r="625">
      <x:c r="A625" t="str">
        <x:v>REC0624</x:v>
      </x:c>
      <x:c r="B625" t="n">
        <x:v>623</x:v>
      </x:c>
      <x:c r="C625" t="str">
        <x:v>St. Thomas, USVI</x:v>
      </x:c>
      <x:c r="D625" t="str">
        <x:v>GV</x:v>
      </x:c>
      <x:c r="E625" t="str">
        <x:v>Ground Validation</x:v>
      </x:c>
      <x:c r="F625" t="str">
        <x:v>Seaviewer Drop Camera</x:v>
      </x:c>
      <x:c r="G625" t="str">
        <x:v>GV2011_256</x:v>
      </x:c>
      <x:c r="H625" s="28" t="n">
        <x:v>40644</x:v>
      </x:c>
      <x:c r="I625" t="str">
        <x:v>11:47:33</x:v>
      </x:c>
      <x:c r="J625" t="n">
        <x:v>2011</x:v>
      </x:c>
      <x:c r="K625" t="n">
        <x:v>18.26854318</x:v>
      </x:c>
      <x:c r="L625" t="n">
        <x:v>-65.01270107</x:v>
      </x:c>
      <x:c r="M625" t="n">
        <x:v>33.489</x:v>
      </x:c>
      <x:c r="N625" t="str">
        <x:v>https://nccospublicstor.blob.core.windows.net/biomapper/usviinsularshelf2017/videos/low/GV2011_256.mp4</x:v>
      </x:c>
      <x:c r="O625" t="n">
        <x:v>0</x:v>
      </x:c>
      <x:c r="P625" t="n">
        <x:v>0</x:v>
      </x:c>
      <x:c r="Q625" t="n">
        <x:v>1</x:v>
      </x:c>
      <x:c r="R625" t="n">
        <x:v>1</x:v>
      </x:c>
      <x:c r="S625" t="n">
        <x:v>0</x:v>
      </x:c>
      <x:c r="T625" t="n">
        <x:v>0</x:v>
      </x:c>
      <x:c r="U625" t="n">
        <x:v>1</x:v>
      </x:c>
      <x:c r="V625" t="n">
        <x:v>1</x:v>
      </x:c>
      <x:c r="W625" t="n">
        <x:v>0</x:v>
      </x:c>
      <x:c r="X625" t="n">
        <x:v>0</x:v>
      </x:c>
      <x:c r="Y625" t="n">
        <x:v>0</x:v>
      </x:c>
      <x:c r="Z625" t="n">
        <x:v>2</x:v>
      </x:c>
      <x:c r="AA625" t="n">
        <x:v>2</x:v>
      </x:c>
      <x:c r="AB625" t="str">
        <x:v>Pass</x:v>
      </x:c>
      <x:c r="AC625" t="str"/>
      <x:c r="AD625" t="str"/>
    </x:row>
    <x:row r="626">
      <x:c r="A626" t="str">
        <x:v>REC0625</x:v>
      </x:c>
      <x:c r="B626" t="n">
        <x:v>624</x:v>
      </x:c>
      <x:c r="C626" t="str">
        <x:v>St. Thomas, USVI</x:v>
      </x:c>
      <x:c r="D626" t="str">
        <x:v>GV</x:v>
      </x:c>
      <x:c r="E626" t="str">
        <x:v>Ground Validation</x:v>
      </x:c>
      <x:c r="F626" t="str">
        <x:v>Seaviewer Drop Camera</x:v>
      </x:c>
      <x:c r="G626" t="str">
        <x:v>GV2011_257</x:v>
      </x:c>
      <x:c r="H626" s="28" t="n">
        <x:v>40644</x:v>
      </x:c>
      <x:c r="I626" t="str">
        <x:v>11:57:11</x:v>
      </x:c>
      <x:c r="J626" t="n">
        <x:v>2011</x:v>
      </x:c>
      <x:c r="K626" t="n">
        <x:v>18.27139122</x:v>
      </x:c>
      <x:c r="L626" t="n">
        <x:v>-65.02136355</x:v>
      </x:c>
      <x:c r="M626" t="n">
        <x:v>33.399</x:v>
      </x:c>
      <x:c r="N626" t="str">
        <x:v>https://nccospublicstor.blob.core.windows.net/biomapper/usviinsularshelf2017/videos/low/GV2011_257.mp4</x:v>
      </x:c>
      <x:c r="O626" t="n">
        <x:v>0</x:v>
      </x:c>
      <x:c r="P626" t="n">
        <x:v>0</x:v>
      </x:c>
      <x:c r="Q626" t="n">
        <x:v>1</x:v>
      </x:c>
      <x:c r="R626" t="n">
        <x:v>0</x:v>
      </x:c>
      <x:c r="S626" t="n">
        <x:v>0</x:v>
      </x:c>
      <x:c r="T626" t="n">
        <x:v>0</x:v>
      </x:c>
      <x:c r="U626" t="n">
        <x:v>1</x:v>
      </x:c>
      <x:c r="V626" t="n">
        <x:v>1</x:v>
      </x:c>
      <x:c r="W626" t="n">
        <x:v>0</x:v>
      </x:c>
      <x:c r="X626" t="n">
        <x:v>0</x:v>
      </x:c>
      <x:c r="Y626" t="n">
        <x:v>0</x:v>
      </x:c>
      <x:c r="Z626" t="n">
        <x:v>1</x:v>
      </x:c>
      <x:c r="AA626" t="n">
        <x:v>2</x:v>
      </x:c>
      <x:c r="AB626" t="str">
        <x:v>Pass</x:v>
      </x:c>
      <x:c r="AC626" t="str"/>
      <x:c r="AD626" t="str"/>
    </x:row>
    <x:row r="627">
      <x:c r="A627" t="str">
        <x:v>REC0626</x:v>
      </x:c>
      <x:c r="B627" t="n">
        <x:v>625</x:v>
      </x:c>
      <x:c r="C627" t="str">
        <x:v>St. Thomas, USVI</x:v>
      </x:c>
      <x:c r="D627" t="str">
        <x:v>GV</x:v>
      </x:c>
      <x:c r="E627" t="str">
        <x:v>Ground Validation</x:v>
      </x:c>
      <x:c r="F627" t="str">
        <x:v>Seaviewer Drop Camera</x:v>
      </x:c>
      <x:c r="G627" t="str">
        <x:v>GV2011_258</x:v>
      </x:c>
      <x:c r="H627" s="28" t="n">
        <x:v>40644</x:v>
      </x:c>
      <x:c r="I627" t="str">
        <x:v>12:10:19</x:v>
      </x:c>
      <x:c r="J627" t="n">
        <x:v>2011</x:v>
      </x:c>
      <x:c r="K627" t="n">
        <x:v>18.26860834</x:v>
      </x:c>
      <x:c r="L627" t="n">
        <x:v>-65.03448165</x:v>
      </x:c>
      <x:c r="M627" t="n">
        <x:v>33.206</x:v>
      </x:c>
      <x:c r="N627" t="str">
        <x:v>https://nccospublicstor.blob.core.windows.net/biomapper/usviinsularshelf2017/videos/low/GV2011_258.mp4</x:v>
      </x:c>
      <x:c r="O627" t="n">
        <x:v>0</x:v>
      </x:c>
      <x:c r="P627" t="n">
        <x:v>0</x:v>
      </x:c>
      <x:c r="Q627" t="n">
        <x:v>1</x:v>
      </x:c>
      <x:c r="R627" t="n">
        <x:v>0</x:v>
      </x:c>
      <x:c r="S627" t="n">
        <x:v>0</x:v>
      </x:c>
      <x:c r="T627" t="n">
        <x:v>0</x:v>
      </x:c>
      <x:c r="U627" t="n">
        <x:v>1</x:v>
      </x:c>
      <x:c r="V627" t="n">
        <x:v>1</x:v>
      </x:c>
      <x:c r="W627" t="n">
        <x:v>0</x:v>
      </x:c>
      <x:c r="X627" t="n">
        <x:v>0</x:v>
      </x:c>
      <x:c r="Y627" t="n">
        <x:v>0</x:v>
      </x:c>
      <x:c r="Z627" t="n">
        <x:v>1</x:v>
      </x:c>
      <x:c r="AA627" t="n">
        <x:v>2</x:v>
      </x:c>
      <x:c r="AB627" t="str">
        <x:v>Pass</x:v>
      </x:c>
      <x:c r="AC627" t="str"/>
      <x:c r="AD627" t="str"/>
    </x:row>
    <x:row r="628">
      <x:c r="A628" t="str">
        <x:v>REC0627</x:v>
      </x:c>
      <x:c r="B628" t="n">
        <x:v>626</x:v>
      </x:c>
      <x:c r="C628" t="str">
        <x:v>St. Thomas, USVI</x:v>
      </x:c>
      <x:c r="D628" t="str">
        <x:v>GV</x:v>
      </x:c>
      <x:c r="E628" t="str">
        <x:v>Ground Validation</x:v>
      </x:c>
      <x:c r="F628" t="str">
        <x:v>Seaviewer Drop Camera</x:v>
      </x:c>
      <x:c r="G628" t="str">
        <x:v>GV2011_259</x:v>
      </x:c>
      <x:c r="H628" s="28" t="n">
        <x:v>40644</x:v>
      </x:c>
      <x:c r="I628" t="str">
        <x:v>12:21:26</x:v>
      </x:c>
      <x:c r="J628" t="n">
        <x:v>2011</x:v>
      </x:c>
      <x:c r="K628" t="n">
        <x:v>18.26539844</x:v>
      </x:c>
      <x:c r="L628" t="n">
        <x:v>-65.0463852</x:v>
      </x:c>
      <x:c r="M628" t="n">
        <x:v>34.574</x:v>
      </x:c>
      <x:c r="N628" t="str">
        <x:v>https://nccospublicstor.blob.core.windows.net/biomapper/usviinsularshelf2017/videos/low/GV2011_259.mp4</x:v>
      </x:c>
      <x:c r="O628" t="n">
        <x:v>0</x:v>
      </x:c>
      <x:c r="P628" t="n">
        <x:v>0</x:v>
      </x:c>
      <x:c r="Q628" t="n">
        <x:v>1</x:v>
      </x:c>
      <x:c r="R628" t="n">
        <x:v>1</x:v>
      </x:c>
      <x:c r="S628" t="n">
        <x:v>0</x:v>
      </x:c>
      <x:c r="T628" t="n">
        <x:v>0</x:v>
      </x:c>
      <x:c r="U628" t="n">
        <x:v>1</x:v>
      </x:c>
      <x:c r="V628" t="n">
        <x:v>1</x:v>
      </x:c>
      <x:c r="W628" t="n">
        <x:v>0</x:v>
      </x:c>
      <x:c r="X628" t="n">
        <x:v>0</x:v>
      </x:c>
      <x:c r="Y628" t="n">
        <x:v>0</x:v>
      </x:c>
      <x:c r="Z628" t="n">
        <x:v>2</x:v>
      </x:c>
      <x:c r="AA628" t="n">
        <x:v>2</x:v>
      </x:c>
      <x:c r="AB628" t="str">
        <x:v>Pass</x:v>
      </x:c>
      <x:c r="AC628" t="str"/>
      <x:c r="AD628" t="str"/>
    </x:row>
    <x:row r="629">
      <x:c r="A629" t="str">
        <x:v>REC0628</x:v>
      </x:c>
      <x:c r="B629" t="n">
        <x:v>627</x:v>
      </x:c>
      <x:c r="C629" t="str">
        <x:v>St. Thomas, USVI</x:v>
      </x:c>
      <x:c r="D629" t="str">
        <x:v>GV</x:v>
      </x:c>
      <x:c r="E629" t="str">
        <x:v>Ground Validation</x:v>
      </x:c>
      <x:c r="F629" t="str">
        <x:v>Seaviewer Drop Camera</x:v>
      </x:c>
      <x:c r="G629" t="str">
        <x:v>GV2011_260</x:v>
      </x:c>
      <x:c r="H629" s="28" t="n">
        <x:v>40644</x:v>
      </x:c>
      <x:c r="I629" t="str">
        <x:v>08:58:05</x:v>
      </x:c>
      <x:c r="J629" t="n">
        <x:v>2011</x:v>
      </x:c>
      <x:c r="K629" t="n">
        <x:v>18.25202879</x:v>
      </x:c>
      <x:c r="L629" t="n">
        <x:v>-64.96848688</x:v>
      </x:c>
      <x:c r="M629" t="n">
        <x:v>40.386</x:v>
      </x:c>
      <x:c r="N629" t="str">
        <x:v>https://nccospublicstor.blob.core.windows.net/biomapper/usviinsularshelf2017/videos/low/GV2011_260.mp4</x:v>
      </x:c>
      <x:c r="O629" t="n">
        <x:v>0</x:v>
      </x:c>
      <x:c r="P629" t="n">
        <x:v>0</x:v>
      </x:c>
      <x:c r="Q629" t="n">
        <x:v>1</x:v>
      </x:c>
      <x:c r="R629" t="n">
        <x:v>1</x:v>
      </x:c>
      <x:c r="S629" t="n">
        <x:v>0</x:v>
      </x:c>
      <x:c r="T629" t="n">
        <x:v>0</x:v>
      </x:c>
      <x:c r="U629" t="n">
        <x:v>1</x:v>
      </x:c>
      <x:c r="V629" t="n">
        <x:v>1</x:v>
      </x:c>
      <x:c r="W629" t="n">
        <x:v>0</x:v>
      </x:c>
      <x:c r="X629" t="n">
        <x:v>0</x:v>
      </x:c>
      <x:c r="Y629" t="n">
        <x:v>0</x:v>
      </x:c>
      <x:c r="Z629" t="n">
        <x:v>2</x:v>
      </x:c>
      <x:c r="AA629" t="n">
        <x:v>2</x:v>
      </x:c>
      <x:c r="AB629" t="str">
        <x:v>Pass</x:v>
      </x:c>
      <x:c r="AC629" t="str"/>
      <x:c r="AD629" t="str"/>
    </x:row>
    <x:row r="630">
      <x:c r="A630" t="str">
        <x:v>REC0629</x:v>
      </x:c>
      <x:c r="B630" t="n">
        <x:v>628</x:v>
      </x:c>
      <x:c r="C630" t="str">
        <x:v>St. Thomas, USVI</x:v>
      </x:c>
      <x:c r="D630" t="str">
        <x:v>GV</x:v>
      </x:c>
      <x:c r="E630" t="str">
        <x:v>Ground Validation</x:v>
      </x:c>
      <x:c r="F630" t="str">
        <x:v>Seaviewer Drop Camera</x:v>
      </x:c>
      <x:c r="G630" t="str">
        <x:v>GV2011_261</x:v>
      </x:c>
      <x:c r="H630" s="28" t="n">
        <x:v>40644</x:v>
      </x:c>
      <x:c r="I630" t="str">
        <x:v>09:08:14</x:v>
      </x:c>
      <x:c r="J630" t="n">
        <x:v>2011</x:v>
      </x:c>
      <x:c r="K630" t="n">
        <x:v>18.25974955</x:v>
      </x:c>
      <x:c r="L630" t="n">
        <x:v>-64.97288557</x:v>
      </x:c>
      <x:c r="M630" t="n">
        <x:v>28.371</x:v>
      </x:c>
      <x:c r="N630" t="str">
        <x:v>https://nccospublicstor.blob.core.windows.net/biomapper/usviinsularshelf2017/videos/low/GV2011_261.mp4</x:v>
      </x:c>
      <x:c r="O630" t="n">
        <x:v>1</x:v>
      </x:c>
      <x:c r="P630" t="n">
        <x:v>0</x:v>
      </x:c>
      <x:c r="Q630" t="n">
        <x:v>0</x:v>
      </x:c>
      <x:c r="R630" t="n">
        <x:v>1</x:v>
      </x:c>
      <x:c r="S630" t="n">
        <x:v>1</x:v>
      </x:c>
      <x:c r="T630" t="n">
        <x:v>1</x:v>
      </x:c>
      <x:c r="U630" t="n">
        <x:v>1</x:v>
      </x:c>
      <x:c r="V630" t="n">
        <x:v>1</x:v>
      </x:c>
      <x:c r="W630" t="n">
        <x:v>0</x:v>
      </x:c>
      <x:c r="X630" t="n">
        <x:v>0</x:v>
      </x:c>
      <x:c r="Y630" t="n">
        <x:v>0</x:v>
      </x:c>
      <x:c r="Z630" t="n">
        <x:v>2</x:v>
      </x:c>
      <x:c r="AA630" t="n">
        <x:v>4</x:v>
      </x:c>
      <x:c r="AB630" t="str">
        <x:v>Pass</x:v>
      </x:c>
      <x:c r="AC630" t="str"/>
      <x:c r="AD630" t="str"/>
    </x:row>
    <x:row r="631">
      <x:c r="A631" t="str">
        <x:v>REC0630</x:v>
      </x:c>
      <x:c r="B631" t="n">
        <x:v>629</x:v>
      </x:c>
      <x:c r="C631" t="str">
        <x:v>St. Thomas, USVI</x:v>
      </x:c>
      <x:c r="D631" t="str">
        <x:v>GV</x:v>
      </x:c>
      <x:c r="E631" t="str">
        <x:v>Ground Validation</x:v>
      </x:c>
      <x:c r="F631" t="str">
        <x:v>Seaviewer Drop Camera</x:v>
      </x:c>
      <x:c r="G631" t="str">
        <x:v>GV2011_262</x:v>
      </x:c>
      <x:c r="H631" s="28" t="n">
        <x:v>40644</x:v>
      </x:c>
      <x:c r="I631" t="str">
        <x:v>14:08:14</x:v>
      </x:c>
      <x:c r="J631" t="n">
        <x:v>2011</x:v>
      </x:c>
      <x:c r="K631" t="n">
        <x:v>18.22471208</x:v>
      </x:c>
      <x:c r="L631" t="n">
        <x:v>-65.09649257</x:v>
      </x:c>
      <x:c r="M631" t="n">
        <x:v>40.618</x:v>
      </x:c>
      <x:c r="N631" t="str">
        <x:v>https://nccospublicstor.blob.core.windows.net/biomapper/usviinsularshelf2017/videos/low/GV2011_262.mp4</x:v>
      </x:c>
      <x:c r="O631" t="n">
        <x:v>1</x:v>
      </x:c>
      <x:c r="P631" t="n">
        <x:v>0</x:v>
      </x:c>
      <x:c r="Q631" t="n">
        <x:v>0</x:v>
      </x:c>
      <x:c r="R631" t="n">
        <x:v>1</x:v>
      </x:c>
      <x:c r="S631" t="n">
        <x:v>1</x:v>
      </x:c>
      <x:c r="T631" t="n">
        <x:v>0</x:v>
      </x:c>
      <x:c r="U631" t="n">
        <x:v>1</x:v>
      </x:c>
      <x:c r="V631" t="n">
        <x:v>1</x:v>
      </x:c>
      <x:c r="W631" t="n">
        <x:v>0</x:v>
      </x:c>
      <x:c r="X631" t="n">
        <x:v>0</x:v>
      </x:c>
      <x:c r="Y631" t="n">
        <x:v>0</x:v>
      </x:c>
      <x:c r="Z631" t="n">
        <x:v>2</x:v>
      </x:c>
      <x:c r="AA631" t="n">
        <x:v>3</x:v>
      </x:c>
      <x:c r="AB631" t="str">
        <x:v>Pass</x:v>
      </x:c>
      <x:c r="AC631" t="str"/>
      <x:c r="AD631" t="str"/>
    </x:row>
    <x:row r="632">
      <x:c r="A632" t="str">
        <x:v>REC0631</x:v>
      </x:c>
      <x:c r="B632" t="n">
        <x:v>630</x:v>
      </x:c>
      <x:c r="C632" t="str">
        <x:v>St. Thomas, USVI</x:v>
      </x:c>
      <x:c r="D632" t="str">
        <x:v>GV</x:v>
      </x:c>
      <x:c r="E632" t="str">
        <x:v>Ground Validation</x:v>
      </x:c>
      <x:c r="F632" t="str">
        <x:v>Seaviewer Drop Camera</x:v>
      </x:c>
      <x:c r="G632" t="str">
        <x:v>GV2011_263</x:v>
      </x:c>
      <x:c r="H632" s="28" t="n">
        <x:v>40646</x:v>
      </x:c>
      <x:c r="I632" t="str">
        <x:v>07:51:39</x:v>
      </x:c>
      <x:c r="J632" t="n">
        <x:v>2011</x:v>
      </x:c>
      <x:c r="K632" t="n">
        <x:v>18.24325573</x:v>
      </x:c>
      <x:c r="L632" t="n">
        <x:v>-64.86722627</x:v>
      </x:c>
      <x:c r="M632" t="n">
        <x:v>41.341</x:v>
      </x:c>
      <x:c r="N632" t="str">
        <x:v>https://nccospublicstor.blob.core.windows.net/biomapper/usviinsularshelf2017/videos/low/GV2011_263.mp4</x:v>
      </x:c>
      <x:c r="O632" t="n">
        <x:v>0</x:v>
      </x:c>
      <x:c r="P632" t="n">
        <x:v>0</x:v>
      </x:c>
      <x:c r="Q632" t="n">
        <x:v>1</x:v>
      </x:c>
      <x:c r="R632" t="n">
        <x:v>0</x:v>
      </x:c>
      <x:c r="S632" t="n">
        <x:v>0</x:v>
      </x:c>
      <x:c r="T632" t="n">
        <x:v>0</x:v>
      </x:c>
      <x:c r="U632" t="n">
        <x:v>1</x:v>
      </x:c>
      <x:c r="V632" t="n">
        <x:v>1</x:v>
      </x:c>
      <x:c r="W632" t="n">
        <x:v>0</x:v>
      </x:c>
      <x:c r="X632" t="n">
        <x:v>0</x:v>
      </x:c>
      <x:c r="Y632" t="n">
        <x:v>0</x:v>
      </x:c>
      <x:c r="Z632" t="n">
        <x:v>1</x:v>
      </x:c>
      <x:c r="AA632" t="n">
        <x:v>2</x:v>
      </x:c>
      <x:c r="AB632" t="str">
        <x:v>Pass</x:v>
      </x:c>
      <x:c r="AC632" t="str"/>
      <x:c r="AD632" t="str"/>
    </x:row>
    <x:row r="633">
      <x:c r="A633" t="str">
        <x:v>REC0632</x:v>
      </x:c>
      <x:c r="B633" t="n">
        <x:v>631</x:v>
      </x:c>
      <x:c r="C633" t="str">
        <x:v>St. Thomas, USVI</x:v>
      </x:c>
      <x:c r="D633" t="str">
        <x:v>GV</x:v>
      </x:c>
      <x:c r="E633" t="str">
        <x:v>Ground Validation</x:v>
      </x:c>
      <x:c r="F633" t="str">
        <x:v>Seaviewer Drop Camera</x:v>
      </x:c>
      <x:c r="G633" t="str">
        <x:v>GV2011_264</x:v>
      </x:c>
      <x:c r="H633" s="28" t="n">
        <x:v>40646</x:v>
      </x:c>
      <x:c r="I633" t="str">
        <x:v>08:01:50</x:v>
      </x:c>
      <x:c r="J633" t="n">
        <x:v>2011</x:v>
      </x:c>
      <x:c r="K633" t="n">
        <x:v>18.25214915</x:v>
      </x:c>
      <x:c r="L633" t="n">
        <x:v>-64.87350578</x:v>
      </x:c>
      <x:c r="M633" t="n">
        <x:v>39.574</x:v>
      </x:c>
      <x:c r="N633" t="str">
        <x:v>https://nccospublicstor.blob.core.windows.net/biomapper/usviinsularshelf2017/videos/low/GV2011_264.mp4</x:v>
      </x:c>
      <x:c r="O633" t="n">
        <x:v>0</x:v>
      </x:c>
      <x:c r="P633" t="n">
        <x:v>0</x:v>
      </x:c>
      <x:c r="Q633" t="n">
        <x:v>1</x:v>
      </x:c>
      <x:c r="R633" t="n">
        <x:v>1</x:v>
      </x:c>
      <x:c r="S633" t="n">
        <x:v>0</x:v>
      </x:c>
      <x:c r="T633" t="n">
        <x:v>0</x:v>
      </x:c>
      <x:c r="U633" t="n">
        <x:v>1</x:v>
      </x:c>
      <x:c r="V633" t="n">
        <x:v>1</x:v>
      </x:c>
      <x:c r="W633" t="n">
        <x:v>0</x:v>
      </x:c>
      <x:c r="X633" t="n">
        <x:v>0</x:v>
      </x:c>
      <x:c r="Y633" t="n">
        <x:v>0</x:v>
      </x:c>
      <x:c r="Z633" t="n">
        <x:v>2</x:v>
      </x:c>
      <x:c r="AA633" t="n">
        <x:v>2</x:v>
      </x:c>
      <x:c r="AB633" t="str">
        <x:v>Pass</x:v>
      </x:c>
      <x:c r="AC633" t="str"/>
      <x:c r="AD633" t="str"/>
    </x:row>
    <x:row r="634">
      <x:c r="A634" t="str">
        <x:v>REC0633</x:v>
      </x:c>
      <x:c r="B634" t="n">
        <x:v>632</x:v>
      </x:c>
      <x:c r="C634" t="str">
        <x:v>St. Thomas, USVI</x:v>
      </x:c>
      <x:c r="D634" t="str">
        <x:v>GV</x:v>
      </x:c>
      <x:c r="E634" t="str">
        <x:v>Ground Validation</x:v>
      </x:c>
      <x:c r="F634" t="str">
        <x:v>Seaviewer Drop Camera</x:v>
      </x:c>
      <x:c r="G634" t="str">
        <x:v>GV2011_265</x:v>
      </x:c>
      <x:c r="H634" s="28" t="n">
        <x:v>40646</x:v>
      </x:c>
      <x:c r="I634" t="str">
        <x:v>08:09:29</x:v>
      </x:c>
      <x:c r="J634" t="n">
        <x:v>2011</x:v>
      </x:c>
      <x:c r="K634" t="n">
        <x:v>18.24687918</x:v>
      </x:c>
      <x:c r="L634" t="n">
        <x:v>-64.87795277</x:v>
      </x:c>
      <x:c r="M634" t="n">
        <x:v>41.535</x:v>
      </x:c>
      <x:c r="N634" t="str">
        <x:v>https://nccospublicstor.blob.core.windows.net/biomapper/usviinsularshelf2017/videos/low/GV2011_265.mp4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1</x:v>
      </x:c>
      <x:c r="Z634" t="n">
        <x:v>0</x:v>
      </x:c>
      <x:c r="AA634" t="n">
        <x:v>0</x:v>
      </x:c>
      <x:c r="AB634" t="str">
        <x:v>Review</x:v>
      </x:c>
      <x:c r="AC634" t="str">
        <x:v>UNKNOWN class present; No core substrate class marked Present; Source note indicates unusable/missing underwater video</x:v>
      </x:c>
      <x:c r="AD634" t="str">
        <x:v>camera never reached the bottom</x:v>
      </x:c>
    </x:row>
    <x:row r="635">
      <x:c r="A635" t="str">
        <x:v>REC0634</x:v>
      </x:c>
      <x:c r="B635" t="n">
        <x:v>633</x:v>
      </x:c>
      <x:c r="C635" t="str">
        <x:v>St. Thomas, USVI</x:v>
      </x:c>
      <x:c r="D635" t="str">
        <x:v>GV</x:v>
      </x:c>
      <x:c r="E635" t="str">
        <x:v>Ground Validation</x:v>
      </x:c>
      <x:c r="F635" t="str">
        <x:v>Seaviewer Drop Camera</x:v>
      </x:c>
      <x:c r="G635" t="str">
        <x:v>GV2011_266</x:v>
      </x:c>
      <x:c r="H635" s="28" t="n">
        <x:v>40646</x:v>
      </x:c>
      <x:c r="I635" t="str">
        <x:v>08:15:43</x:v>
      </x:c>
      <x:c r="J635" t="n">
        <x:v>2011</x:v>
      </x:c>
      <x:c r="K635" t="n">
        <x:v>18.24385517</x:v>
      </x:c>
      <x:c r="L635" t="n">
        <x:v>-64.88228774</x:v>
      </x:c>
      <x:c r="M635" t="n">
        <x:v>41.508</x:v>
      </x:c>
      <x:c r="N635" t="str">
        <x:v>https://nccospublicstor.blob.core.windows.net/biomapper/usviinsularshelf2017/videos/low/GV2011_266.mp4</x:v>
      </x:c>
      <x:c r="O635" t="n">
        <x:v>0</x:v>
      </x:c>
      <x:c r="P635" t="n">
        <x:v>0</x:v>
      </x:c>
      <x:c r="Q635" t="n">
        <x:v>1</x:v>
      </x:c>
      <x:c r="R635" t="n">
        <x:v>0</x:v>
      </x:c>
      <x:c r="S635" t="n">
        <x:v>0</x:v>
      </x:c>
      <x:c r="T635" t="n">
        <x:v>0</x:v>
      </x:c>
      <x:c r="U635" t="n">
        <x:v>1</x:v>
      </x:c>
      <x:c r="V635" t="n">
        <x:v>1</x:v>
      </x:c>
      <x:c r="W635" t="n">
        <x:v>0</x:v>
      </x:c>
      <x:c r="X635" t="n">
        <x:v>0</x:v>
      </x:c>
      <x:c r="Y635" t="n">
        <x:v>0</x:v>
      </x:c>
      <x:c r="Z635" t="n">
        <x:v>1</x:v>
      </x:c>
      <x:c r="AA635" t="n">
        <x:v>2</x:v>
      </x:c>
      <x:c r="AB635" t="str">
        <x:v>Pass</x:v>
      </x:c>
      <x:c r="AC635" t="str"/>
      <x:c r="AD635" t="str"/>
    </x:row>
    <x:row r="636">
      <x:c r="A636" t="str">
        <x:v>REC0635</x:v>
      </x:c>
      <x:c r="B636" t="n">
        <x:v>634</x:v>
      </x:c>
      <x:c r="C636" t="str">
        <x:v>St. Thomas, USVI</x:v>
      </x:c>
      <x:c r="D636" t="str">
        <x:v>GV</x:v>
      </x:c>
      <x:c r="E636" t="str">
        <x:v>Ground Validation</x:v>
      </x:c>
      <x:c r="F636" t="str">
        <x:v>Seaviewer Drop Camera</x:v>
      </x:c>
      <x:c r="G636" t="str">
        <x:v>GV2011_267</x:v>
      </x:c>
      <x:c r="H636" s="28" t="n">
        <x:v>40646</x:v>
      </x:c>
      <x:c r="I636" t="str">
        <x:v>08:24:57</x:v>
      </x:c>
      <x:c r="J636" t="n">
        <x:v>2011</x:v>
      </x:c>
      <x:c r="K636" t="n">
        <x:v>18.23544224</x:v>
      </x:c>
      <x:c r="L636" t="n">
        <x:v>-64.88819643</x:v>
      </x:c>
      <x:c r="M636" t="n">
        <x:v>42.463</x:v>
      </x:c>
      <x:c r="N636" t="str">
        <x:v>https://nccospublicstor.blob.core.windows.net/biomapper/usviinsularshelf2017/videos/low/GV2011_267.mp4</x:v>
      </x:c>
      <x:c r="O636" t="n">
        <x:v>0</x:v>
      </x:c>
      <x:c r="P636" t="n">
        <x:v>0</x:v>
      </x:c>
      <x:c r="Q636" t="n">
        <x:v>0</x:v>
      </x:c>
      <x:c r="R636" t="n">
        <x:v>1</x:v>
      </x:c>
      <x:c r="S636" t="n">
        <x:v>0</x:v>
      </x:c>
      <x:c r="T636" t="n">
        <x:v>0</x:v>
      </x:c>
      <x:c r="U636" t="n">
        <x:v>1</x:v>
      </x:c>
      <x:c r="V636" t="n">
        <x:v>0</x:v>
      </x:c>
      <x:c r="W636" t="n">
        <x:v>0</x:v>
      </x:c>
      <x:c r="X636" t="n">
        <x:v>1</x:v>
      </x:c>
      <x:c r="Y636" t="n">
        <x:v>0</x:v>
      </x:c>
      <x:c r="Z636" t="n">
        <x:v>1</x:v>
      </x:c>
      <x:c r="AA636" t="n">
        <x:v>1</x:v>
      </x:c>
      <x:c r="AB636" t="str">
        <x:v>Pass</x:v>
      </x:c>
      <x:c r="AC636" t="str"/>
      <x:c r="AD636" t="str">
        <x:v>Fish Trap</x:v>
      </x:c>
    </x:row>
    <x:row r="637">
      <x:c r="A637" t="str">
        <x:v>REC0636</x:v>
      </x:c>
      <x:c r="B637" t="n">
        <x:v>635</x:v>
      </x:c>
      <x:c r="C637" t="str">
        <x:v>St. Thomas, USVI</x:v>
      </x:c>
      <x:c r="D637" t="str">
        <x:v>GV</x:v>
      </x:c>
      <x:c r="E637" t="str">
        <x:v>Ground Validation</x:v>
      </x:c>
      <x:c r="F637" t="str">
        <x:v>Seaviewer Drop Camera</x:v>
      </x:c>
      <x:c r="G637" t="str">
        <x:v>GV2011_268</x:v>
      </x:c>
      <x:c r="H637" s="28" t="n">
        <x:v>40646</x:v>
      </x:c>
      <x:c r="I637" t="str">
        <x:v>08:32:04</x:v>
      </x:c>
      <x:c r="J637" t="n">
        <x:v>2011</x:v>
      </x:c>
      <x:c r="K637" t="n">
        <x:v>18.23040178</x:v>
      </x:c>
      <x:c r="L637" t="n">
        <x:v>-64.89099613</x:v>
      </x:c>
      <x:c r="M637" t="n">
        <x:v>44.101</x:v>
      </x:c>
      <x:c r="N637" t="str">
        <x:v>https://nccospublicstor.blob.core.windows.net/biomapper/usviinsularshelf2017/videos/low/GV2011_268.mp4</x:v>
      </x:c>
      <x:c r="O637" t="n">
        <x:v>0</x:v>
      </x:c>
      <x:c r="P637" t="n">
        <x:v>0</x:v>
      </x:c>
      <x:c r="Q637" t="n">
        <x:v>1</x:v>
      </x:c>
      <x:c r="R637" t="n">
        <x:v>1</x:v>
      </x:c>
      <x:c r="S637" t="n">
        <x:v>0</x:v>
      </x:c>
      <x:c r="T637" t="n">
        <x:v>0</x:v>
      </x:c>
      <x:c r="U637" t="n">
        <x:v>1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2</x:v>
      </x:c>
      <x:c r="AA637" t="n">
        <x:v>1</x:v>
      </x:c>
      <x:c r="AB637" t="str">
        <x:v>Pass</x:v>
      </x:c>
      <x:c r="AC637" t="str"/>
      <x:c r="AD637" t="str"/>
    </x:row>
    <x:row r="638">
      <x:c r="A638" t="str">
        <x:v>REC0637</x:v>
      </x:c>
      <x:c r="B638" t="n">
        <x:v>636</x:v>
      </x:c>
      <x:c r="C638" t="str">
        <x:v>St. Thomas, USVI</x:v>
      </x:c>
      <x:c r="D638" t="str">
        <x:v>GV</x:v>
      </x:c>
      <x:c r="E638" t="str">
        <x:v>Ground Validation</x:v>
      </x:c>
      <x:c r="F638" t="str">
        <x:v>Seaviewer Drop Camera</x:v>
      </x:c>
      <x:c r="G638" t="str">
        <x:v>GV2011_269</x:v>
      </x:c>
      <x:c r="H638" s="28" t="n">
        <x:v>40646</x:v>
      </x:c>
      <x:c r="I638" t="str">
        <x:v>09:14:30</x:v>
      </x:c>
      <x:c r="J638" t="n">
        <x:v>2011</x:v>
      </x:c>
      <x:c r="K638" t="n">
        <x:v>18.23272297</x:v>
      </x:c>
      <x:c r="L638" t="n">
        <x:v>-64.89935486</x:v>
      </x:c>
      <x:c r="M638" t="n">
        <x:v>42.191</x:v>
      </x:c>
      <x:c r="N638" t="str">
        <x:v>https://nccospublicstor.blob.core.windows.net/biomapper/usviinsularshelf2017/videos/low/GV2011_269.mp4</x:v>
      </x:c>
      <x:c r="O638" t="n">
        <x:v>0</x:v>
      </x:c>
      <x:c r="P638" t="n">
        <x:v>0</x:v>
      </x:c>
      <x:c r="Q638" t="n">
        <x:v>1</x:v>
      </x:c>
      <x:c r="R638" t="n">
        <x:v>1</x:v>
      </x:c>
      <x:c r="S638" t="n">
        <x:v>0</x:v>
      </x:c>
      <x:c r="T638" t="n">
        <x:v>0</x:v>
      </x:c>
      <x:c r="U638" t="n">
        <x:v>1</x:v>
      </x:c>
      <x:c r="V638" t="n">
        <x:v>1</x:v>
      </x:c>
      <x:c r="W638" t="n">
        <x:v>0</x:v>
      </x:c>
      <x:c r="X638" t="n">
        <x:v>0</x:v>
      </x:c>
      <x:c r="Y638" t="n">
        <x:v>0</x:v>
      </x:c>
      <x:c r="Z638" t="n">
        <x:v>2</x:v>
      </x:c>
      <x:c r="AA638" t="n">
        <x:v>2</x:v>
      </x:c>
      <x:c r="AB638" t="str">
        <x:v>Pass</x:v>
      </x:c>
      <x:c r="AC638" t="str"/>
      <x:c r="AD638" t="str">
        <x:v>Site 308 and 269 combined into one video, using orignal annotation from site 269</x:v>
      </x:c>
    </x:row>
    <x:row r="639">
      <x:c r="A639" t="str">
        <x:v>REC0638</x:v>
      </x:c>
      <x:c r="B639" t="n">
        <x:v>637</x:v>
      </x:c>
      <x:c r="C639" t="str">
        <x:v>St. Thomas, USVI</x:v>
      </x:c>
      <x:c r="D639" t="str">
        <x:v>GV</x:v>
      </x:c>
      <x:c r="E639" t="str">
        <x:v>Ground Validation</x:v>
      </x:c>
      <x:c r="F639" t="str">
        <x:v>Seaviewer Drop Camera</x:v>
      </x:c>
      <x:c r="G639" t="str">
        <x:v>GV2011_270</x:v>
      </x:c>
      <x:c r="H639" s="28" t="n">
        <x:v>40646</x:v>
      </x:c>
      <x:c r="I639" t="str">
        <x:v>13:07:18</x:v>
      </x:c>
      <x:c r="J639" t="n">
        <x:v>2011</x:v>
      </x:c>
      <x:c r="K639" t="n">
        <x:v>18.24293627</x:v>
      </x:c>
      <x:c r="L639" t="n">
        <x:v>-64.9004039</x:v>
      </x:c>
      <x:c r="M639" t="n">
        <x:v>40.536</x:v>
      </x:c>
      <x:c r="N639" t="str">
        <x:v>https://nccospublicstor.blob.core.windows.net/biomapper/usviinsularshelf2017/videos/low/GV2011_270.mp4</x:v>
      </x:c>
      <x:c r="O639" t="n">
        <x:v>0</x:v>
      </x:c>
      <x:c r="P639" t="n">
        <x:v>0</x:v>
      </x:c>
      <x:c r="Q639" t="n">
        <x:v>0</x:v>
      </x:c>
      <x:c r="R639" t="n">
        <x:v>1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1</x:v>
      </x:c>
      <x:c r="AA639" t="n">
        <x:v>0</x:v>
      </x:c>
      <x:c r="AB639" t="str">
        <x:v>Pass</x:v>
      </x:c>
      <x:c r="AC639" t="str"/>
      <x:c r="AD639" t="str"/>
    </x:row>
    <x:row r="640">
      <x:c r="A640" t="str">
        <x:v>REC0639</x:v>
      </x:c>
      <x:c r="B640" t="n">
        <x:v>638</x:v>
      </x:c>
      <x:c r="C640" t="str">
        <x:v>St. Thomas, USVI</x:v>
      </x:c>
      <x:c r="D640" t="str">
        <x:v>GV</x:v>
      </x:c>
      <x:c r="E640" t="str">
        <x:v>Ground Validation</x:v>
      </x:c>
      <x:c r="F640" t="str">
        <x:v>Seaviewer Drop Camera</x:v>
      </x:c>
      <x:c r="G640" t="str">
        <x:v>GV2011_271</x:v>
      </x:c>
      <x:c r="H640" s="28" t="n">
        <x:v>40646</x:v>
      </x:c>
      <x:c r="I640" t="str">
        <x:v>13:20:58</x:v>
      </x:c>
      <x:c r="J640" t="n">
        <x:v>2011</x:v>
      </x:c>
      <x:c r="K640" t="n">
        <x:v>18.25332671</x:v>
      </x:c>
      <x:c r="L640" t="n">
        <x:v>-64.91040294</x:v>
      </x:c>
      <x:c r="M640" t="n">
        <x:v>39.63</x:v>
      </x:c>
      <x:c r="N640" t="str">
        <x:v>https://nccospublicstor.blob.core.windows.net/biomapper/usviinsularshelf2017/videos/low/GV2011_271.mp4</x:v>
      </x:c>
      <x:c r="O640" t="n">
        <x:v>0</x:v>
      </x:c>
      <x:c r="P640" t="n">
        <x:v>0</x:v>
      </x:c>
      <x:c r="Q640" t="n">
        <x:v>1</x:v>
      </x:c>
      <x:c r="R640" t="n">
        <x:v>1</x:v>
      </x:c>
      <x:c r="S640" t="n">
        <x:v>0</x:v>
      </x:c>
      <x:c r="T640" t="n">
        <x:v>0</x:v>
      </x:c>
      <x:c r="U640" t="n">
        <x:v>1</x:v>
      </x:c>
      <x:c r="V640" t="n">
        <x:v>1</x:v>
      </x:c>
      <x:c r="W640" t="n">
        <x:v>0</x:v>
      </x:c>
      <x:c r="X640" t="n">
        <x:v>0</x:v>
      </x:c>
      <x:c r="Y640" t="n">
        <x:v>0</x:v>
      </x:c>
      <x:c r="Z640" t="n">
        <x:v>2</x:v>
      </x:c>
      <x:c r="AA640" t="n">
        <x:v>2</x:v>
      </x:c>
      <x:c r="AB640" t="str">
        <x:v>Pass</x:v>
      </x:c>
      <x:c r="AC640" t="str"/>
      <x:c r="AD640" t="str"/>
    </x:row>
    <x:row r="641">
      <x:c r="A641" t="str">
        <x:v>REC0640</x:v>
      </x:c>
      <x:c r="B641" t="n">
        <x:v>639</x:v>
      </x:c>
      <x:c r="C641" t="str">
        <x:v>St. Thomas, USVI</x:v>
      </x:c>
      <x:c r="D641" t="str">
        <x:v>GV</x:v>
      </x:c>
      <x:c r="E641" t="str">
        <x:v>Ground Validation</x:v>
      </x:c>
      <x:c r="F641" t="str">
        <x:v>Seaviewer Drop Camera</x:v>
      </x:c>
      <x:c r="G641" t="str">
        <x:v>GV2011_273</x:v>
      </x:c>
      <x:c r="H641" s="28" t="n">
        <x:v>40646</x:v>
      </x:c>
      <x:c r="I641" t="str">
        <x:v>13:34:18</x:v>
      </x:c>
      <x:c r="J641" t="n">
        <x:v>2011</x:v>
      </x:c>
      <x:c r="K641" t="n">
        <x:v>18.23935227</x:v>
      </x:c>
      <x:c r="L641" t="n">
        <x:v>-64.91226781</x:v>
      </x:c>
      <x:c r="M641" t="n">
        <x:v>41.168</x:v>
      </x:c>
      <x:c r="N641" t="str">
        <x:v>https://nccospublicstor.blob.core.windows.net/biomapper/usviinsularshelf2017/videos/low/GV2011_273.mp4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1</x:v>
      </x:c>
      <x:c r="Z641" t="n">
        <x:v>0</x:v>
      </x:c>
      <x:c r="AA641" t="n">
        <x:v>0</x:v>
      </x:c>
      <x:c r="AB641" t="str">
        <x:v>Review</x:v>
      </x:c>
      <x:c r="AC641" t="str">
        <x:v>UNKNOWN class present; No core substrate class marked Present; Source note indicates unusable/missing underwater video</x:v>
      </x:c>
      <x:c r="AD641" t="str">
        <x:v>No Underwater Video</x:v>
      </x:c>
    </x:row>
    <x:row r="642">
      <x:c r="A642" t="str">
        <x:v>REC0641</x:v>
      </x:c>
      <x:c r="B642" t="n">
        <x:v>640</x:v>
      </x:c>
      <x:c r="C642" t="str">
        <x:v>St. Thomas, USVI</x:v>
      </x:c>
      <x:c r="D642" t="str">
        <x:v>GV</x:v>
      </x:c>
      <x:c r="E642" t="str">
        <x:v>Ground Validation</x:v>
      </x:c>
      <x:c r="F642" t="str">
        <x:v>Seaviewer Drop Camera</x:v>
      </x:c>
      <x:c r="G642" t="str">
        <x:v>GV2011_275</x:v>
      </x:c>
      <x:c r="H642" s="28" t="n">
        <x:v>40646</x:v>
      </x:c>
      <x:c r="I642" t="str">
        <x:v>14:47:12</x:v>
      </x:c>
      <x:c r="J642" t="n">
        <x:v>2011</x:v>
      </x:c>
      <x:c r="K642" t="n">
        <x:v>18.24607742</x:v>
      </x:c>
      <x:c r="L642" t="n">
        <x:v>-64.94542152</x:v>
      </x:c>
      <x:c r="M642" t="n">
        <x:v>39.146</x:v>
      </x:c>
      <x:c r="N642" t="str">
        <x:v>https://nccospublicstor.blob.core.windows.net/biomapper/usviinsularshelf2017/videos/low/GV2011_275.mp4</x:v>
      </x:c>
      <x:c r="O642" t="n">
        <x:v>1</x:v>
      </x:c>
      <x:c r="P642" t="n">
        <x:v>0</x:v>
      </x:c>
      <x:c r="Q642" t="n">
        <x:v>0</x:v>
      </x:c>
      <x:c r="R642" t="n">
        <x:v>1</x:v>
      </x:c>
      <x:c r="S642" t="n">
        <x:v>1</x:v>
      </x:c>
      <x:c r="T642" t="n">
        <x:v>1</x:v>
      </x:c>
      <x:c r="U642" t="n">
        <x:v>1</x:v>
      </x:c>
      <x:c r="V642" t="n">
        <x:v>1</x:v>
      </x:c>
      <x:c r="W642" t="n">
        <x:v>0</x:v>
      </x:c>
      <x:c r="X642" t="n">
        <x:v>0</x:v>
      </x:c>
      <x:c r="Y642" t="n">
        <x:v>0</x:v>
      </x:c>
      <x:c r="Z642" t="n">
        <x:v>2</x:v>
      </x:c>
      <x:c r="AA642" t="n">
        <x:v>4</x:v>
      </x:c>
      <x:c r="AB642" t="str">
        <x:v>Pass</x:v>
      </x:c>
      <x:c r="AC642" t="str"/>
      <x:c r="AD642" t="str"/>
    </x:row>
    <x:row r="643">
      <x:c r="A643" t="str">
        <x:v>REC0642</x:v>
      </x:c>
      <x:c r="B643" t="n">
        <x:v>641</x:v>
      </x:c>
      <x:c r="C643" t="str">
        <x:v>St. Thomas, USVI</x:v>
      </x:c>
      <x:c r="D643" t="str">
        <x:v>GV</x:v>
      </x:c>
      <x:c r="E643" t="str">
        <x:v>Ground Validation</x:v>
      </x:c>
      <x:c r="F643" t="str">
        <x:v>Seaviewer Drop Camera</x:v>
      </x:c>
      <x:c r="G643" t="str">
        <x:v>GV2011_276</x:v>
      </x:c>
      <x:c r="H643" s="28" t="n">
        <x:v>40646</x:v>
      </x:c>
      <x:c r="I643" t="str">
        <x:v>14:34:20</x:v>
      </x:c>
      <x:c r="J643" t="n">
        <x:v>2011</x:v>
      </x:c>
      <x:c r="K643" t="n">
        <x:v>18.23655407</x:v>
      </x:c>
      <x:c r="L643" t="n">
        <x:v>-64.94429121</x:v>
      </x:c>
      <x:c r="M643" t="n">
        <x:v>41.565</x:v>
      </x:c>
      <x:c r="N643" t="str">
        <x:v>https://nccospublicstor.blob.core.windows.net/biomapper/usviinsularshelf2017/videos/low/GV2011_276.mp4</x:v>
      </x:c>
      <x:c r="O643" t="n">
        <x:v>0</x:v>
      </x:c>
      <x:c r="P643" t="n">
        <x:v>0</x:v>
      </x:c>
      <x:c r="Q643" t="n">
        <x:v>1</x:v>
      </x:c>
      <x:c r="R643" t="n">
        <x:v>1</x:v>
      </x:c>
      <x:c r="S643" t="n">
        <x:v>0</x:v>
      </x:c>
      <x:c r="T643" t="n">
        <x:v>0</x:v>
      </x:c>
      <x:c r="U643" t="n">
        <x:v>1</x:v>
      </x:c>
      <x:c r="V643" t="n">
        <x:v>1</x:v>
      </x:c>
      <x:c r="W643" t="n">
        <x:v>0</x:v>
      </x:c>
      <x:c r="X643" t="n">
        <x:v>0</x:v>
      </x:c>
      <x:c r="Y643" t="n">
        <x:v>0</x:v>
      </x:c>
      <x:c r="Z643" t="n">
        <x:v>2</x:v>
      </x:c>
      <x:c r="AA643" t="n">
        <x:v>2</x:v>
      </x:c>
      <x:c r="AB643" t="str">
        <x:v>Pass</x:v>
      </x:c>
      <x:c r="AC643" t="str"/>
      <x:c r="AD643" t="str"/>
    </x:row>
    <x:row r="644">
      <x:c r="A644" t="str">
        <x:v>REC0643</x:v>
      </x:c>
      <x:c r="B644" t="n">
        <x:v>642</x:v>
      </x:c>
      <x:c r="C644" t="str">
        <x:v>St. Thomas, USVI</x:v>
      </x:c>
      <x:c r="D644" t="str">
        <x:v>GV</x:v>
      </x:c>
      <x:c r="E644" t="str">
        <x:v>Ground Validation</x:v>
      </x:c>
      <x:c r="F644" t="str">
        <x:v>Seaviewer Drop Camera</x:v>
      </x:c>
      <x:c r="G644" t="str">
        <x:v>GV2011_277</x:v>
      </x:c>
      <x:c r="H644" s="28" t="n">
        <x:v>40646</x:v>
      </x:c>
      <x:c r="I644" t="str">
        <x:v>14:25:07</x:v>
      </x:c>
      <x:c r="J644" t="n">
        <x:v>2011</x:v>
      </x:c>
      <x:c r="K644" t="n">
        <x:v>18.23108213</x:v>
      </x:c>
      <x:c r="L644" t="n">
        <x:v>-64.94392928</x:v>
      </x:c>
      <x:c r="M644" t="n">
        <x:v>43.142</x:v>
      </x:c>
      <x:c r="N644" t="str">
        <x:v>https://nccospublicstor.blob.core.windows.net/biomapper/usviinsularshelf2017/videos/low/GV2011_277.mp4</x:v>
      </x:c>
      <x:c r="O644" t="n">
        <x:v>0</x:v>
      </x:c>
      <x:c r="P644" t="n">
        <x:v>0</x:v>
      </x:c>
      <x:c r="Q644" t="n">
        <x:v>0</x:v>
      </x:c>
      <x:c r="R644" t="n">
        <x:v>1</x:v>
      </x:c>
      <x:c r="S644" t="n">
        <x:v>0</x:v>
      </x:c>
      <x:c r="T644" t="n">
        <x:v>0</x:v>
      </x:c>
      <x:c r="U644" t="n">
        <x:v>1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1</x:v>
      </x:c>
      <x:c r="AA644" t="n">
        <x:v>1</x:v>
      </x:c>
      <x:c r="AB644" t="str">
        <x:v>Pass</x:v>
      </x:c>
      <x:c r="AC644" t="str"/>
      <x:c r="AD644" t="str"/>
    </x:row>
    <x:row r="645">
      <x:c r="A645" t="str">
        <x:v>REC0644</x:v>
      </x:c>
      <x:c r="B645" t="n">
        <x:v>643</x:v>
      </x:c>
      <x:c r="C645" t="str">
        <x:v>St. Thomas, USVI</x:v>
      </x:c>
      <x:c r="D645" t="str">
        <x:v>GV</x:v>
      </x:c>
      <x:c r="E645" t="str">
        <x:v>Ground Validation</x:v>
      </x:c>
      <x:c r="F645" t="str">
        <x:v>Seaviewer Drop Camera</x:v>
      </x:c>
      <x:c r="G645" t="str">
        <x:v>GV2011_278</x:v>
      </x:c>
      <x:c r="H645" s="28" t="n">
        <x:v>40646</x:v>
      </x:c>
      <x:c r="I645" t="str">
        <x:v>09:26:15</x:v>
      </x:c>
      <x:c r="J645" t="n">
        <x:v>2011</x:v>
      </x:c>
      <x:c r="K645" t="n">
        <x:v>18.23004845</x:v>
      </x:c>
      <x:c r="L645" t="n">
        <x:v>-64.91360677</x:v>
      </x:c>
      <x:c r="M645" t="n">
        <x:v>41.623</x:v>
      </x:c>
      <x:c r="N645" t="str">
        <x:v>https://nccospublicstor.blob.core.windows.net/biomapper/usviinsularshelf2017/videos/low/GV2011_278.mp4</x:v>
      </x:c>
      <x:c r="O645" t="n">
        <x:v>1</x:v>
      </x:c>
      <x:c r="P645" t="n">
        <x:v>0</x:v>
      </x:c>
      <x:c r="Q645" t="n">
        <x:v>0</x:v>
      </x:c>
      <x:c r="R645" t="n">
        <x:v>1</x:v>
      </x:c>
      <x:c r="S645" t="n">
        <x:v>1</x:v>
      </x:c>
      <x:c r="T645" t="n">
        <x:v>1</x:v>
      </x:c>
      <x:c r="U645" t="n">
        <x:v>1</x:v>
      </x:c>
      <x:c r="V645" t="n">
        <x:v>1</x:v>
      </x:c>
      <x:c r="W645" t="n">
        <x:v>0</x:v>
      </x:c>
      <x:c r="X645" t="n">
        <x:v>0</x:v>
      </x:c>
      <x:c r="Y645" t="n">
        <x:v>0</x:v>
      </x:c>
      <x:c r="Z645" t="n">
        <x:v>2</x:v>
      </x:c>
      <x:c r="AA645" t="n">
        <x:v>4</x:v>
      </x:c>
      <x:c r="AB645" t="str">
        <x:v>Pass</x:v>
      </x:c>
      <x:c r="AC645" t="str"/>
      <x:c r="AD645" t="str"/>
    </x:row>
    <x:row r="646">
      <x:c r="A646" t="str">
        <x:v>REC0645</x:v>
      </x:c>
      <x:c r="B646" t="n">
        <x:v>644</x:v>
      </x:c>
      <x:c r="C646" t="str">
        <x:v>St. Thomas, USVI</x:v>
      </x:c>
      <x:c r="D646" t="str">
        <x:v>GV</x:v>
      </x:c>
      <x:c r="E646" t="str">
        <x:v>Ground Validation</x:v>
      </x:c>
      <x:c r="F646" t="str">
        <x:v>Seaviewer Drop Camera</x:v>
      </x:c>
      <x:c r="G646" t="str">
        <x:v>GV2011_279</x:v>
      </x:c>
      <x:c r="H646" s="28" t="n">
        <x:v>40645</x:v>
      </x:c>
      <x:c r="I646" t="str">
        <x:v>08:28:32</x:v>
      </x:c>
      <x:c r="J646" t="n">
        <x:v>2011</x:v>
      </x:c>
      <x:c r="K646" t="n">
        <x:v>18.21029861</x:v>
      </x:c>
      <x:c r="L646" t="n">
        <x:v>-64.89824673</x:v>
      </x:c>
      <x:c r="M646" t="n">
        <x:v>41.911</x:v>
      </x:c>
      <x:c r="N646" t="str">
        <x:v>https://nccospublicstor.blob.core.windows.net/biomapper/usviinsularshelf2017/videos/low/GV2011_279.mp4</x:v>
      </x:c>
      <x:c r="O646" t="n">
        <x:v>1</x:v>
      </x:c>
      <x:c r="P646" t="n">
        <x:v>0</x:v>
      </x:c>
      <x:c r="Q646" t="n">
        <x:v>0</x:v>
      </x:c>
      <x:c r="R646" t="n">
        <x:v>0</x:v>
      </x:c>
      <x:c r="S646" t="n">
        <x:v>1</x:v>
      </x:c>
      <x:c r="T646" t="n">
        <x:v>0</x:v>
      </x:c>
      <x:c r="U646" t="n">
        <x:v>1</x:v>
      </x:c>
      <x:c r="V646" t="n">
        <x:v>1</x:v>
      </x:c>
      <x:c r="W646" t="n">
        <x:v>0</x:v>
      </x:c>
      <x:c r="X646" t="n">
        <x:v>0</x:v>
      </x:c>
      <x:c r="Y646" t="n">
        <x:v>0</x:v>
      </x:c>
      <x:c r="Z646" t="n">
        <x:v>1</x:v>
      </x:c>
      <x:c r="AA646" t="n">
        <x:v>3</x:v>
      </x:c>
      <x:c r="AB646" t="str">
        <x:v>Pass</x:v>
      </x:c>
      <x:c r="AC646" t="str"/>
      <x:c r="AD646" t="str"/>
    </x:row>
    <x:row r="647">
      <x:c r="A647" t="str">
        <x:v>REC0646</x:v>
      </x:c>
      <x:c r="B647" t="n">
        <x:v>645</x:v>
      </x:c>
      <x:c r="C647" t="str">
        <x:v>St. Thomas, USVI</x:v>
      </x:c>
      <x:c r="D647" t="str">
        <x:v>GV</x:v>
      </x:c>
      <x:c r="E647" t="str">
        <x:v>Ground Validation</x:v>
      </x:c>
      <x:c r="F647" t="str">
        <x:v>Seaviewer Drop Camera</x:v>
      </x:c>
      <x:c r="G647" t="str">
        <x:v>GV2011_280</x:v>
      </x:c>
      <x:c r="H647" s="28" t="n">
        <x:v>40645</x:v>
      </x:c>
      <x:c r="I647" t="str">
        <x:v>08:35:17</x:v>
      </x:c>
      <x:c r="J647" t="n">
        <x:v>2011</x:v>
      </x:c>
      <x:c r="K647" t="n">
        <x:v>18.2083632</x:v>
      </x:c>
      <x:c r="L647" t="n">
        <x:v>-64.90438185</x:v>
      </x:c>
      <x:c r="M647" t="n">
        <x:v>44.366</x:v>
      </x:c>
      <x:c r="N647" t="str">
        <x:v>https://nccospublicstor.blob.core.windows.net/biomapper/usviinsularshelf2017/videos/low/GV2011_280.mp4</x:v>
      </x:c>
      <x:c r="O647" t="n">
        <x:v>1</x:v>
      </x:c>
      <x:c r="P647" t="n">
        <x:v>0</x:v>
      </x:c>
      <x:c r="Q647" t="n">
        <x:v>0</x:v>
      </x:c>
      <x:c r="R647" t="n">
        <x:v>0</x:v>
      </x:c>
      <x:c r="S647" t="n">
        <x:v>1</x:v>
      </x:c>
      <x:c r="T647" t="n">
        <x:v>0</x:v>
      </x:c>
      <x:c r="U647" t="n">
        <x:v>1</x:v>
      </x:c>
      <x:c r="V647" t="n">
        <x:v>1</x:v>
      </x:c>
      <x:c r="W647" t="n">
        <x:v>0</x:v>
      </x:c>
      <x:c r="X647" t="n">
        <x:v>0</x:v>
      </x:c>
      <x:c r="Y647" t="n">
        <x:v>0</x:v>
      </x:c>
      <x:c r="Z647" t="n">
        <x:v>1</x:v>
      </x:c>
      <x:c r="AA647" t="n">
        <x:v>3</x:v>
      </x:c>
      <x:c r="AB647" t="str">
        <x:v>Pass</x:v>
      </x:c>
      <x:c r="AC647" t="str"/>
      <x:c r="AD647" t="str"/>
    </x:row>
    <x:row r="648">
      <x:c r="A648" t="str">
        <x:v>REC0647</x:v>
      </x:c>
      <x:c r="B648" t="n">
        <x:v>646</x:v>
      </x:c>
      <x:c r="C648" t="str">
        <x:v>St. Thomas, USVI</x:v>
      </x:c>
      <x:c r="D648" t="str">
        <x:v>GV</x:v>
      </x:c>
      <x:c r="E648" t="str">
        <x:v>Ground Validation</x:v>
      </x:c>
      <x:c r="F648" t="str">
        <x:v>Seaviewer Drop Camera</x:v>
      </x:c>
      <x:c r="G648" t="str">
        <x:v>GV2011_281</x:v>
      </x:c>
      <x:c r="H648" s="28" t="n">
        <x:v>40645</x:v>
      </x:c>
      <x:c r="I648" t="str">
        <x:v>08:41:05</x:v>
      </x:c>
      <x:c r="J648" t="n">
        <x:v>2011</x:v>
      </x:c>
      <x:c r="K648" t="n">
        <x:v>18.20994889</x:v>
      </x:c>
      <x:c r="L648" t="n">
        <x:v>-64.90677488</x:v>
      </x:c>
      <x:c r="M648" t="n">
        <x:v>46.6</x:v>
      </x:c>
      <x:c r="N648" t="str">
        <x:v>https://nccospublicstor.blob.core.windows.net/biomapper/usviinsularshelf2017/videos/low/GV2011_281.mp4</x:v>
      </x:c>
      <x:c r="O648" t="n">
        <x:v>1</x:v>
      </x:c>
      <x:c r="P648" t="n">
        <x:v>0</x:v>
      </x:c>
      <x:c r="Q648" t="n">
        <x:v>0</x:v>
      </x:c>
      <x:c r="R648" t="n">
        <x:v>0</x:v>
      </x:c>
      <x:c r="S648" t="n">
        <x:v>1</x:v>
      </x:c>
      <x:c r="T648" t="n">
        <x:v>0</x:v>
      </x:c>
      <x:c r="U648" t="n">
        <x:v>1</x:v>
      </x:c>
      <x:c r="V648" t="n">
        <x:v>1</x:v>
      </x:c>
      <x:c r="W648" t="n">
        <x:v>0</x:v>
      </x:c>
      <x:c r="X648" t="n">
        <x:v>0</x:v>
      </x:c>
      <x:c r="Y648" t="n">
        <x:v>0</x:v>
      </x:c>
      <x:c r="Z648" t="n">
        <x:v>1</x:v>
      </x:c>
      <x:c r="AA648" t="n">
        <x:v>3</x:v>
      </x:c>
      <x:c r="AB648" t="str">
        <x:v>Pass</x:v>
      </x:c>
      <x:c r="AC648" t="str"/>
      <x:c r="AD648" t="str"/>
    </x:row>
    <x:row r="649">
      <x:c r="A649" t="str">
        <x:v>REC0648</x:v>
      </x:c>
      <x:c r="B649" t="n">
        <x:v>647</x:v>
      </x:c>
      <x:c r="C649" t="str">
        <x:v>St. Thomas, USVI</x:v>
      </x:c>
      <x:c r="D649" t="str">
        <x:v>GV</x:v>
      </x:c>
      <x:c r="E649" t="str">
        <x:v>Ground Validation</x:v>
      </x:c>
      <x:c r="F649" t="str">
        <x:v>Seaviewer Drop Camera</x:v>
      </x:c>
      <x:c r="G649" t="str">
        <x:v>GV2011_282</x:v>
      </x:c>
      <x:c r="H649" s="28" t="n">
        <x:v>40645</x:v>
      </x:c>
      <x:c r="I649" t="str">
        <x:v>08:50:12</x:v>
      </x:c>
      <x:c r="J649" t="n">
        <x:v>2011</x:v>
      </x:c>
      <x:c r="K649" t="n">
        <x:v>18.21392917</x:v>
      </x:c>
      <x:c r="L649" t="n">
        <x:v>-64.91450591</x:v>
      </x:c>
      <x:c r="M649" t="n">
        <x:v>43.97</x:v>
      </x:c>
      <x:c r="N649" t="str">
        <x:v>https://nccospublicstor.blob.core.windows.net/biomapper/usviinsularshelf2017/videos/low/GV2011_282.mp4</x:v>
      </x:c>
      <x:c r="O649" t="n">
        <x:v>1</x:v>
      </x:c>
      <x:c r="P649" t="n">
        <x:v>0</x:v>
      </x:c>
      <x:c r="Q649" t="n">
        <x:v>0</x:v>
      </x:c>
      <x:c r="R649" t="n">
        <x:v>0</x:v>
      </x:c>
      <x:c r="S649" t="n">
        <x:v>1</x:v>
      </x:c>
      <x:c r="T649" t="n">
        <x:v>0</x:v>
      </x:c>
      <x:c r="U649" t="n">
        <x:v>1</x:v>
      </x:c>
      <x:c r="V649" t="n">
        <x:v>1</x:v>
      </x:c>
      <x:c r="W649" t="n">
        <x:v>0</x:v>
      </x:c>
      <x:c r="X649" t="n">
        <x:v>0</x:v>
      </x:c>
      <x:c r="Y649" t="n">
        <x:v>0</x:v>
      </x:c>
      <x:c r="Z649" t="n">
        <x:v>1</x:v>
      </x:c>
      <x:c r="AA649" t="n">
        <x:v>3</x:v>
      </x:c>
      <x:c r="AB649" t="str">
        <x:v>Pass</x:v>
      </x:c>
      <x:c r="AC649" t="str"/>
      <x:c r="AD649" t="str"/>
    </x:row>
    <x:row r="650">
      <x:c r="A650" t="str">
        <x:v>REC0649</x:v>
      </x:c>
      <x:c r="B650" t="n">
        <x:v>648</x:v>
      </x:c>
      <x:c r="C650" t="str">
        <x:v>St. Thomas, USVI</x:v>
      </x:c>
      <x:c r="D650" t="str">
        <x:v>GV</x:v>
      </x:c>
      <x:c r="E650" t="str">
        <x:v>Ground Validation</x:v>
      </x:c>
      <x:c r="F650" t="str">
        <x:v>Seaviewer Drop Camera</x:v>
      </x:c>
      <x:c r="G650" t="str">
        <x:v>GV2011_283</x:v>
      </x:c>
      <x:c r="H650" s="28" t="n">
        <x:v>40645</x:v>
      </x:c>
      <x:c r="I650" t="str">
        <x:v>09:10:02</x:v>
      </x:c>
      <x:c r="J650" t="n">
        <x:v>2011</x:v>
      </x:c>
      <x:c r="K650" t="n">
        <x:v>18.21268488</x:v>
      </x:c>
      <x:c r="L650" t="n">
        <x:v>-64.92600489</x:v>
      </x:c>
      <x:c r="M650" t="n">
        <x:v>45.692</x:v>
      </x:c>
      <x:c r="N650" t="str">
        <x:v>https://nccospublicstor.blob.core.windows.net/biomapper/usviinsularshelf2017/videos/low/GV2011_283.mp4</x:v>
      </x:c>
      <x:c r="O650" t="n">
        <x:v>0</x:v>
      </x:c>
      <x:c r="P650" t="n">
        <x:v>1</x:v>
      </x:c>
      <x:c r="Q650" t="n">
        <x:v>1</x:v>
      </x:c>
      <x:c r="R650" t="n">
        <x:v>0</x:v>
      </x:c>
      <x:c r="S650" t="n">
        <x:v>1</x:v>
      </x:c>
      <x:c r="T650" t="n">
        <x:v>0</x:v>
      </x:c>
      <x:c r="U650" t="n">
        <x:v>1</x:v>
      </x:c>
      <x:c r="V650" t="n">
        <x:v>1</x:v>
      </x:c>
      <x:c r="W650" t="n">
        <x:v>0</x:v>
      </x:c>
      <x:c r="X650" t="n">
        <x:v>0</x:v>
      </x:c>
      <x:c r="Y650" t="n">
        <x:v>0</x:v>
      </x:c>
      <x:c r="Z650" t="n">
        <x:v>2</x:v>
      </x:c>
      <x:c r="AA650" t="n">
        <x:v>3</x:v>
      </x:c>
      <x:c r="AB650" t="str">
        <x:v>Pass</x:v>
      </x:c>
      <x:c r="AC650" t="str"/>
      <x:c r="AD650" t="str"/>
    </x:row>
    <x:row r="651">
      <x:c r="A651" t="str">
        <x:v>REC0650</x:v>
      </x:c>
      <x:c r="B651" t="n">
        <x:v>649</x:v>
      </x:c>
      <x:c r="C651" t="str">
        <x:v>St. Thomas, USVI</x:v>
      </x:c>
      <x:c r="D651" t="str">
        <x:v>GV</x:v>
      </x:c>
      <x:c r="E651" t="str">
        <x:v>Ground Validation</x:v>
      </x:c>
      <x:c r="F651" t="str">
        <x:v>Seaviewer Drop Camera</x:v>
      </x:c>
      <x:c r="G651" t="str">
        <x:v>GV2011_284</x:v>
      </x:c>
      <x:c r="H651" s="28" t="n">
        <x:v>40645</x:v>
      </x:c>
      <x:c r="I651" t="str">
        <x:v>09:15:50</x:v>
      </x:c>
      <x:c r="J651" t="n">
        <x:v>2011</x:v>
      </x:c>
      <x:c r="K651" t="n">
        <x:v>18.21335843</x:v>
      </x:c>
      <x:c r="L651" t="n">
        <x:v>-64.92932522</x:v>
      </x:c>
      <x:c r="M651" t="n">
        <x:v>44.734</x:v>
      </x:c>
      <x:c r="N651" t="str">
        <x:v>https://nccospublicstor.blob.core.windows.net/biomapper/usviinsularshelf2017/videos/low/GV2011_284.mp4</x:v>
      </x:c>
      <x:c r="O651" t="n">
        <x:v>1</x:v>
      </x:c>
      <x:c r="P651" t="n">
        <x:v>0</x:v>
      </x:c>
      <x:c r="Q651" t="n">
        <x:v>0</x:v>
      </x:c>
      <x:c r="R651" t="n">
        <x:v>1</x:v>
      </x:c>
      <x:c r="S651" t="n">
        <x:v>1</x:v>
      </x:c>
      <x:c r="T651" t="n">
        <x:v>0</x:v>
      </x:c>
      <x:c r="U651" t="n">
        <x:v>1</x:v>
      </x:c>
      <x:c r="V651" t="n">
        <x:v>1</x:v>
      </x:c>
      <x:c r="W651" t="n">
        <x:v>0</x:v>
      </x:c>
      <x:c r="X651" t="n">
        <x:v>0</x:v>
      </x:c>
      <x:c r="Y651" t="n">
        <x:v>0</x:v>
      </x:c>
      <x:c r="Z651" t="n">
        <x:v>2</x:v>
      </x:c>
      <x:c r="AA651" t="n">
        <x:v>3</x:v>
      </x:c>
      <x:c r="AB651" t="str">
        <x:v>Pass</x:v>
      </x:c>
      <x:c r="AC651" t="str"/>
      <x:c r="AD651" t="str"/>
    </x:row>
    <x:row r="652">
      <x:c r="A652" t="str">
        <x:v>REC0651</x:v>
      </x:c>
      <x:c r="B652" t="n">
        <x:v>650</x:v>
      </x:c>
      <x:c r="C652" t="str">
        <x:v>St. Thomas, USVI</x:v>
      </x:c>
      <x:c r="D652" t="str">
        <x:v>GV</x:v>
      </x:c>
      <x:c r="E652" t="str">
        <x:v>Ground Validation</x:v>
      </x:c>
      <x:c r="F652" t="str">
        <x:v>Seaviewer Drop Camera</x:v>
      </x:c>
      <x:c r="G652" t="str">
        <x:v>GV2011_285</x:v>
      </x:c>
      <x:c r="H652" s="28" t="n">
        <x:v>40645</x:v>
      </x:c>
      <x:c r="I652" t="str">
        <x:v>09:22:15</x:v>
      </x:c>
      <x:c r="J652" t="n">
        <x:v>2011</x:v>
      </x:c>
      <x:c r="K652" t="n">
        <x:v>18.21548028</x:v>
      </x:c>
      <x:c r="L652" t="n">
        <x:v>-64.93175464</x:v>
      </x:c>
      <x:c r="M652" t="n">
        <x:v>44.515</x:v>
      </x:c>
      <x:c r="N652" t="str">
        <x:v>https://nccospublicstor.blob.core.windows.net/biomapper/usviinsularshelf2017/videos/low/GV2011_285.mp4</x:v>
      </x:c>
      <x:c r="O652" t="n">
        <x:v>0</x:v>
      </x:c>
      <x:c r="P652" t="n">
        <x:v>0</x:v>
      </x:c>
      <x:c r="Q652" t="n">
        <x:v>1</x:v>
      </x:c>
      <x:c r="R652" t="n">
        <x:v>0</x:v>
      </x:c>
      <x:c r="S652" t="n">
        <x:v>1</x:v>
      </x:c>
      <x:c r="T652" t="n">
        <x:v>0</x:v>
      </x:c>
      <x:c r="U652" t="n">
        <x:v>1</x:v>
      </x:c>
      <x:c r="V652" t="n">
        <x:v>1</x:v>
      </x:c>
      <x:c r="W652" t="n">
        <x:v>0</x:v>
      </x:c>
      <x:c r="X652" t="n">
        <x:v>0</x:v>
      </x:c>
      <x:c r="Y652" t="n">
        <x:v>0</x:v>
      </x:c>
      <x:c r="Z652" t="n">
        <x:v>1</x:v>
      </x:c>
      <x:c r="AA652" t="n">
        <x:v>3</x:v>
      </x:c>
      <x:c r="AB652" t="str">
        <x:v>Pass</x:v>
      </x:c>
      <x:c r="AC652" t="str"/>
      <x:c r="AD652" t="str"/>
    </x:row>
    <x:row r="653">
      <x:c r="A653" t="str">
        <x:v>REC0652</x:v>
      </x:c>
      <x:c r="B653" t="n">
        <x:v>651</x:v>
      </x:c>
      <x:c r="C653" t="str">
        <x:v>St. Thomas, USVI</x:v>
      </x:c>
      <x:c r="D653" t="str">
        <x:v>GV</x:v>
      </x:c>
      <x:c r="E653" t="str">
        <x:v>Ground Validation</x:v>
      </x:c>
      <x:c r="F653" t="str">
        <x:v>Seaviewer Drop Camera</x:v>
      </x:c>
      <x:c r="G653" t="str">
        <x:v>GV2011_298</x:v>
      </x:c>
      <x:c r="H653" s="28" t="n">
        <x:v>40645</x:v>
      </x:c>
      <x:c r="I653" t="str">
        <x:v>08:16:46</x:v>
      </x:c>
      <x:c r="J653" t="n">
        <x:v>2011</x:v>
      </x:c>
      <x:c r="K653" t="n">
        <x:v>18.2163497</x:v>
      </x:c>
      <x:c r="L653" t="n">
        <x:v>-64.8923248</x:v>
      </x:c>
      <x:c r="M653" t="n">
        <x:v>44.151</x:v>
      </x:c>
      <x:c r="N653" t="str">
        <x:v>https://nccospublicstor.blob.core.windows.net/biomapper/usviinsularshelf2017/videos/low/GV2011_298.mp4</x:v>
      </x:c>
      <x:c r="O653" t="n">
        <x:v>1</x:v>
      </x:c>
      <x:c r="P653" t="n">
        <x:v>0</x:v>
      </x:c>
      <x:c r="Q653" t="n">
        <x:v>0</x:v>
      </x:c>
      <x:c r="R653" t="n">
        <x:v>1</x:v>
      </x:c>
      <x:c r="S653" t="n">
        <x:v>1</x:v>
      </x:c>
      <x:c r="T653" t="n">
        <x:v>0</x:v>
      </x:c>
      <x:c r="U653" t="n">
        <x:v>1</x:v>
      </x:c>
      <x:c r="V653" t="n">
        <x:v>1</x:v>
      </x:c>
      <x:c r="W653" t="n">
        <x:v>0</x:v>
      </x:c>
      <x:c r="X653" t="n">
        <x:v>0</x:v>
      </x:c>
      <x:c r="Y653" t="n">
        <x:v>0</x:v>
      </x:c>
      <x:c r="Z653" t="n">
        <x:v>2</x:v>
      </x:c>
      <x:c r="AA653" t="n">
        <x:v>3</x:v>
      </x:c>
      <x:c r="AB653" t="str">
        <x:v>Pass</x:v>
      </x:c>
      <x:c r="AC653" t="str"/>
      <x:c r="AD653" t="str"/>
    </x:row>
    <x:row r="654">
      <x:c r="A654" t="str">
        <x:v>REC0653</x:v>
      </x:c>
      <x:c r="B654" t="n">
        <x:v>652</x:v>
      </x:c>
      <x:c r="C654" t="str">
        <x:v>St. Thomas, USVI</x:v>
      </x:c>
      <x:c r="D654" t="str">
        <x:v>GV</x:v>
      </x:c>
      <x:c r="E654" t="str">
        <x:v>Ground Validation</x:v>
      </x:c>
      <x:c r="F654" t="str">
        <x:v>Seaviewer Drop Camera</x:v>
      </x:c>
      <x:c r="G654" t="str">
        <x:v>GV2011_299</x:v>
      </x:c>
      <x:c r="H654" s="28" t="n">
        <x:v>40645</x:v>
      </x:c>
      <x:c r="I654" t="str">
        <x:v>08:56:55</x:v>
      </x:c>
      <x:c r="J654" t="n">
        <x:v>2011</x:v>
      </x:c>
      <x:c r="K654" t="n">
        <x:v>18.21580406</x:v>
      </x:c>
      <x:c r="L654" t="n">
        <x:v>-64.91818257</x:v>
      </x:c>
      <x:c r="M654" t="n">
        <x:v>43.75</x:v>
      </x:c>
      <x:c r="N654" t="str">
        <x:v>https://nccospublicstor.blob.core.windows.net/biomapper/usviinsularshelf2017/videos/low/GV2011_299.mp4</x:v>
      </x:c>
      <x:c r="O654" t="n">
        <x:v>1</x:v>
      </x:c>
      <x:c r="P654" t="n">
        <x:v>0</x:v>
      </x:c>
      <x:c r="Q654" t="n">
        <x:v>0</x:v>
      </x:c>
      <x:c r="R654" t="n">
        <x:v>1</x:v>
      </x:c>
      <x:c r="S654" t="n">
        <x:v>1</x:v>
      </x:c>
      <x:c r="T654" t="n">
        <x:v>0</x:v>
      </x:c>
      <x:c r="U654" t="n">
        <x:v>1</x:v>
      </x:c>
      <x:c r="V654" t="n">
        <x:v>1</x:v>
      </x:c>
      <x:c r="W654" t="n">
        <x:v>0</x:v>
      </x:c>
      <x:c r="X654" t="n">
        <x:v>0</x:v>
      </x:c>
      <x:c r="Y654" t="n">
        <x:v>0</x:v>
      </x:c>
      <x:c r="Z654" t="n">
        <x:v>2</x:v>
      </x:c>
      <x:c r="AA654" t="n">
        <x:v>3</x:v>
      </x:c>
      <x:c r="AB654" t="str">
        <x:v>Pass</x:v>
      </x:c>
      <x:c r="AC654" t="str"/>
      <x:c r="AD654" t="str"/>
    </x:row>
    <x:row r="655">
      <x:c r="A655" t="str">
        <x:v>REC0654</x:v>
      </x:c>
      <x:c r="B655" t="n">
        <x:v>653</x:v>
      </x:c>
      <x:c r="C655" t="str">
        <x:v>St. Thomas, USVI</x:v>
      </x:c>
      <x:c r="D655" t="str">
        <x:v>GV</x:v>
      </x:c>
      <x:c r="E655" t="str">
        <x:v>Ground Validation</x:v>
      </x:c>
      <x:c r="F655" t="str">
        <x:v>Seaviewer Drop Camera</x:v>
      </x:c>
      <x:c r="G655" t="str">
        <x:v>GV2011_300</x:v>
      </x:c>
      <x:c r="H655" s="28" t="n">
        <x:v>40645</x:v>
      </x:c>
      <x:c r="I655" t="str">
        <x:v>09:03:30</x:v>
      </x:c>
      <x:c r="J655" t="n">
        <x:v>2011</x:v>
      </x:c>
      <x:c r="K655" t="n">
        <x:v>18.21322196</x:v>
      </x:c>
      <x:c r="L655" t="n">
        <x:v>-64.92196337</x:v>
      </x:c>
      <x:c r="M655" t="n">
        <x:v>46.215</x:v>
      </x:c>
      <x:c r="N655" t="str">
        <x:v>https://nccospublicstor.blob.core.windows.net/biomapper/usviinsularshelf2017/videos/low/GV2011_300.mp4</x:v>
      </x:c>
      <x:c r="O655" t="n">
        <x:v>0</x:v>
      </x:c>
      <x:c r="P655" t="n">
        <x:v>0</x:v>
      </x:c>
      <x:c r="Q655" t="n">
        <x:v>1</x:v>
      </x:c>
      <x:c r="R655" t="n">
        <x:v>0</x:v>
      </x:c>
      <x:c r="S655" t="n">
        <x:v>0</x:v>
      </x:c>
      <x:c r="T655" t="n">
        <x:v>0</x:v>
      </x:c>
      <x:c r="U655" t="n">
        <x:v>1</x:v>
      </x:c>
      <x:c r="V655" t="n">
        <x:v>1</x:v>
      </x:c>
      <x:c r="W655" t="n">
        <x:v>0</x:v>
      </x:c>
      <x:c r="X655" t="n">
        <x:v>0</x:v>
      </x:c>
      <x:c r="Y655" t="n">
        <x:v>0</x:v>
      </x:c>
      <x:c r="Z655" t="n">
        <x:v>1</x:v>
      </x:c>
      <x:c r="AA655" t="n">
        <x:v>2</x:v>
      </x:c>
      <x:c r="AB655" t="str">
        <x:v>Pass</x:v>
      </x:c>
      <x:c r="AC655" t="str"/>
      <x:c r="AD655" t="str"/>
    </x:row>
    <x:row r="656">
      <x:c r="A656" t="str">
        <x:v>REC0655</x:v>
      </x:c>
      <x:c r="B656" t="n">
        <x:v>654</x:v>
      </x:c>
      <x:c r="C656" t="str">
        <x:v>St. Thomas, USVI</x:v>
      </x:c>
      <x:c r="D656" t="str">
        <x:v>GV</x:v>
      </x:c>
      <x:c r="E656" t="str">
        <x:v>Ground Validation</x:v>
      </x:c>
      <x:c r="F656" t="str">
        <x:v>Seaviewer Drop Camera</x:v>
      </x:c>
      <x:c r="G656" t="str">
        <x:v>GV2011_301</x:v>
      </x:c>
      <x:c r="H656" s="28" t="n">
        <x:v>40645</x:v>
      </x:c>
      <x:c r="I656" t="str">
        <x:v>07:55:34</x:v>
      </x:c>
      <x:c r="J656" t="n">
        <x:v>2011</x:v>
      </x:c>
      <x:c r="K656" t="n">
        <x:v>18.21660752</x:v>
      </x:c>
      <x:c r="L656" t="n">
        <x:v>-64.8728592</x:v>
      </x:c>
      <x:c r="M656" t="n">
        <x:v>41.409</x:v>
      </x:c>
      <x:c r="N656" t="str">
        <x:v>https://nccospublicstor.blob.core.windows.net/biomapper/usviinsularshelf2017/videos/low/GV2011_301.mp4</x:v>
      </x:c>
      <x:c r="O656" t="n">
        <x:v>1</x:v>
      </x:c>
      <x:c r="P656" t="n">
        <x:v>0</x:v>
      </x:c>
      <x:c r="Q656" t="n">
        <x:v>0</x:v>
      </x:c>
      <x:c r="R656" t="n">
        <x:v>0</x:v>
      </x:c>
      <x:c r="S656" t="n">
        <x:v>1</x:v>
      </x:c>
      <x:c r="T656" t="n">
        <x:v>0</x:v>
      </x:c>
      <x:c r="U656" t="n">
        <x:v>1</x:v>
      </x:c>
      <x:c r="V656" t="n">
        <x:v>1</x:v>
      </x:c>
      <x:c r="W656" t="n">
        <x:v>0</x:v>
      </x:c>
      <x:c r="X656" t="n">
        <x:v>0</x:v>
      </x:c>
      <x:c r="Y656" t="n">
        <x:v>0</x:v>
      </x:c>
      <x:c r="Z656" t="n">
        <x:v>1</x:v>
      </x:c>
      <x:c r="AA656" t="n">
        <x:v>3</x:v>
      </x:c>
      <x:c r="AB656" t="str">
        <x:v>Pass</x:v>
      </x:c>
      <x:c r="AC656" t="str"/>
      <x:c r="AD656" t="str"/>
    </x:row>
    <x:row r="657">
      <x:c r="A657" t="str">
        <x:v>REC0656</x:v>
      </x:c>
      <x:c r="B657" t="n">
        <x:v>655</x:v>
      </x:c>
      <x:c r="C657" t="str">
        <x:v>St. Thomas, USVI</x:v>
      </x:c>
      <x:c r="D657" t="str">
        <x:v>GV</x:v>
      </x:c>
      <x:c r="E657" t="str">
        <x:v>Ground Validation</x:v>
      </x:c>
      <x:c r="F657" t="str">
        <x:v>Seaviewer Drop Camera</x:v>
      </x:c>
      <x:c r="G657" t="str">
        <x:v>GV2011_302</x:v>
      </x:c>
      <x:c r="H657" s="28" t="n">
        <x:v>40645</x:v>
      </x:c>
      <x:c r="I657" t="str">
        <x:v>08:01:19</x:v>
      </x:c>
      <x:c r="J657" t="n">
        <x:v>2011</x:v>
      </x:c>
      <x:c r="K657" t="n">
        <x:v>18.21658963</x:v>
      </x:c>
      <x:c r="L657" t="n">
        <x:v>-64.87584</x:v>
      </x:c>
      <x:c r="M657" t="n">
        <x:v>45.293</x:v>
      </x:c>
      <x:c r="N657" t="str">
        <x:v>https://nccospublicstor.blob.core.windows.net/biomapper/usviinsularshelf2017/videos/low/GV2011_302.mp4</x:v>
      </x:c>
      <x:c r="O657" t="n">
        <x:v>0</x:v>
      </x:c>
      <x:c r="P657" t="n">
        <x:v>0</x:v>
      </x:c>
      <x:c r="Q657" t="n">
        <x:v>1</x:v>
      </x:c>
      <x:c r="R657" t="n">
        <x:v>1</x:v>
      </x:c>
      <x:c r="S657" t="n">
        <x:v>0</x:v>
      </x:c>
      <x:c r="T657" t="n">
        <x:v>0</x:v>
      </x:c>
      <x:c r="U657" t="n">
        <x:v>1</x:v>
      </x:c>
      <x:c r="V657" t="n">
        <x:v>1</x:v>
      </x:c>
      <x:c r="W657" t="n">
        <x:v>0</x:v>
      </x:c>
      <x:c r="X657" t="n">
        <x:v>0</x:v>
      </x:c>
      <x:c r="Y657" t="n">
        <x:v>0</x:v>
      </x:c>
      <x:c r="Z657" t="n">
        <x:v>2</x:v>
      </x:c>
      <x:c r="AA657" t="n">
        <x:v>2</x:v>
      </x:c>
      <x:c r="AB657" t="str">
        <x:v>Pass</x:v>
      </x:c>
      <x:c r="AC657" t="str"/>
      <x:c r="AD657" t="str"/>
    </x:row>
    <x:row r="658">
      <x:c r="A658" t="str">
        <x:v>REC0657</x:v>
      </x:c>
      <x:c r="B658" t="n">
        <x:v>656</x:v>
      </x:c>
      <x:c r="C658" t="str">
        <x:v>St. Thomas, USVI</x:v>
      </x:c>
      <x:c r="D658" t="str">
        <x:v>GV</x:v>
      </x:c>
      <x:c r="E658" t="str">
        <x:v>Ground Validation</x:v>
      </x:c>
      <x:c r="F658" t="str">
        <x:v>Seaviewer Drop Camera</x:v>
      </x:c>
      <x:c r="G658" t="str">
        <x:v>GV2011_303</x:v>
      </x:c>
      <x:c r="H658" s="28" t="n">
        <x:v>40645</x:v>
      </x:c>
      <x:c r="I658" t="str">
        <x:v>08:08:21</x:v>
      </x:c>
      <x:c r="J658" t="n">
        <x:v>2011</x:v>
      </x:c>
      <x:c r="K658" t="n">
        <x:v>18.21654392</x:v>
      </x:c>
      <x:c r="L658" t="n">
        <x:v>-64.88183923</x:v>
      </x:c>
      <x:c r="M658" t="n">
        <x:v>44.116</x:v>
      </x:c>
      <x:c r="N658" t="str">
        <x:v>https://nccospublicstor.blob.core.windows.net/biomapper/usviinsularshelf2017/videos/low/GV2011_303.mp4</x:v>
      </x:c>
      <x:c r="O658" t="n">
        <x:v>0</x:v>
      </x:c>
      <x:c r="P658" t="n">
        <x:v>0</x:v>
      </x:c>
      <x:c r="Q658" t="n">
        <x:v>1</x:v>
      </x:c>
      <x:c r="R658" t="n">
        <x:v>0</x:v>
      </x:c>
      <x:c r="S658" t="n">
        <x:v>0</x:v>
      </x:c>
      <x:c r="T658" t="n">
        <x:v>0</x:v>
      </x:c>
      <x:c r="U658" t="n">
        <x:v>1</x:v>
      </x:c>
      <x:c r="V658" t="n">
        <x:v>1</x:v>
      </x:c>
      <x:c r="W658" t="n">
        <x:v>0</x:v>
      </x:c>
      <x:c r="X658" t="n">
        <x:v>0</x:v>
      </x:c>
      <x:c r="Y658" t="n">
        <x:v>0</x:v>
      </x:c>
      <x:c r="Z658" t="n">
        <x:v>1</x:v>
      </x:c>
      <x:c r="AA658" t="n">
        <x:v>2</x:v>
      </x:c>
      <x:c r="AB658" t="str">
        <x:v>Pass</x:v>
      </x:c>
      <x:c r="AC658" t="str"/>
      <x:c r="AD658" t="str"/>
    </x:row>
    <x:row r="659">
      <x:c r="A659" t="str">
        <x:v>REC0658</x:v>
      </x:c>
      <x:c r="B659" t="n">
        <x:v>657</x:v>
      </x:c>
      <x:c r="C659" t="str">
        <x:v>St. Thomas, USVI</x:v>
      </x:c>
      <x:c r="D659" t="str">
        <x:v>GV</x:v>
      </x:c>
      <x:c r="E659" t="str">
        <x:v>Ground Validation</x:v>
      </x:c>
      <x:c r="F659" t="str">
        <x:v>Seaviewer Drop Camera</x:v>
      </x:c>
      <x:c r="G659" t="str">
        <x:v>GV2011_305</x:v>
      </x:c>
      <x:c r="H659" s="28" t="n">
        <x:v>40646</x:v>
      </x:c>
      <x:c r="I659" t="str">
        <x:v>13:47:56</x:v>
      </x:c>
      <x:c r="J659" t="n">
        <x:v>2011</x:v>
      </x:c>
      <x:c r="K659" t="n">
        <x:v>18.24068275</x:v>
      </x:c>
      <x:c r="L659" t="n">
        <x:v>-64.93031863</x:v>
      </x:c>
      <x:c r="M659" t="n">
        <x:v>41.71</x:v>
      </x:c>
      <x:c r="N659" t="str">
        <x:v>https://nccospublicstor.blob.core.windows.net/biomapper/usviinsularshelf2017/videos/low/GV2011_305.mp4</x:v>
      </x:c>
      <x:c r="O659" t="n">
        <x:v>0</x:v>
      </x:c>
      <x:c r="P659" t="n">
        <x:v>0</x:v>
      </x:c>
      <x:c r="Q659" t="n">
        <x:v>1</x:v>
      </x:c>
      <x:c r="R659" t="n">
        <x:v>1</x:v>
      </x:c>
      <x:c r="S659" t="n">
        <x:v>0</x:v>
      </x:c>
      <x:c r="T659" t="n">
        <x:v>0</x:v>
      </x:c>
      <x:c r="U659" t="n">
        <x:v>1</x:v>
      </x:c>
      <x:c r="V659" t="n">
        <x:v>1</x:v>
      </x:c>
      <x:c r="W659" t="n">
        <x:v>0</x:v>
      </x:c>
      <x:c r="X659" t="n">
        <x:v>0</x:v>
      </x:c>
      <x:c r="Y659" t="n">
        <x:v>0</x:v>
      </x:c>
      <x:c r="Z659" t="n">
        <x:v>2</x:v>
      </x:c>
      <x:c r="AA659" t="n">
        <x:v>2</x:v>
      </x:c>
      <x:c r="AB659" t="str">
        <x:v>Pass</x:v>
      </x:c>
      <x:c r="AC659" t="str"/>
      <x:c r="AD659" t="str"/>
    </x:row>
    <x:row r="660">
      <x:c r="A660" t="str">
        <x:v>REC0659</x:v>
      </x:c>
      <x:c r="B660" t="n">
        <x:v>658</x:v>
      </x:c>
      <x:c r="C660" t="str">
        <x:v>St. Thomas, USVI</x:v>
      </x:c>
      <x:c r="D660" t="str">
        <x:v>GV</x:v>
      </x:c>
      <x:c r="E660" t="str">
        <x:v>Ground Validation</x:v>
      </x:c>
      <x:c r="F660" t="str">
        <x:v>Seaviewer Drop Camera</x:v>
      </x:c>
      <x:c r="G660" t="str">
        <x:v>GV2011_308</x:v>
      </x:c>
      <x:c r="H660" s="28" t="n">
        <x:v>40646</x:v>
      </x:c>
      <x:c r="I660" t="str">
        <x:v>09:14:30</x:v>
      </x:c>
      <x:c r="J660" t="n">
        <x:v>2011</x:v>
      </x:c>
      <x:c r="K660" t="n">
        <x:v>18.23263273</x:v>
      </x:c>
      <x:c r="L660" t="n">
        <x:v>-64.89917096</x:v>
      </x:c>
      <x:c r="M660" t="n">
        <x:v>42.316</x:v>
      </x:c>
      <x:c r="N660" t="str">
        <x:v>https://nccospublicstor.blob.core.windows.net/biomapper/usviinsularshelf2017/videos/low/GV2011_308.mp4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1</x:v>
      </x:c>
      <x:c r="V660" t="n">
        <x:v>1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2</x:v>
      </x:c>
      <x:c r="AB660" t="str">
        <x:v>Review</x:v>
      </x:c>
      <x:c r="AC660" t="str">
        <x:v>No core substrate class marked Present</x:v>
      </x:c>
      <x:c r="AD660" t="str">
        <x:v>Site 308 and 269 combined into one video, using orignal annotation from site 269</x:v>
      </x:c>
    </x:row>
    <x:row r="661">
      <x:c r="A661" t="str">
        <x:v>REC0660</x:v>
      </x:c>
      <x:c r="B661" t="n">
        <x:v>659</x:v>
      </x:c>
      <x:c r="C661" t="str">
        <x:v>St. Thomas, USVI</x:v>
      </x:c>
      <x:c r="D661" t="str">
        <x:v>GV</x:v>
      </x:c>
      <x:c r="E661" t="str">
        <x:v>Ground Validation</x:v>
      </x:c>
      <x:c r="F661" t="str">
        <x:v>Seaviewer Drop Camera</x:v>
      </x:c>
      <x:c r="G661" t="str">
        <x:v>GV2011_309</x:v>
      </x:c>
      <x:c r="H661" s="28" t="n">
        <x:v>40646</x:v>
      </x:c>
      <x:c r="I661" t="str">
        <x:v>08:40:39</x:v>
      </x:c>
      <x:c r="J661" t="n">
        <x:v>2011</x:v>
      </x:c>
      <x:c r="K661" t="n">
        <x:v>18.22539386</x:v>
      </x:c>
      <x:c r="L661" t="n">
        <x:v>-64.89357392</x:v>
      </x:c>
      <x:c r="M661" t="n">
        <x:v>42.935</x:v>
      </x:c>
      <x:c r="N661" t="str">
        <x:v>https://nccospublicstor.blob.core.windows.net/biomapper/usviinsularshelf2017/videos/low/GV2011_309.mp4</x:v>
      </x:c>
      <x:c r="O661" t="n">
        <x:v>1</x:v>
      </x:c>
      <x:c r="P661" t="n">
        <x:v>0</x:v>
      </x:c>
      <x:c r="Q661" t="n">
        <x:v>0</x:v>
      </x:c>
      <x:c r="R661" t="n">
        <x:v>1</x:v>
      </x:c>
      <x:c r="S661" t="n">
        <x:v>1</x:v>
      </x:c>
      <x:c r="T661" t="n">
        <x:v>0</x:v>
      </x:c>
      <x:c r="U661" t="n">
        <x:v>1</x:v>
      </x:c>
      <x:c r="V661" t="n">
        <x:v>1</x:v>
      </x:c>
      <x:c r="W661" t="n">
        <x:v>0</x:v>
      </x:c>
      <x:c r="X661" t="n">
        <x:v>0</x:v>
      </x:c>
      <x:c r="Y661" t="n">
        <x:v>0</x:v>
      </x:c>
      <x:c r="Z661" t="n">
        <x:v>2</x:v>
      </x:c>
      <x:c r="AA661" t="n">
        <x:v>3</x:v>
      </x:c>
      <x:c r="AB661" t="str">
        <x:v>Pass</x:v>
      </x:c>
      <x:c r="AC661" t="str"/>
      <x:c r="AD661" t="str"/>
    </x:row>
    <x:row r="662">
      <x:c r="A662" t="str">
        <x:v>REC0661</x:v>
      </x:c>
      <x:c r="B662" t="n">
        <x:v>660</x:v>
      </x:c>
      <x:c r="C662" t="str">
        <x:v>St. Thomas, USVI</x:v>
      </x:c>
      <x:c r="D662" t="str">
        <x:v>GV</x:v>
      </x:c>
      <x:c r="E662" t="str">
        <x:v>Ground Validation</x:v>
      </x:c>
      <x:c r="F662" t="str">
        <x:v>Seaviewer Drop Camera</x:v>
      </x:c>
      <x:c r="G662" t="str">
        <x:v>GV2011_310</x:v>
      </x:c>
      <x:c r="H662" s="28" t="n">
        <x:v>40646</x:v>
      </x:c>
      <x:c r="I662" t="str">
        <x:v>08:46:58</x:v>
      </x:c>
      <x:c r="J662" t="n">
        <x:v>2011</x:v>
      </x:c>
      <x:c r="K662" t="n">
        <x:v>18.22167428</x:v>
      </x:c>
      <x:c r="L662" t="n">
        <x:v>-64.89494426</x:v>
      </x:c>
      <x:c r="M662" t="n">
        <x:v>43.398</x:v>
      </x:c>
      <x:c r="N662" t="str">
        <x:v>https://nccospublicstor.blob.core.windows.net/biomapper/usviinsularshelf2017/videos/low/GV2011_310.mp4</x:v>
      </x:c>
      <x:c r="O662" t="n">
        <x:v>1</x:v>
      </x:c>
      <x:c r="P662" t="n">
        <x:v>0</x:v>
      </x:c>
      <x:c r="Q662" t="n">
        <x:v>0</x:v>
      </x:c>
      <x:c r="R662" t="n">
        <x:v>1</x:v>
      </x:c>
      <x:c r="S662" t="n">
        <x:v>1</x:v>
      </x:c>
      <x:c r="T662" t="n">
        <x:v>0</x:v>
      </x:c>
      <x:c r="U662" t="n">
        <x:v>1</x:v>
      </x:c>
      <x:c r="V662" t="n">
        <x:v>1</x:v>
      </x:c>
      <x:c r="W662" t="n">
        <x:v>0</x:v>
      </x:c>
      <x:c r="X662" t="n">
        <x:v>0</x:v>
      </x:c>
      <x:c r="Y662" t="n">
        <x:v>0</x:v>
      </x:c>
      <x:c r="Z662" t="n">
        <x:v>2</x:v>
      </x:c>
      <x:c r="AA662" t="n">
        <x:v>3</x:v>
      </x:c>
      <x:c r="AB662" t="str">
        <x:v>Pass</x:v>
      </x:c>
      <x:c r="AC662" t="str"/>
      <x:c r="AD662" t="str"/>
    </x:row>
    <x:row r="663">
      <x:c r="A663" t="str">
        <x:v>REC0662</x:v>
      </x:c>
      <x:c r="B663" t="n">
        <x:v>661</x:v>
      </x:c>
      <x:c r="C663" t="str">
        <x:v>St. Thomas, USVI</x:v>
      </x:c>
      <x:c r="D663" t="str">
        <x:v>GV</x:v>
      </x:c>
      <x:c r="E663" t="str">
        <x:v>Ground Validation</x:v>
      </x:c>
      <x:c r="F663" t="str">
        <x:v>Seaviewer Drop Camera</x:v>
      </x:c>
      <x:c r="G663" t="str">
        <x:v>GV2011_311</x:v>
      </x:c>
      <x:c r="H663" s="28" t="n">
        <x:v>40646</x:v>
      </x:c>
      <x:c r="I663" t="str">
        <x:v>09:32:49</x:v>
      </x:c>
      <x:c r="J663" t="n">
        <x:v>2011</x:v>
      </x:c>
      <x:c r="K663" t="n">
        <x:v>18.22546833</x:v>
      </x:c>
      <x:c r="L663" t="n">
        <x:v>-64.91651071</x:v>
      </x:c>
      <x:c r="M663" t="n">
        <x:v>41.851</x:v>
      </x:c>
      <x:c r="N663" t="str">
        <x:v>https://nccospublicstor.blob.core.windows.net/biomapper/usviinsularshelf2017/videos/low/GV2011_311.mp4</x:v>
      </x:c>
      <x:c r="O663" t="n">
        <x:v>1</x:v>
      </x:c>
      <x:c r="P663" t="n">
        <x:v>0</x:v>
      </x:c>
      <x:c r="Q663" t="n">
        <x:v>0</x:v>
      </x:c>
      <x:c r="R663" t="n">
        <x:v>0</x:v>
      </x:c>
      <x:c r="S663" t="n">
        <x:v>1</x:v>
      </x:c>
      <x:c r="T663" t="n">
        <x:v>0</x:v>
      </x:c>
      <x:c r="U663" t="n">
        <x:v>1</x:v>
      </x:c>
      <x:c r="V663" t="n">
        <x:v>1</x:v>
      </x:c>
      <x:c r="W663" t="n">
        <x:v>0</x:v>
      </x:c>
      <x:c r="X663" t="n">
        <x:v>0</x:v>
      </x:c>
      <x:c r="Y663" t="n">
        <x:v>0</x:v>
      </x:c>
      <x:c r="Z663" t="n">
        <x:v>1</x:v>
      </x:c>
      <x:c r="AA663" t="n">
        <x:v>3</x:v>
      </x:c>
      <x:c r="AB663" t="str">
        <x:v>Pass</x:v>
      </x:c>
      <x:c r="AC663" t="str"/>
      <x:c r="AD663" t="str"/>
    </x:row>
    <x:row r="664">
      <x:c r="A664" t="str">
        <x:v>REC0663</x:v>
      </x:c>
      <x:c r="B664" t="n">
        <x:v>662</x:v>
      </x:c>
      <x:c r="C664" t="str">
        <x:v>St. Thomas, USVI</x:v>
      </x:c>
      <x:c r="D664" t="str">
        <x:v>GV</x:v>
      </x:c>
      <x:c r="E664" t="str">
        <x:v>Ground Validation</x:v>
      </x:c>
      <x:c r="F664" t="str">
        <x:v>Seaviewer Drop Camera</x:v>
      </x:c>
      <x:c r="G664" t="str">
        <x:v>GV2011_313</x:v>
      </x:c>
      <x:c r="H664" s="28" t="n">
        <x:v>40646</x:v>
      </x:c>
      <x:c r="I664" t="str">
        <x:v>14:14:18</x:v>
      </x:c>
      <x:c r="J664" t="n">
        <x:v>2011</x:v>
      </x:c>
      <x:c r="K664" t="n">
        <x:v>18.22417293</x:v>
      </x:c>
      <x:c r="L664" t="n">
        <x:v>-64.93804218</x:v>
      </x:c>
      <x:c r="M664" t="n">
        <x:v>41.721</x:v>
      </x:c>
      <x:c r="N664" t="str">
        <x:v>https://nccospublicstor.blob.core.windows.net/biomapper/usviinsularshelf2017/videos/low/GV2011_313.mp4</x:v>
      </x:c>
      <x:c r="O664" t="n">
        <x:v>1</x:v>
      </x:c>
      <x:c r="P664" t="n">
        <x:v>0</x:v>
      </x:c>
      <x:c r="Q664" t="n">
        <x:v>0</x:v>
      </x:c>
      <x:c r="R664" t="n">
        <x:v>1</x:v>
      </x:c>
      <x:c r="S664" t="n">
        <x:v>1</x:v>
      </x:c>
      <x:c r="T664" t="n">
        <x:v>0</x:v>
      </x:c>
      <x:c r="U664" t="n">
        <x:v>1</x:v>
      </x:c>
      <x:c r="V664" t="n">
        <x:v>1</x:v>
      </x:c>
      <x:c r="W664" t="n">
        <x:v>0</x:v>
      </x:c>
      <x:c r="X664" t="n">
        <x:v>0</x:v>
      </x:c>
      <x:c r="Y664" t="n">
        <x:v>0</x:v>
      </x:c>
      <x:c r="Z664" t="n">
        <x:v>2</x:v>
      </x:c>
      <x:c r="AA664" t="n">
        <x:v>3</x:v>
      </x:c>
      <x:c r="AB664" t="str">
        <x:v>Pass</x:v>
      </x:c>
      <x:c r="AC664" t="str"/>
      <x:c r="AD664" t="str">
        <x:v>big school of grunt</x:v>
      </x:c>
    </x:row>
    <x:row r="665">
      <x:c r="A665" t="str">
        <x:v>REC0664</x:v>
      </x:c>
      <x:c r="B665" t="n">
        <x:v>663</x:v>
      </x:c>
      <x:c r="C665" t="str">
        <x:v>St. Thomas, USVI</x:v>
      </x:c>
      <x:c r="D665" t="str">
        <x:v>GV</x:v>
      </x:c>
      <x:c r="E665" t="str">
        <x:v>Ground Validation</x:v>
      </x:c>
      <x:c r="F665" t="str">
        <x:v>Seaviewer Drop Camera</x:v>
      </x:c>
      <x:c r="G665" t="str">
        <x:v>GV2011_314</x:v>
      </x:c>
      <x:c r="H665" s="28" t="n">
        <x:v>40646</x:v>
      </x:c>
      <x:c r="I665" t="str">
        <x:v>14:08:18</x:v>
      </x:c>
      <x:c r="J665" t="n">
        <x:v>2011</x:v>
      </x:c>
      <x:c r="K665" t="n">
        <x:v>18.22134814</x:v>
      </x:c>
      <x:c r="L665" t="n">
        <x:v>-64.93808149</x:v>
      </x:c>
      <x:c r="M665" t="n">
        <x:v>43.029</x:v>
      </x:c>
      <x:c r="N665" t="str">
        <x:v>https://nccospublicstor.blob.core.windows.net/biomapper/usviinsularshelf2017/videos/low/GV2011_314.mp4</x:v>
      </x:c>
      <x:c r="O665" t="n">
        <x:v>1</x:v>
      </x:c>
      <x:c r="P665" t="n">
        <x:v>0</x:v>
      </x:c>
      <x:c r="Q665" t="n">
        <x:v>0</x:v>
      </x:c>
      <x:c r="R665" t="n">
        <x:v>0</x:v>
      </x:c>
      <x:c r="S665" t="n">
        <x:v>1</x:v>
      </x:c>
      <x:c r="T665" t="n">
        <x:v>0</x:v>
      </x:c>
      <x:c r="U665" t="n">
        <x:v>1</x:v>
      </x:c>
      <x:c r="V665" t="n">
        <x:v>1</x:v>
      </x:c>
      <x:c r="W665" t="n">
        <x:v>0</x:v>
      </x:c>
      <x:c r="X665" t="n">
        <x:v>0</x:v>
      </x:c>
      <x:c r="Y665" t="n">
        <x:v>0</x:v>
      </x:c>
      <x:c r="Z665" t="n">
        <x:v>1</x:v>
      </x:c>
      <x:c r="AA665" t="n">
        <x:v>3</x:v>
      </x:c>
      <x:c r="AB665" t="str">
        <x:v>Pass</x:v>
      </x:c>
      <x:c r="AC665" t="str"/>
      <x:c r="AD665" t="str"/>
    </x:row>
    <x:row r="666">
      <x:c r="A666" t="str">
        <x:v>REC0665</x:v>
      </x:c>
      <x:c r="B666" t="n">
        <x:v>664</x:v>
      </x:c>
      <x:c r="C666" t="str">
        <x:v>St. Thomas, USVI</x:v>
      </x:c>
      <x:c r="D666" t="str">
        <x:v>GV</x:v>
      </x:c>
      <x:c r="E666" t="str">
        <x:v>Ground Validation</x:v>
      </x:c>
      <x:c r="F666" t="str">
        <x:v>Seaviewer Drop Camera</x:v>
      </x:c>
      <x:c r="G666" t="str">
        <x:v>GV2011_315</x:v>
      </x:c>
      <x:c r="H666" s="28" t="n">
        <x:v>40646</x:v>
      </x:c>
      <x:c r="I666" t="str">
        <x:v>08:54:39</x:v>
      </x:c>
      <x:c r="J666" t="n">
        <x:v>2011</x:v>
      </x:c>
      <x:c r="K666" t="n">
        <x:v>18.22567874</x:v>
      </x:c>
      <x:c r="L666" t="n">
        <x:v>-64.89889759</x:v>
      </x:c>
      <x:c r="M666" t="n">
        <x:v>42.563</x:v>
      </x:c>
      <x:c r="N666" t="str">
        <x:v>https://nccospublicstor.blob.core.windows.net/biomapper/usviinsularshelf2017/videos/low/GV2011_315.mp4</x:v>
      </x:c>
      <x:c r="O666" t="n">
        <x:v>1</x:v>
      </x:c>
      <x:c r="P666" t="n">
        <x:v>0</x:v>
      </x:c>
      <x:c r="Q666" t="n">
        <x:v>0</x:v>
      </x:c>
      <x:c r="R666" t="n">
        <x:v>1</x:v>
      </x:c>
      <x:c r="S666" t="n">
        <x:v>1</x:v>
      </x:c>
      <x:c r="T666" t="n">
        <x:v>0</x:v>
      </x:c>
      <x:c r="U666" t="n">
        <x:v>1</x:v>
      </x:c>
      <x:c r="V666" t="n">
        <x:v>1</x:v>
      </x:c>
      <x:c r="W666" t="n">
        <x:v>0</x:v>
      </x:c>
      <x:c r="X666" t="n">
        <x:v>0</x:v>
      </x:c>
      <x:c r="Y666" t="n">
        <x:v>0</x:v>
      </x:c>
      <x:c r="Z666" t="n">
        <x:v>2</x:v>
      </x:c>
      <x:c r="AA666" t="n">
        <x:v>3</x:v>
      </x:c>
      <x:c r="AB666" t="str">
        <x:v>Pass</x:v>
      </x:c>
      <x:c r="AC666" t="str"/>
      <x:c r="AD666" t="str">
        <x:v>Reef Shark</x:v>
      </x:c>
    </x:row>
    <x:row r="667">
      <x:c r="A667" t="str">
        <x:v>REC0666</x:v>
      </x:c>
      <x:c r="B667" t="n">
        <x:v>665</x:v>
      </x:c>
      <x:c r="C667" t="str">
        <x:v>St. Thomas, USVI</x:v>
      </x:c>
      <x:c r="D667" t="str">
        <x:v>GV</x:v>
      </x:c>
      <x:c r="E667" t="str">
        <x:v>Ground Validation</x:v>
      </x:c>
      <x:c r="F667" t="str">
        <x:v>HD Seaviewer Drop Camera</x:v>
      </x:c>
      <x:c r="G667" t="str">
        <x:v>GV2016_001</x:v>
      </x:c>
      <x:c r="H667" s="28" t="n">
        <x:v>42609</x:v>
      </x:c>
      <x:c r="I667" t="str">
        <x:v>12:36:52</x:v>
      </x:c>
      <x:c r="J667" t="n">
        <x:v>2016</x:v>
      </x:c>
      <x:c r="K667" t="n">
        <x:v>18.25972382</x:v>
      </x:c>
      <x:c r="L667" t="n">
        <x:v>-64.99977413</x:v>
      </x:c>
      <x:c r="M667" t="n">
        <x:v>36.15</x:v>
      </x:c>
      <x:c r="N667" t="str">
        <x:v>https://nccospublicstor.blob.core.windows.net/biomapper/usviinsularshelf2017/videos/low/GV2016_001.mp4</x:v>
      </x:c>
      <x:c r="O667" t="n">
        <x:v>0</x:v>
      </x:c>
      <x:c r="P667" t="n">
        <x:v>0</x:v>
      </x:c>
      <x:c r="Q667" t="n">
        <x:v>1</x:v>
      </x:c>
      <x:c r="R667" t="n">
        <x:v>1</x:v>
      </x:c>
      <x:c r="S667" t="n">
        <x:v>0</x:v>
      </x:c>
      <x:c r="T667" t="n">
        <x:v>0</x:v>
      </x:c>
      <x:c r="U667" t="n">
        <x:v>1</x:v>
      </x:c>
      <x:c r="V667" t="n">
        <x:v>1</x:v>
      </x:c>
      <x:c r="W667" t="n">
        <x:v>0</x:v>
      </x:c>
      <x:c r="X667" t="n">
        <x:v>0</x:v>
      </x:c>
      <x:c r="Y667" t="n">
        <x:v>0</x:v>
      </x:c>
      <x:c r="Z667" t="n">
        <x:v>2</x:v>
      </x:c>
      <x:c r="AA667" t="n">
        <x:v>2</x:v>
      </x:c>
      <x:c r="AB667" t="str">
        <x:v>Pass</x:v>
      </x:c>
      <x:c r="AC667" t="str"/>
      <x:c r="AD667" t="str"/>
    </x:row>
    <x:row r="668">
      <x:c r="A668" t="str">
        <x:v>REC0667</x:v>
      </x:c>
      <x:c r="B668" t="n">
        <x:v>666</x:v>
      </x:c>
      <x:c r="C668" t="str">
        <x:v>St. John, USVI</x:v>
      </x:c>
      <x:c r="D668" t="str">
        <x:v>GV</x:v>
      </x:c>
      <x:c r="E668" t="str">
        <x:v>Ground Validation</x:v>
      </x:c>
      <x:c r="F668" t="str">
        <x:v>HD Seaviewer Drop Camera</x:v>
      </x:c>
      <x:c r="G668" t="str">
        <x:v>GV2016_002</x:v>
      </x:c>
      <x:c r="H668" s="28" t="n">
        <x:v>42629</x:v>
      </x:c>
      <x:c r="I668" t="str">
        <x:v>13:58:15</x:v>
      </x:c>
      <x:c r="J668" t="n">
        <x:v>2016</x:v>
      </x:c>
      <x:c r="K668" t="n">
        <x:v>18.19314057</x:v>
      </x:c>
      <x:c r="L668" t="n">
        <x:v>-64.77383938</x:v>
      </x:c>
      <x:c r="M668" t="n">
        <x:v>56.997</x:v>
      </x:c>
      <x:c r="N668" t="str">
        <x:v>https://nccospublicstor.blob.core.windows.net/biomapper/usviinsularshelf2017/videos/low/GV2016_002.mp4</x:v>
      </x:c>
      <x:c r="O668" t="n">
        <x:v>0</x:v>
      </x:c>
      <x:c r="P668" t="n">
        <x:v>0</x:v>
      </x:c>
      <x:c r="Q668" t="n">
        <x:v>1</x:v>
      </x:c>
      <x:c r="R668" t="n">
        <x:v>0</x:v>
      </x:c>
      <x:c r="S668" t="n">
        <x:v>0</x:v>
      </x:c>
      <x:c r="T668" t="n">
        <x:v>0</x:v>
      </x:c>
      <x:c r="U668" t="n">
        <x:v>1</x:v>
      </x:c>
      <x:c r="V668" t="n">
        <x:v>1</x:v>
      </x:c>
      <x:c r="W668" t="n">
        <x:v>0</x:v>
      </x:c>
      <x:c r="X668" t="n">
        <x:v>0</x:v>
      </x:c>
      <x:c r="Y668" t="n">
        <x:v>0</x:v>
      </x:c>
      <x:c r="Z668" t="n">
        <x:v>1</x:v>
      </x:c>
      <x:c r="AA668" t="n">
        <x:v>2</x:v>
      </x:c>
      <x:c r="AB668" t="str">
        <x:v>Pass</x:v>
      </x:c>
      <x:c r="AC668" t="str"/>
      <x:c r="AD668" t="str"/>
    </x:row>
    <x:row r="669">
      <x:c r="A669" t="str">
        <x:v>REC0668</x:v>
      </x:c>
      <x:c r="B669" t="n">
        <x:v>667</x:v>
      </x:c>
      <x:c r="C669" t="str">
        <x:v>St. Thomas, USVI</x:v>
      </x:c>
      <x:c r="D669" t="str">
        <x:v>GV</x:v>
      </x:c>
      <x:c r="E669" t="str">
        <x:v>Ground Validation</x:v>
      </x:c>
      <x:c r="F669" t="str">
        <x:v>HD Seaviewer Drop Camera</x:v>
      </x:c>
      <x:c r="G669" t="str">
        <x:v>GV2016_003</x:v>
      </x:c>
      <x:c r="H669" s="28" t="n">
        <x:v>42610</x:v>
      </x:c>
      <x:c r="I669" t="str">
        <x:v>10:07:03</x:v>
      </x:c>
      <x:c r="J669" t="n">
        <x:v>2016</x:v>
      </x:c>
      <x:c r="K669" t="n">
        <x:v>18.19063768</x:v>
      </x:c>
      <x:c r="L669" t="n">
        <x:v>-64.89945918</x:v>
      </x:c>
      <x:c r="M669" t="n">
        <x:v>50.698</x:v>
      </x:c>
      <x:c r="N669" t="str">
        <x:v>https://nccospublicstor.blob.core.windows.net/biomapper/usviinsularshelf2017/videos/low/GV2016_003.mp4</x:v>
      </x:c>
      <x:c r="O669" t="n">
        <x:v>0</x:v>
      </x:c>
      <x:c r="P669" t="n">
        <x:v>0</x:v>
      </x:c>
      <x:c r="Q669" t="n">
        <x:v>1</x:v>
      </x:c>
      <x:c r="R669" t="n">
        <x:v>0</x:v>
      </x:c>
      <x:c r="S669" t="n">
        <x:v>1</x:v>
      </x:c>
      <x:c r="T669" t="n">
        <x:v>1</x:v>
      </x:c>
      <x:c r="U669" t="n">
        <x:v>1</x:v>
      </x:c>
      <x:c r="V669" t="n">
        <x:v>1</x:v>
      </x:c>
      <x:c r="W669" t="n">
        <x:v>0</x:v>
      </x:c>
      <x:c r="X669" t="n">
        <x:v>0</x:v>
      </x:c>
      <x:c r="Y669" t="n">
        <x:v>0</x:v>
      </x:c>
      <x:c r="Z669" t="n">
        <x:v>1</x:v>
      </x:c>
      <x:c r="AA669" t="n">
        <x:v>4</x:v>
      </x:c>
      <x:c r="AB669" t="str">
        <x:v>Pass</x:v>
      </x:c>
      <x:c r="AC669" t="str"/>
      <x:c r="AD669" t="str"/>
    </x:row>
    <x:row r="670">
      <x:c r="A670" t="str">
        <x:v>REC0669</x:v>
      </x:c>
      <x:c r="B670" t="n">
        <x:v>668</x:v>
      </x:c>
      <x:c r="C670" t="str">
        <x:v>St. Thomas, USVI</x:v>
      </x:c>
      <x:c r="D670" t="str">
        <x:v>GV</x:v>
      </x:c>
      <x:c r="E670" t="str">
        <x:v>Ground Validation</x:v>
      </x:c>
      <x:c r="F670" t="str">
        <x:v>HD Seaviewer Drop Camera</x:v>
      </x:c>
      <x:c r="G670" t="str">
        <x:v>GV2016_004</x:v>
      </x:c>
      <x:c r="H670" s="28" t="n">
        <x:v>42611</x:v>
      </x:c>
      <x:c r="I670" t="str">
        <x:v>10:07:37</x:v>
      </x:c>
      <x:c r="J670" t="n">
        <x:v>2016</x:v>
      </x:c>
      <x:c r="K670" t="n">
        <x:v>18.24084535</x:v>
      </x:c>
      <x:c r="L670" t="n">
        <x:v>-64.87765893</x:v>
      </x:c>
      <x:c r="M670" t="n">
        <x:v>41.275</x:v>
      </x:c>
      <x:c r="N670" t="str">
        <x:v>https://nccospublicstor.blob.core.windows.net/biomapper/usviinsularshelf2017/videos/low/GV2016_004.mp4</x:v>
      </x:c>
      <x:c r="O670" t="n">
        <x:v>0</x:v>
      </x:c>
      <x:c r="P670" t="n">
        <x:v>0</x:v>
      </x:c>
      <x:c r="Q670" t="n">
        <x:v>1</x:v>
      </x:c>
      <x:c r="R670" t="n">
        <x:v>1</x:v>
      </x:c>
      <x:c r="S670" t="n">
        <x:v>1</x:v>
      </x:c>
      <x:c r="T670" t="n">
        <x:v>0</x:v>
      </x:c>
      <x:c r="U670" t="n">
        <x:v>1</x:v>
      </x:c>
      <x:c r="V670" t="n">
        <x:v>1</x:v>
      </x:c>
      <x:c r="W670" t="n">
        <x:v>0</x:v>
      </x:c>
      <x:c r="X670" t="n">
        <x:v>0</x:v>
      </x:c>
      <x:c r="Y670" t="n">
        <x:v>0</x:v>
      </x:c>
      <x:c r="Z670" t="n">
        <x:v>2</x:v>
      </x:c>
      <x:c r="AA670" t="n">
        <x:v>3</x:v>
      </x:c>
      <x:c r="AB670" t="str">
        <x:v>Pass</x:v>
      </x:c>
      <x:c r="AC670" t="str"/>
      <x:c r="AD670" t="str"/>
    </x:row>
    <x:row r="671">
      <x:c r="A671" t="str">
        <x:v>REC0670</x:v>
      </x:c>
      <x:c r="B671" t="n">
        <x:v>669</x:v>
      </x:c>
      <x:c r="C671" t="str">
        <x:v>St. John, USVI</x:v>
      </x:c>
      <x:c r="D671" t="str">
        <x:v>GV</x:v>
      </x:c>
      <x:c r="E671" t="str">
        <x:v>Ground Validation</x:v>
      </x:c>
      <x:c r="F671" t="str">
        <x:v>HD Seaviewer Drop Camera</x:v>
      </x:c>
      <x:c r="G671" t="str">
        <x:v>GV2016_005</x:v>
      </x:c>
      <x:c r="H671" s="28" t="n">
        <x:v>42625</x:v>
      </x:c>
      <x:c r="I671" t="str">
        <x:v>12:39:31</x:v>
      </x:c>
      <x:c r="J671" t="n">
        <x:v>2016</x:v>
      </x:c>
      <x:c r="K671" t="n">
        <x:v>18.23874863</x:v>
      </x:c>
      <x:c r="L671" t="n">
        <x:v>-64.68654013</x:v>
      </x:c>
      <x:c r="M671" t="n">
        <x:v>53.466</x:v>
      </x:c>
      <x:c r="N671" t="str">
        <x:v>https://nccospublicstor.blob.core.windows.net/biomapper/usviinsularshelf2017/videos/low/GV2016_005.mp4</x:v>
      </x:c>
      <x:c r="O671" t="n">
        <x:v>0</x:v>
      </x:c>
      <x:c r="P671" t="n">
        <x:v>1</x:v>
      </x:c>
      <x:c r="Q671" t="n">
        <x:v>0</x:v>
      </x:c>
      <x:c r="R671" t="n">
        <x:v>0</x:v>
      </x:c>
      <x:c r="S671" t="n">
        <x:v>1</x:v>
      </x:c>
      <x:c r="T671" t="n">
        <x:v>0</x:v>
      </x:c>
      <x:c r="U671" t="n">
        <x:v>1</x:v>
      </x:c>
      <x:c r="V671" t="n">
        <x:v>1</x:v>
      </x:c>
      <x:c r="W671" t="n">
        <x:v>0</x:v>
      </x:c>
      <x:c r="X671" t="n">
        <x:v>0</x:v>
      </x:c>
      <x:c r="Y671" t="n">
        <x:v>0</x:v>
      </x:c>
      <x:c r="Z671" t="n">
        <x:v>1</x:v>
      </x:c>
      <x:c r="AA671" t="n">
        <x:v>3</x:v>
      </x:c>
      <x:c r="AB671" t="str">
        <x:v>Pass</x:v>
      </x:c>
      <x:c r="AC671" t="str"/>
      <x:c r="AD671" t="str"/>
    </x:row>
    <x:row r="672">
      <x:c r="A672" t="str">
        <x:v>REC0671</x:v>
      </x:c>
      <x:c r="B672" t="n">
        <x:v>670</x:v>
      </x:c>
      <x:c r="C672" t="str">
        <x:v>St. Thomas, USVI</x:v>
      </x:c>
      <x:c r="D672" t="str">
        <x:v>GV</x:v>
      </x:c>
      <x:c r="E672" t="str">
        <x:v>Ground Validation</x:v>
      </x:c>
      <x:c r="F672" t="str">
        <x:v>HD Seaviewer Drop Camera</x:v>
      </x:c>
      <x:c r="G672" t="str">
        <x:v>GV2016_006</x:v>
      </x:c>
      <x:c r="H672" s="28" t="n">
        <x:v>42609</x:v>
      </x:c>
      <x:c r="I672" t="str">
        <x:v>14:04:35</x:v>
      </x:c>
      <x:c r="J672" t="n">
        <x:v>2016</x:v>
      </x:c>
      <x:c r="K672" t="n">
        <x:v>18.23642586</x:v>
      </x:c>
      <x:c r="L672" t="n">
        <x:v>-65.03941368</x:v>
      </x:c>
      <x:c r="M672" t="n">
        <x:v>38.584</x:v>
      </x:c>
      <x:c r="N672" t="str">
        <x:v>https://nccospublicstor.blob.core.windows.net/biomapper/usviinsularshelf2017/videos/low/GV2016_006.mp4</x:v>
      </x:c>
      <x:c r="O672" t="n">
        <x:v>0</x:v>
      </x:c>
      <x:c r="P672" t="n">
        <x:v>0</x:v>
      </x:c>
      <x:c r="Q672" t="n">
        <x:v>1</x:v>
      </x:c>
      <x:c r="R672" t="n">
        <x:v>0</x:v>
      </x:c>
      <x:c r="S672" t="n">
        <x:v>0</x:v>
      </x:c>
      <x:c r="T672" t="n">
        <x:v>0</x:v>
      </x:c>
      <x:c r="U672" t="n">
        <x:v>1</x:v>
      </x:c>
      <x:c r="V672" t="n">
        <x:v>1</x:v>
      </x:c>
      <x:c r="W672" t="n">
        <x:v>0</x:v>
      </x:c>
      <x:c r="X672" t="n">
        <x:v>0</x:v>
      </x:c>
      <x:c r="Y672" t="n">
        <x:v>0</x:v>
      </x:c>
      <x:c r="Z672" t="n">
        <x:v>1</x:v>
      </x:c>
      <x:c r="AA672" t="n">
        <x:v>2</x:v>
      </x:c>
      <x:c r="AB672" t="str">
        <x:v>Pass</x:v>
      </x:c>
      <x:c r="AC672" t="str"/>
      <x:c r="AD672" t="str"/>
    </x:row>
    <x:row r="673">
      <x:c r="A673" t="str">
        <x:v>REC0672</x:v>
      </x:c>
      <x:c r="B673" t="n">
        <x:v>671</x:v>
      </x:c>
      <x:c r="C673" t="str">
        <x:v>Puerto Rico</x:v>
      </x:c>
      <x:c r="D673" t="str">
        <x:v>GV</x:v>
      </x:c>
      <x:c r="E673" t="str">
        <x:v>Ground Validation</x:v>
      </x:c>
      <x:c r="F673" t="str">
        <x:v>HD Seaviewer Drop Camera</x:v>
      </x:c>
      <x:c r="G673" t="str">
        <x:v>GV2016_008</x:v>
      </x:c>
      <x:c r="H673" s="28" t="n">
        <x:v>42607</x:v>
      </x:c>
      <x:c r="I673" t="str">
        <x:v>12:19:20</x:v>
      </x:c>
      <x:c r="J673" t="n">
        <x:v>2016</x:v>
      </x:c>
      <x:c r="K673" t="n">
        <x:v>18.24020911</x:v>
      </x:c>
      <x:c r="L673" t="n">
        <x:v>-65.14835655</x:v>
      </x:c>
      <x:c r="M673" t="n">
        <x:v>37.234</x:v>
      </x:c>
      <x:c r="N673" t="str">
        <x:v>https://nccospublicstor.blob.core.windows.net/biomapper/usviinsularshelf2017/videos/low/GV2016_008.mp4</x:v>
      </x:c>
      <x:c r="O673" t="n">
        <x:v>1</x:v>
      </x:c>
      <x:c r="P673" t="n">
        <x:v>0</x:v>
      </x:c>
      <x:c r="Q673" t="n">
        <x:v>0</x:v>
      </x:c>
      <x:c r="R673" t="n">
        <x:v>0</x:v>
      </x:c>
      <x:c r="S673" t="n">
        <x:v>1</x:v>
      </x:c>
      <x:c r="T673" t="n">
        <x:v>1</x:v>
      </x:c>
      <x:c r="U673" t="n">
        <x:v>1</x:v>
      </x:c>
      <x:c r="V673" t="n">
        <x:v>1</x:v>
      </x:c>
      <x:c r="W673" t="n">
        <x:v>0</x:v>
      </x:c>
      <x:c r="X673" t="n">
        <x:v>0</x:v>
      </x:c>
      <x:c r="Y673" t="n">
        <x:v>0</x:v>
      </x:c>
      <x:c r="Z673" t="n">
        <x:v>1</x:v>
      </x:c>
      <x:c r="AA673" t="n">
        <x:v>4</x:v>
      </x:c>
      <x:c r="AB673" t="str">
        <x:v>Pass</x:v>
      </x:c>
      <x:c r="AC673" t="str"/>
      <x:c r="AD673" t="str"/>
    </x:row>
    <x:row r="674">
      <x:c r="A674" t="str">
        <x:v>REC0673</x:v>
      </x:c>
      <x:c r="B674" t="n">
        <x:v>672</x:v>
      </x:c>
      <x:c r="C674" t="str">
        <x:v>St. Thomas, USVI</x:v>
      </x:c>
      <x:c r="D674" t="str">
        <x:v>GV</x:v>
      </x:c>
      <x:c r="E674" t="str">
        <x:v>Ground Validation</x:v>
      </x:c>
      <x:c r="F674" t="str">
        <x:v>HD Seaviewer Drop Camera</x:v>
      </x:c>
      <x:c r="G674" t="str">
        <x:v>GV2016_009</x:v>
      </x:c>
      <x:c r="H674" s="28" t="n">
        <x:v>42609</x:v>
      </x:c>
      <x:c r="I674" t="str">
        <x:v>14:32:01</x:v>
      </x:c>
      <x:c r="J674" t="n">
        <x:v>2016</x:v>
      </x:c>
      <x:c r="K674" t="n">
        <x:v>18.2434284</x:v>
      </x:c>
      <x:c r="L674" t="n">
        <x:v>-65.0342044</x:v>
      </x:c>
      <x:c r="M674" t="n">
        <x:v>39.741</x:v>
      </x:c>
      <x:c r="N674" t="str">
        <x:v>https://nccospublicstor.blob.core.windows.net/biomapper/usviinsularshelf2017/videos/low/GV2016_009.mp4</x:v>
      </x:c>
      <x:c r="O674" t="n">
        <x:v>0</x:v>
      </x:c>
      <x:c r="P674" t="n">
        <x:v>0</x:v>
      </x:c>
      <x:c r="Q674" t="n">
        <x:v>1</x:v>
      </x:c>
      <x:c r="R674" t="n">
        <x:v>0</x:v>
      </x:c>
      <x:c r="S674" t="n">
        <x:v>1</x:v>
      </x:c>
      <x:c r="T674" t="n">
        <x:v>0</x:v>
      </x:c>
      <x:c r="U674" t="n">
        <x:v>1</x:v>
      </x:c>
      <x:c r="V674" t="n">
        <x:v>1</x:v>
      </x:c>
      <x:c r="W674" t="n">
        <x:v>0</x:v>
      </x:c>
      <x:c r="X674" t="n">
        <x:v>0</x:v>
      </x:c>
      <x:c r="Y674" t="n">
        <x:v>0</x:v>
      </x:c>
      <x:c r="Z674" t="n">
        <x:v>1</x:v>
      </x:c>
      <x:c r="AA674" t="n">
        <x:v>3</x:v>
      </x:c>
      <x:c r="AB674" t="str">
        <x:v>Pass</x:v>
      </x:c>
      <x:c r="AC674" t="str"/>
      <x:c r="AD674" t="str"/>
    </x:row>
    <x:row r="675">
      <x:c r="A675" t="str">
        <x:v>REC0674</x:v>
      </x:c>
      <x:c r="B675" t="n">
        <x:v>673</x:v>
      </x:c>
      <x:c r="C675" t="str">
        <x:v>St. Thomas, USVI</x:v>
      </x:c>
      <x:c r="D675" t="str">
        <x:v>GV</x:v>
      </x:c>
      <x:c r="E675" t="str">
        <x:v>Ground Validation</x:v>
      </x:c>
      <x:c r="F675" t="str">
        <x:v>HD Seaviewer Drop Camera</x:v>
      </x:c>
      <x:c r="G675" t="str">
        <x:v>GV2016_010</x:v>
      </x:c>
      <x:c r="H675" s="28" t="n">
        <x:v>42612</x:v>
      </x:c>
      <x:c r="I675" t="str">
        <x:v>09:42:55</x:v>
      </x:c>
      <x:c r="J675" t="n">
        <x:v>2016</x:v>
      </x:c>
      <x:c r="K675" t="n">
        <x:v>18.2570364</x:v>
      </x:c>
      <x:c r="L675" t="n">
        <x:v>-64.98420551</x:v>
      </x:c>
      <x:c r="M675" t="n">
        <x:v>37.507</x:v>
      </x:c>
      <x:c r="N675" t="str">
        <x:v>https://nccospublicstor.blob.core.windows.net/biomapper/usviinsularshelf2017/videos/low/GV2016_010.mp4</x:v>
      </x:c>
      <x:c r="O675" t="n">
        <x:v>0</x:v>
      </x:c>
      <x:c r="P675" t="n">
        <x:v>0</x:v>
      </x:c>
      <x:c r="Q675" t="n">
        <x:v>1</x:v>
      </x:c>
      <x:c r="R675" t="n">
        <x:v>1</x:v>
      </x:c>
      <x:c r="S675" t="n">
        <x:v>0</x:v>
      </x:c>
      <x:c r="T675" t="n">
        <x:v>0</x:v>
      </x:c>
      <x:c r="U675" t="n">
        <x:v>1</x:v>
      </x:c>
      <x:c r="V675" t="n">
        <x:v>1</x:v>
      </x:c>
      <x:c r="W675" t="n">
        <x:v>0</x:v>
      </x:c>
      <x:c r="X675" t="n">
        <x:v>0</x:v>
      </x:c>
      <x:c r="Y675" t="n">
        <x:v>0</x:v>
      </x:c>
      <x:c r="Z675" t="n">
        <x:v>2</x:v>
      </x:c>
      <x:c r="AA675" t="n">
        <x:v>2</x:v>
      </x:c>
      <x:c r="AB675" t="str">
        <x:v>Pass</x:v>
      </x:c>
      <x:c r="AC675" t="str"/>
      <x:c r="AD675" t="str"/>
    </x:row>
    <x:row r="676">
      <x:c r="A676" t="str">
        <x:v>REC0675</x:v>
      </x:c>
      <x:c r="B676" t="n">
        <x:v>674</x:v>
      </x:c>
      <x:c r="C676" t="str">
        <x:v>St. John, USVI</x:v>
      </x:c>
      <x:c r="D676" t="str">
        <x:v>GV</x:v>
      </x:c>
      <x:c r="E676" t="str">
        <x:v>Ground Validation</x:v>
      </x:c>
      <x:c r="F676" t="str">
        <x:v>HD Seaviewer Drop Camera</x:v>
      </x:c>
      <x:c r="G676" t="str">
        <x:v>GV2016_011</x:v>
      </x:c>
      <x:c r="H676" s="28" t="n">
        <x:v>42625</x:v>
      </x:c>
      <x:c r="I676" t="str">
        <x:v>08:45:15</x:v>
      </x:c>
      <x:c r="J676" t="n">
        <x:v>2016</x:v>
      </x:c>
      <x:c r="K676" t="n">
        <x:v>18.26441258</x:v>
      </x:c>
      <x:c r="L676" t="n">
        <x:v>-64.6892694</x:v>
      </x:c>
      <x:c r="M676" t="n">
        <x:v>47.879</x:v>
      </x:c>
      <x:c r="N676" t="str">
        <x:v>https://nccospublicstor.blob.core.windows.net/biomapper/usviinsularshelf2017/videos/low/GV2016_011.mp4</x:v>
      </x:c>
      <x:c r="O676" t="n">
        <x:v>0</x:v>
      </x:c>
      <x:c r="P676" t="n">
        <x:v>0</x:v>
      </x:c>
      <x:c r="Q676" t="n">
        <x:v>1</x:v>
      </x:c>
      <x:c r="R676" t="n">
        <x:v>0</x:v>
      </x:c>
      <x:c r="S676" t="n">
        <x:v>0</x:v>
      </x:c>
      <x:c r="T676" t="n">
        <x:v>0</x:v>
      </x:c>
      <x:c r="U676" t="n">
        <x:v>1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1</x:v>
      </x:c>
      <x:c r="AA676" t="n">
        <x:v>1</x:v>
      </x:c>
      <x:c r="AB676" t="str">
        <x:v>Pass</x:v>
      </x:c>
      <x:c r="AC676" t="str"/>
      <x:c r="AD676" t="str">
        <x:v>No Video</x:v>
      </x:c>
    </x:row>
    <x:row r="677">
      <x:c r="A677" t="str">
        <x:v>REC0676</x:v>
      </x:c>
      <x:c r="B677" t="n">
        <x:v>675</x:v>
      </x:c>
      <x:c r="C677" t="str">
        <x:v>St. Thomas, USVI</x:v>
      </x:c>
      <x:c r="D677" t="str">
        <x:v>GV</x:v>
      </x:c>
      <x:c r="E677" t="str">
        <x:v>Ground Validation</x:v>
      </x:c>
      <x:c r="F677" t="str">
        <x:v>HD Seaviewer Drop Camera</x:v>
      </x:c>
      <x:c r="G677" t="str">
        <x:v>GV2016_012</x:v>
      </x:c>
      <x:c r="H677" s="28" t="n">
        <x:v>42611</x:v>
      </x:c>
      <x:c r="I677" t="str">
        <x:v>10:48:11</x:v>
      </x:c>
      <x:c r="J677" t="n">
        <x:v>2016</x:v>
      </x:c>
      <x:c r="K677" t="n">
        <x:v>18.23995443</x:v>
      </x:c>
      <x:c r="L677" t="n">
        <x:v>-64.8866958</x:v>
      </x:c>
      <x:c r="M677" t="n">
        <x:v>42.195</x:v>
      </x:c>
      <x:c r="N677" t="str">
        <x:v>https://nccospublicstor.blob.core.windows.net/biomapper/usviinsularshelf2017/videos/low/GV2016_012.mp4</x:v>
      </x:c>
      <x:c r="O677" t="n">
        <x:v>0</x:v>
      </x:c>
      <x:c r="P677" t="n">
        <x:v>0</x:v>
      </x:c>
      <x:c r="Q677" t="n">
        <x:v>1</x:v>
      </x:c>
      <x:c r="R677" t="n">
        <x:v>1</x:v>
      </x:c>
      <x:c r="S677" t="n">
        <x:v>0</x:v>
      </x:c>
      <x:c r="T677" t="n">
        <x:v>0</x:v>
      </x:c>
      <x:c r="U677" t="n">
        <x:v>1</x:v>
      </x:c>
      <x:c r="V677" t="n">
        <x:v>1</x:v>
      </x:c>
      <x:c r="W677" t="n">
        <x:v>0</x:v>
      </x:c>
      <x:c r="X677" t="n">
        <x:v>0</x:v>
      </x:c>
      <x:c r="Y677" t="n">
        <x:v>0</x:v>
      </x:c>
      <x:c r="Z677" t="n">
        <x:v>2</x:v>
      </x:c>
      <x:c r="AA677" t="n">
        <x:v>2</x:v>
      </x:c>
      <x:c r="AB677" t="str">
        <x:v>Pass</x:v>
      </x:c>
      <x:c r="AC677" t="str"/>
      <x:c r="AD677" t="str">
        <x:v>Trigger fish and Angel fish</x:v>
      </x:c>
    </x:row>
    <x:row r="678">
      <x:c r="A678" t="str">
        <x:v>REC0677</x:v>
      </x:c>
      <x:c r="B678" t="n">
        <x:v>676</x:v>
      </x:c>
      <x:c r="C678" t="str">
        <x:v>St. John, USVI</x:v>
      </x:c>
      <x:c r="D678" t="str">
        <x:v>GV</x:v>
      </x:c>
      <x:c r="E678" t="str">
        <x:v>Ground Validation</x:v>
      </x:c>
      <x:c r="F678" t="str">
        <x:v>HD Seaviewer Drop Camera</x:v>
      </x:c>
      <x:c r="G678" t="str">
        <x:v>GV2016_013</x:v>
      </x:c>
      <x:c r="H678" s="28" t="n">
        <x:v>42629</x:v>
      </x:c>
      <x:c r="I678" t="str">
        <x:v>14:57:44</x:v>
      </x:c>
      <x:c r="J678" t="n">
        <x:v>2016</x:v>
      </x:c>
      <x:c r="K678" t="n">
        <x:v>18.18914401</x:v>
      </x:c>
      <x:c r="L678" t="n">
        <x:v>-64.7661889</x:v>
      </x:c>
      <x:c r="M678" t="n">
        <x:v>55.532</x:v>
      </x:c>
      <x:c r="N678" t="str">
        <x:v>https://nccospublicstor.blob.core.windows.net/biomapper/usviinsularshelf2017/videos/low/GV2016_013.mp4</x:v>
      </x:c>
      <x:c r="O678" t="n">
        <x:v>0</x:v>
      </x:c>
      <x:c r="P678" t="n">
        <x:v>1</x:v>
      </x:c>
      <x:c r="Q678" t="n">
        <x:v>1</x:v>
      </x:c>
      <x:c r="R678" t="n">
        <x:v>0</x:v>
      </x:c>
      <x:c r="S678" t="n">
        <x:v>1</x:v>
      </x:c>
      <x:c r="T678" t="n">
        <x:v>0</x:v>
      </x:c>
      <x:c r="U678" t="n">
        <x:v>1</x:v>
      </x:c>
      <x:c r="V678" t="n">
        <x:v>1</x:v>
      </x:c>
      <x:c r="W678" t="n">
        <x:v>0</x:v>
      </x:c>
      <x:c r="X678" t="n">
        <x:v>0</x:v>
      </x:c>
      <x:c r="Y678" t="n">
        <x:v>0</x:v>
      </x:c>
      <x:c r="Z678" t="n">
        <x:v>2</x:v>
      </x:c>
      <x:c r="AA678" t="n">
        <x:v>3</x:v>
      </x:c>
      <x:c r="AB678" t="str">
        <x:v>Pass</x:v>
      </x:c>
      <x:c r="AC678" t="str"/>
      <x:c r="AD678" t="str"/>
    </x:row>
    <x:row r="679">
      <x:c r="A679" t="str">
        <x:v>REC0678</x:v>
      </x:c>
      <x:c r="B679" t="n">
        <x:v>677</x:v>
      </x:c>
      <x:c r="C679" t="str">
        <x:v>St. John, USVI</x:v>
      </x:c>
      <x:c r="D679" t="str">
        <x:v>GV</x:v>
      </x:c>
      <x:c r="E679" t="str">
        <x:v>Ground Validation</x:v>
      </x:c>
      <x:c r="F679" t="str">
        <x:v>HD Seaviewer Drop Camera</x:v>
      </x:c>
      <x:c r="G679" t="str">
        <x:v>GV2016_014</x:v>
      </x:c>
      <x:c r="H679" s="28" t="n">
        <x:v>42625</x:v>
      </x:c>
      <x:c r="I679" t="str">
        <x:v>12:54:56</x:v>
      </x:c>
      <x:c r="J679" t="n">
        <x:v>2016</x:v>
      </x:c>
      <x:c r="K679" t="n">
        <x:v>18.24083089</x:v>
      </x:c>
      <x:c r="L679" t="n">
        <x:v>-64.67931143</x:v>
      </x:c>
      <x:c r="M679" t="n">
        <x:v>51.666</x:v>
      </x:c>
      <x:c r="N679" t="str">
        <x:v>https://nccospublicstor.blob.core.windows.net/biomapper/usviinsularshelf2017/videos/low/GV2016_014.mp4</x:v>
      </x:c>
      <x:c r="O679" t="n">
        <x:v>0</x:v>
      </x:c>
      <x:c r="P679" t="n">
        <x:v>1</x:v>
      </x:c>
      <x:c r="Q679" t="n">
        <x:v>1</x:v>
      </x:c>
      <x:c r="R679" t="n">
        <x:v>0</x:v>
      </x:c>
      <x:c r="S679" t="n">
        <x:v>1</x:v>
      </x:c>
      <x:c r="T679" t="n">
        <x:v>0</x:v>
      </x:c>
      <x:c r="U679" t="n">
        <x:v>1</x:v>
      </x:c>
      <x:c r="V679" t="n">
        <x:v>1</x:v>
      </x:c>
      <x:c r="W679" t="n">
        <x:v>0</x:v>
      </x:c>
      <x:c r="X679" t="n">
        <x:v>0</x:v>
      </x:c>
      <x:c r="Y679" t="n">
        <x:v>0</x:v>
      </x:c>
      <x:c r="Z679" t="n">
        <x:v>2</x:v>
      </x:c>
      <x:c r="AA679" t="n">
        <x:v>3</x:v>
      </x:c>
      <x:c r="AB679" t="str">
        <x:v>Pass</x:v>
      </x:c>
      <x:c r="AC679" t="str"/>
      <x:c r="AD679" t="str"/>
    </x:row>
    <x:row r="680">
      <x:c r="A680" t="str">
        <x:v>REC0679</x:v>
      </x:c>
      <x:c r="B680" t="n">
        <x:v>678</x:v>
      </x:c>
      <x:c r="C680" t="str">
        <x:v>St. Thomas, USVI</x:v>
      </x:c>
      <x:c r="D680" t="str">
        <x:v>GV</x:v>
      </x:c>
      <x:c r="E680" t="str">
        <x:v>Ground Validation</x:v>
      </x:c>
      <x:c r="F680" t="str">
        <x:v>HD Seaviewer Drop Camera</x:v>
      </x:c>
      <x:c r="G680" t="str">
        <x:v>GV2016_015</x:v>
      </x:c>
      <x:c r="H680" s="28" t="n">
        <x:v>42607</x:v>
      </x:c>
      <x:c r="I680" t="str">
        <x:v>13:41:37</x:v>
      </x:c>
      <x:c r="J680" t="n">
        <x:v>2016</x:v>
      </x:c>
      <x:c r="K680" t="n">
        <x:v>18.24680729</x:v>
      </x:c>
      <x:c r="L680" t="n">
        <x:v>-65.08101666</x:v>
      </x:c>
      <x:c r="M680" t="n">
        <x:v>29.804</x:v>
      </x:c>
      <x:c r="N680" t="str">
        <x:v>https://nccospublicstor.blob.core.windows.net/biomapper/usviinsularshelf2017/videos/low/GV2016_015.mp4</x:v>
      </x:c>
      <x:c r="O680" t="n">
        <x:v>1</x:v>
      </x:c>
      <x:c r="P680" t="n">
        <x:v>0</x:v>
      </x:c>
      <x:c r="Q680" t="n">
        <x:v>0</x:v>
      </x:c>
      <x:c r="R680" t="n">
        <x:v>0</x:v>
      </x:c>
      <x:c r="S680" t="n">
        <x:v>1</x:v>
      </x:c>
      <x:c r="T680" t="n">
        <x:v>0</x:v>
      </x:c>
      <x:c r="U680" t="n">
        <x:v>1</x:v>
      </x:c>
      <x:c r="V680" t="n">
        <x:v>1</x:v>
      </x:c>
      <x:c r="W680" t="n">
        <x:v>0</x:v>
      </x:c>
      <x:c r="X680" t="n">
        <x:v>0</x:v>
      </x:c>
      <x:c r="Y680" t="n">
        <x:v>0</x:v>
      </x:c>
      <x:c r="Z680" t="n">
        <x:v>1</x:v>
      </x:c>
      <x:c r="AA680" t="n">
        <x:v>3</x:v>
      </x:c>
      <x:c r="AB680" t="str">
        <x:v>Pass</x:v>
      </x:c>
      <x:c r="AC680" t="str"/>
      <x:c r="AD680" t="str"/>
    </x:row>
    <x:row r="681">
      <x:c r="A681" t="str">
        <x:v>REC0680</x:v>
      </x:c>
      <x:c r="B681" t="n">
        <x:v>679</x:v>
      </x:c>
      <x:c r="C681" t="str">
        <x:v>St. Thomas, USVI</x:v>
      </x:c>
      <x:c r="D681" t="str">
        <x:v>GV</x:v>
      </x:c>
      <x:c r="E681" t="str">
        <x:v>Ground Validation</x:v>
      </x:c>
      <x:c r="F681" t="str">
        <x:v>HD Seaviewer Drop Camera</x:v>
      </x:c>
      <x:c r="G681" t="str">
        <x:v>GV2016_016</x:v>
      </x:c>
      <x:c r="H681" s="28" t="n">
        <x:v>42607</x:v>
      </x:c>
      <x:c r="I681" t="str">
        <x:v>14:26:55</x:v>
      </x:c>
      <x:c r="J681" t="n">
        <x:v>2016</x:v>
      </x:c>
      <x:c r="K681" t="n">
        <x:v>18.25428187</x:v>
      </x:c>
      <x:c r="L681" t="n">
        <x:v>-65.06768706</x:v>
      </x:c>
      <x:c r="M681" t="n">
        <x:v>36.019</x:v>
      </x:c>
      <x:c r="N681" t="str">
        <x:v>https://nccospublicstor.blob.core.windows.net/biomapper/usviinsularshelf2017/videos/low/GV2016_016.mp4</x:v>
      </x:c>
      <x:c r="O681" t="n">
        <x:v>0</x:v>
      </x:c>
      <x:c r="P681" t="n">
        <x:v>0</x:v>
      </x:c>
      <x:c r="Q681" t="n">
        <x:v>1</x:v>
      </x:c>
      <x:c r="R681" t="n">
        <x:v>1</x:v>
      </x:c>
      <x:c r="S681" t="n">
        <x:v>0</x:v>
      </x:c>
      <x:c r="T681" t="n">
        <x:v>0</x:v>
      </x:c>
      <x:c r="U681" t="n">
        <x:v>1</x:v>
      </x:c>
      <x:c r="V681" t="n">
        <x:v>1</x:v>
      </x:c>
      <x:c r="W681" t="n">
        <x:v>0</x:v>
      </x:c>
      <x:c r="X681" t="n">
        <x:v>0</x:v>
      </x:c>
      <x:c r="Y681" t="n">
        <x:v>0</x:v>
      </x:c>
      <x:c r="Z681" t="n">
        <x:v>2</x:v>
      </x:c>
      <x:c r="AA681" t="n">
        <x:v>2</x:v>
      </x:c>
      <x:c r="AB681" t="str">
        <x:v>Pass</x:v>
      </x:c>
      <x:c r="AC681" t="str"/>
      <x:c r="AD681" t="str"/>
    </x:row>
    <x:row r="682">
      <x:c r="A682" t="str">
        <x:v>REC0681</x:v>
      </x:c>
      <x:c r="B682" t="n">
        <x:v>680</x:v>
      </x:c>
      <x:c r="C682" t="str">
        <x:v>St. Thomas, USVI</x:v>
      </x:c>
      <x:c r="D682" t="str">
        <x:v>GV</x:v>
      </x:c>
      <x:c r="E682" t="str">
        <x:v>Ground Validation</x:v>
      </x:c>
      <x:c r="F682" t="str">
        <x:v>HD Seaviewer Drop Camera</x:v>
      </x:c>
      <x:c r="G682" t="str">
        <x:v>GV2016_017</x:v>
      </x:c>
      <x:c r="H682" s="28" t="n">
        <x:v>42610</x:v>
      </x:c>
      <x:c r="I682" t="str">
        <x:v>14:14:17</x:v>
      </x:c>
      <x:c r="J682" t="n">
        <x:v>2016</x:v>
      </x:c>
      <x:c r="K682" t="n">
        <x:v>18.26319812</x:v>
      </x:c>
      <x:c r="L682" t="n">
        <x:v>-64.91208002</x:v>
      </x:c>
      <x:c r="M682" t="n">
        <x:v>33.506</x:v>
      </x:c>
      <x:c r="N682" t="str">
        <x:v>https://nccospublicstor.blob.core.windows.net/biomapper/usviinsularshelf2017/videos/low/GV2016_017.mp4</x:v>
      </x:c>
      <x:c r="O682" t="n">
        <x:v>0</x:v>
      </x:c>
      <x:c r="P682" t="n">
        <x:v>0</x:v>
      </x:c>
      <x:c r="Q682" t="n">
        <x:v>1</x:v>
      </x:c>
      <x:c r="R682" t="n">
        <x:v>1</x:v>
      </x:c>
      <x:c r="S682" t="n">
        <x:v>0</x:v>
      </x:c>
      <x:c r="T682" t="n">
        <x:v>0</x:v>
      </x:c>
      <x:c r="U682" t="n">
        <x:v>1</x:v>
      </x:c>
      <x:c r="V682" t="n">
        <x:v>1</x:v>
      </x:c>
      <x:c r="W682" t="n">
        <x:v>0</x:v>
      </x:c>
      <x:c r="X682" t="n">
        <x:v>0</x:v>
      </x:c>
      <x:c r="Y682" t="n">
        <x:v>0</x:v>
      </x:c>
      <x:c r="Z682" t="n">
        <x:v>2</x:v>
      </x:c>
      <x:c r="AA682" t="n">
        <x:v>2</x:v>
      </x:c>
      <x:c r="AB682" t="str">
        <x:v>Pass</x:v>
      </x:c>
      <x:c r="AC682" t="str"/>
      <x:c r="AD682" t="str"/>
    </x:row>
    <x:row r="683">
      <x:c r="A683" t="str">
        <x:v>REC0682</x:v>
      </x:c>
      <x:c r="B683" t="n">
        <x:v>681</x:v>
      </x:c>
      <x:c r="C683" t="str">
        <x:v>St. Thomas, USVI</x:v>
      </x:c>
      <x:c r="D683" t="str">
        <x:v>GV</x:v>
      </x:c>
      <x:c r="E683" t="str">
        <x:v>Ground Validation</x:v>
      </x:c>
      <x:c r="F683" t="str">
        <x:v>HD Seaviewer Drop Camera</x:v>
      </x:c>
      <x:c r="G683" t="str">
        <x:v>GV2016_018</x:v>
      </x:c>
      <x:c r="H683" s="28" t="n">
        <x:v>42610</x:v>
      </x:c>
      <x:c r="I683" t="str">
        <x:v>13:35:34</x:v>
      </x:c>
      <x:c r="J683" t="n">
        <x:v>2016</x:v>
      </x:c>
      <x:c r="K683" t="n">
        <x:v>18.23679172</x:v>
      </x:c>
      <x:c r="L683" t="n">
        <x:v>-64.91612703</x:v>
      </x:c>
      <x:c r="M683" t="n">
        <x:v>42.138</x:v>
      </x:c>
      <x:c r="N683" t="str">
        <x:v>https://nccospublicstor.blob.core.windows.net/biomapper/usviinsularshelf2017/videos/low/GV2016_018.mp4</x:v>
      </x:c>
      <x:c r="O683" t="n">
        <x:v>0</x:v>
      </x:c>
      <x:c r="P683" t="n">
        <x:v>0</x:v>
      </x:c>
      <x:c r="Q683" t="n">
        <x:v>1</x:v>
      </x:c>
      <x:c r="R683" t="n">
        <x:v>1</x:v>
      </x:c>
      <x:c r="S683" t="n">
        <x:v>0</x:v>
      </x:c>
      <x:c r="T683" t="n">
        <x:v>0</x:v>
      </x:c>
      <x:c r="U683" t="n">
        <x:v>1</x:v>
      </x:c>
      <x:c r="V683" t="n">
        <x:v>1</x:v>
      </x:c>
      <x:c r="W683" t="n">
        <x:v>0</x:v>
      </x:c>
      <x:c r="X683" t="n">
        <x:v>0</x:v>
      </x:c>
      <x:c r="Y683" t="n">
        <x:v>0</x:v>
      </x:c>
      <x:c r="Z683" t="n">
        <x:v>2</x:v>
      </x:c>
      <x:c r="AA683" t="n">
        <x:v>2</x:v>
      </x:c>
      <x:c r="AB683" t="str">
        <x:v>Pass</x:v>
      </x:c>
      <x:c r="AC683" t="str"/>
      <x:c r="AD683" t="str"/>
    </x:row>
    <x:row r="684">
      <x:c r="A684" t="str">
        <x:v>REC0683</x:v>
      </x:c>
      <x:c r="B684" t="n">
        <x:v>682</x:v>
      </x:c>
      <x:c r="C684" t="str">
        <x:v>St. Thomas, USVI</x:v>
      </x:c>
      <x:c r="D684" t="str">
        <x:v>GV</x:v>
      </x:c>
      <x:c r="E684" t="str">
        <x:v>Ground Validation</x:v>
      </x:c>
      <x:c r="F684" t="str">
        <x:v>HD Seaviewer Drop Camera</x:v>
      </x:c>
      <x:c r="G684" t="str">
        <x:v>GV2016_019</x:v>
      </x:c>
      <x:c r="H684" s="28" t="n">
        <x:v>42611</x:v>
      </x:c>
      <x:c r="I684" t="str">
        <x:v>08:56:56</x:v>
      </x:c>
      <x:c r="J684" t="n">
        <x:v>2016</x:v>
      </x:c>
      <x:c r="K684" t="n">
        <x:v>18.24148714</x:v>
      </x:c>
      <x:c r="L684" t="n">
        <x:v>-64.85729136</x:v>
      </x:c>
      <x:c r="M684" t="n">
        <x:v>37.45</x:v>
      </x:c>
      <x:c r="N684" t="str">
        <x:v>https://nccospublicstor.blob.core.windows.net/biomapper/usviinsularshelf2017/videos/low/GV2016_019.mp4</x:v>
      </x:c>
      <x:c r="O684" t="n">
        <x:v>0</x:v>
      </x:c>
      <x:c r="P684" t="n">
        <x:v>0</x:v>
      </x:c>
      <x:c r="Q684" t="n">
        <x:v>0</x:v>
      </x:c>
      <x:c r="R684" t="n">
        <x:v>1</x:v>
      </x:c>
      <x:c r="S684" t="n">
        <x:v>0</x:v>
      </x:c>
      <x:c r="T684" t="n">
        <x:v>0</x:v>
      </x:c>
      <x:c r="U684" t="n">
        <x:v>1</x:v>
      </x:c>
      <x:c r="V684" t="n">
        <x:v>1</x:v>
      </x:c>
      <x:c r="W684" t="n">
        <x:v>0</x:v>
      </x:c>
      <x:c r="X684" t="n">
        <x:v>0</x:v>
      </x:c>
      <x:c r="Y684" t="n">
        <x:v>0</x:v>
      </x:c>
      <x:c r="Z684" t="n">
        <x:v>1</x:v>
      </x:c>
      <x:c r="AA684" t="n">
        <x:v>2</x:v>
      </x:c>
      <x:c r="AB684" t="str">
        <x:v>Pass</x:v>
      </x:c>
      <x:c r="AC684" t="str"/>
      <x:c r="AD684" t="str"/>
    </x:row>
    <x:row r="685">
      <x:c r="A685" t="str">
        <x:v>REC0684</x:v>
      </x:c>
      <x:c r="B685" t="n">
        <x:v>683</x:v>
      </x:c>
      <x:c r="C685" t="str">
        <x:v>St. Thomas, USVI</x:v>
      </x:c>
      <x:c r="D685" t="str">
        <x:v>GV</x:v>
      </x:c>
      <x:c r="E685" t="str">
        <x:v>Ground Validation</x:v>
      </x:c>
      <x:c r="F685" t="str">
        <x:v>HD Seaviewer Drop Camera</x:v>
      </x:c>
      <x:c r="G685" t="str">
        <x:v>GV2016_020</x:v>
      </x:c>
      <x:c r="H685" s="28" t="n">
        <x:v>42622</x:v>
      </x:c>
      <x:c r="I685" t="str">
        <x:v>12:06:32</x:v>
      </x:c>
      <x:c r="J685" t="n">
        <x:v>2016</x:v>
      </x:c>
      <x:c r="K685" t="n">
        <x:v>18.25754787</x:v>
      </x:c>
      <x:c r="L685" t="n">
        <x:v>-64.84403047</x:v>
      </x:c>
      <x:c r="M685" t="n">
        <x:v>35.741</x:v>
      </x:c>
      <x:c r="N685" t="str">
        <x:v>https://nccospublicstor.blob.core.windows.net/biomapper/usviinsularshelf2017/videos/low/GV2016_020.mp4</x:v>
      </x:c>
      <x:c r="O685" t="n">
        <x:v>0</x:v>
      </x:c>
      <x:c r="P685" t="n">
        <x:v>0</x:v>
      </x:c>
      <x:c r="Q685" t="n">
        <x:v>1</x:v>
      </x:c>
      <x:c r="R685" t="n">
        <x:v>1</x:v>
      </x:c>
      <x:c r="S685" t="n">
        <x:v>0</x:v>
      </x:c>
      <x:c r="T685" t="n">
        <x:v>0</x:v>
      </x:c>
      <x:c r="U685" t="n">
        <x:v>1</x:v>
      </x:c>
      <x:c r="V685" t="n">
        <x:v>1</x:v>
      </x:c>
      <x:c r="W685" t="n">
        <x:v>0</x:v>
      </x:c>
      <x:c r="X685" t="n">
        <x:v>0</x:v>
      </x:c>
      <x:c r="Y685" t="n">
        <x:v>0</x:v>
      </x:c>
      <x:c r="Z685" t="n">
        <x:v>2</x:v>
      </x:c>
      <x:c r="AA685" t="n">
        <x:v>2</x:v>
      </x:c>
      <x:c r="AB685" t="str">
        <x:v>Pass</x:v>
      </x:c>
      <x:c r="AC685" t="str"/>
      <x:c r="AD685" t="str"/>
    </x:row>
    <x:row r="686">
      <x:c r="A686" t="str">
        <x:v>REC0685</x:v>
      </x:c>
      <x:c r="B686" t="n">
        <x:v>684</x:v>
      </x:c>
      <x:c r="C686" t="str">
        <x:v>St. John, USVI</x:v>
      </x:c>
      <x:c r="D686" t="str">
        <x:v>GV</x:v>
      </x:c>
      <x:c r="E686" t="str">
        <x:v>Ground Validation</x:v>
      </x:c>
      <x:c r="F686" t="str">
        <x:v>HD Seaviewer Drop Camera</x:v>
      </x:c>
      <x:c r="G686" t="str">
        <x:v>GV2016_021</x:v>
      </x:c>
      <x:c r="H686" s="28" t="n">
        <x:v>42613</x:v>
      </x:c>
      <x:c r="I686" t="str">
        <x:v>11:52:00</x:v>
      </x:c>
      <x:c r="J686" t="n">
        <x:v>2016</x:v>
      </x:c>
      <x:c r="K686" t="n">
        <x:v>18.28161385</x:v>
      </x:c>
      <x:c r="L686" t="n">
        <x:v>-64.80822012</x:v>
      </x:c>
      <x:c r="M686" t="n">
        <x:v>31.838</x:v>
      </x:c>
      <x:c r="N686" t="str">
        <x:v>https://nccospublicstor.blob.core.windows.net/biomapper/usviinsularshelf2017/videos/low/GV2016_021.mp4</x:v>
      </x:c>
      <x:c r="O686" t="n">
        <x:v>0</x:v>
      </x:c>
      <x:c r="P686" t="n">
        <x:v>1</x:v>
      </x:c>
      <x:c r="Q686" t="n">
        <x:v>1</x:v>
      </x:c>
      <x:c r="R686" t="n">
        <x:v>0</x:v>
      </x:c>
      <x:c r="S686" t="n">
        <x:v>0</x:v>
      </x:c>
      <x:c r="T686" t="n">
        <x:v>0</x:v>
      </x:c>
      <x:c r="U686" t="n">
        <x:v>1</x:v>
      </x:c>
      <x:c r="V686" t="n">
        <x:v>1</x:v>
      </x:c>
      <x:c r="W686" t="n">
        <x:v>0</x:v>
      </x:c>
      <x:c r="X686" t="n">
        <x:v>0</x:v>
      </x:c>
      <x:c r="Y686" t="n">
        <x:v>0</x:v>
      </x:c>
      <x:c r="Z686" t="n">
        <x:v>2</x:v>
      </x:c>
      <x:c r="AA686" t="n">
        <x:v>2</x:v>
      </x:c>
      <x:c r="AB686" t="str">
        <x:v>Pass</x:v>
      </x:c>
      <x:c r="AC686" t="str"/>
      <x:c r="AD686" t="str"/>
    </x:row>
    <x:row r="687">
      <x:c r="A687" t="str">
        <x:v>REC0686</x:v>
      </x:c>
      <x:c r="B687" t="n">
        <x:v>685</x:v>
      </x:c>
      <x:c r="C687" t="str">
        <x:v>St. Thomas, USVI</x:v>
      </x:c>
      <x:c r="D687" t="str">
        <x:v>GV</x:v>
      </x:c>
      <x:c r="E687" t="str">
        <x:v>Ground Validation</x:v>
      </x:c>
      <x:c r="F687" t="str">
        <x:v>HD Seaviewer Drop Camera</x:v>
      </x:c>
      <x:c r="G687" t="str">
        <x:v>GV2016_022</x:v>
      </x:c>
      <x:c r="H687" s="28" t="n">
        <x:v>42609</x:v>
      </x:c>
      <x:c r="I687" t="str">
        <x:v>10:58:45</x:v>
      </x:c>
      <x:c r="J687" t="n">
        <x:v>2016</x:v>
      </x:c>
      <x:c r="K687" t="n">
        <x:v>18.27149815</x:v>
      </x:c>
      <x:c r="L687" t="n">
        <x:v>-65.04231674</x:v>
      </x:c>
      <x:c r="M687" t="n">
        <x:v>33.708</x:v>
      </x:c>
      <x:c r="N687" t="str">
        <x:v>https://nccospublicstor.blob.core.windows.net/biomapper/usviinsularshelf2017/videos/low/GV2016_022.mp4</x:v>
      </x:c>
      <x:c r="O687" t="n">
        <x:v>0</x:v>
      </x:c>
      <x:c r="P687" t="n">
        <x:v>0</x:v>
      </x:c>
      <x:c r="Q687" t="n">
        <x:v>1</x:v>
      </x:c>
      <x:c r="R687" t="n">
        <x:v>0</x:v>
      </x:c>
      <x:c r="S687" t="n">
        <x:v>0</x:v>
      </x:c>
      <x:c r="T687" t="n">
        <x:v>0</x:v>
      </x:c>
      <x:c r="U687" t="n">
        <x:v>1</x:v>
      </x:c>
      <x:c r="V687" t="n">
        <x:v>1</x:v>
      </x:c>
      <x:c r="W687" t="n">
        <x:v>0</x:v>
      </x:c>
      <x:c r="X687" t="n">
        <x:v>0</x:v>
      </x:c>
      <x:c r="Y687" t="n">
        <x:v>0</x:v>
      </x:c>
      <x:c r="Z687" t="n">
        <x:v>1</x:v>
      </x:c>
      <x:c r="AA687" t="n">
        <x:v>2</x:v>
      </x:c>
      <x:c r="AB687" t="str">
        <x:v>Pass</x:v>
      </x:c>
      <x:c r="AC687" t="str"/>
      <x:c r="AD687" t="str"/>
    </x:row>
    <x:row r="688">
      <x:c r="A688" t="str">
        <x:v>REC0687</x:v>
      </x:c>
      <x:c r="B688" t="n">
        <x:v>686</x:v>
      </x:c>
      <x:c r="C688" t="str">
        <x:v>St. Thomas, USVI</x:v>
      </x:c>
      <x:c r="D688" t="str">
        <x:v>GV</x:v>
      </x:c>
      <x:c r="E688" t="str">
        <x:v>Ground Validation</x:v>
      </x:c>
      <x:c r="F688" t="str">
        <x:v>HD Seaviewer Drop Camera</x:v>
      </x:c>
      <x:c r="G688" t="str">
        <x:v>GV2016_023</x:v>
      </x:c>
      <x:c r="H688" s="28" t="n">
        <x:v>42611</x:v>
      </x:c>
      <x:c r="I688" t="str">
        <x:v>09:50:55</x:v>
      </x:c>
      <x:c r="J688" t="n">
        <x:v>2016</x:v>
      </x:c>
      <x:c r="K688" t="n">
        <x:v>18.23009695</x:v>
      </x:c>
      <x:c r="L688" t="n">
        <x:v>-64.87610204</x:v>
      </x:c>
      <x:c r="M688" t="n">
        <x:v>43.694</x:v>
      </x:c>
      <x:c r="N688" t="str">
        <x:v>https://nccospublicstor.blob.core.windows.net/biomapper/usviinsularshelf2017/videos/low/GV2016_023.mp4</x:v>
      </x:c>
      <x:c r="O688" t="n">
        <x:v>1</x:v>
      </x:c>
      <x:c r="P688" t="n">
        <x:v>0</x:v>
      </x:c>
      <x:c r="Q688" t="n">
        <x:v>0</x:v>
      </x:c>
      <x:c r="R688" t="n">
        <x:v>0</x:v>
      </x:c>
      <x:c r="S688" t="n">
        <x:v>1</x:v>
      </x:c>
      <x:c r="T688" t="n">
        <x:v>0</x:v>
      </x:c>
      <x:c r="U688" t="n">
        <x:v>1</x:v>
      </x:c>
      <x:c r="V688" t="n">
        <x:v>1</x:v>
      </x:c>
      <x:c r="W688" t="n">
        <x:v>0</x:v>
      </x:c>
      <x:c r="X688" t="n">
        <x:v>0</x:v>
      </x:c>
      <x:c r="Y688" t="n">
        <x:v>0</x:v>
      </x:c>
      <x:c r="Z688" t="n">
        <x:v>1</x:v>
      </x:c>
      <x:c r="AA688" t="n">
        <x:v>3</x:v>
      </x:c>
      <x:c r="AB688" t="str">
        <x:v>Pass</x:v>
      </x:c>
      <x:c r="AC688" t="str"/>
      <x:c r="AD688" t="str"/>
    </x:row>
    <x:row r="689">
      <x:c r="A689" t="str">
        <x:v>REC0688</x:v>
      </x:c>
      <x:c r="B689" t="n">
        <x:v>687</x:v>
      </x:c>
      <x:c r="C689" t="str">
        <x:v>Puerto Rico</x:v>
      </x:c>
      <x:c r="D689" t="str">
        <x:v>GV</x:v>
      </x:c>
      <x:c r="E689" t="str">
        <x:v>Ground Validation</x:v>
      </x:c>
      <x:c r="F689" t="str">
        <x:v>HD Seaviewer Drop Camera</x:v>
      </x:c>
      <x:c r="G689" t="str">
        <x:v>GV2016_024</x:v>
      </x:c>
      <x:c r="H689" s="28" t="n">
        <x:v>42603</x:v>
      </x:c>
      <x:c r="I689" t="str">
        <x:v>10:21:23</x:v>
      </x:c>
      <x:c r="J689" t="n">
        <x:v>2016</x:v>
      </x:c>
      <x:c r="K689" t="n">
        <x:v>18.12338913</x:v>
      </x:c>
      <x:c r="L689" t="n">
        <x:v>-65.18251443</x:v>
      </x:c>
      <x:c r="M689" t="n">
        <x:v>44.139</x:v>
      </x:c>
      <x:c r="N689" t="str">
        <x:v>https://nccospublicstor.blob.core.windows.net/biomapper/usviinsularshelf2017/videos/low/GV2016_024.mp4</x:v>
      </x:c>
      <x:c r="O689" t="n">
        <x:v>0</x:v>
      </x:c>
      <x:c r="P689" t="n">
        <x:v>0</x:v>
      </x:c>
      <x:c r="Q689" t="n">
        <x:v>1</x:v>
      </x:c>
      <x:c r="R689" t="n">
        <x:v>0</x:v>
      </x:c>
      <x:c r="S689" t="n">
        <x:v>0</x:v>
      </x:c>
      <x:c r="T689" t="n">
        <x:v>0</x:v>
      </x:c>
      <x:c r="U689" t="n">
        <x:v>1</x:v>
      </x:c>
      <x:c r="V689" t="n">
        <x:v>1</x:v>
      </x:c>
      <x:c r="W689" t="n">
        <x:v>0</x:v>
      </x:c>
      <x:c r="X689" t="n">
        <x:v>0</x:v>
      </x:c>
      <x:c r="Y689" t="n">
        <x:v>0</x:v>
      </x:c>
      <x:c r="Z689" t="n">
        <x:v>1</x:v>
      </x:c>
      <x:c r="AA689" t="n">
        <x:v>2</x:v>
      </x:c>
      <x:c r="AB689" t="str">
        <x:v>Pass</x:v>
      </x:c>
      <x:c r="AC689" t="str"/>
      <x:c r="AD689" t="str"/>
    </x:row>
    <x:row r="690">
      <x:c r="A690" t="str">
        <x:v>REC0689</x:v>
      </x:c>
      <x:c r="B690" t="n">
        <x:v>688</x:v>
      </x:c>
      <x:c r="C690" t="str">
        <x:v>St. Thomas, USVI</x:v>
      </x:c>
      <x:c r="D690" t="str">
        <x:v>GV</x:v>
      </x:c>
      <x:c r="E690" t="str">
        <x:v>Ground Validation</x:v>
      </x:c>
      <x:c r="F690" t="str">
        <x:v>HD Seaviewer Drop Camera</x:v>
      </x:c>
      <x:c r="G690" t="str">
        <x:v>GV2016_025</x:v>
      </x:c>
      <x:c r="H690" s="28" t="n">
        <x:v>42612</x:v>
      </x:c>
      <x:c r="I690" t="str">
        <x:v>11:28:57</x:v>
      </x:c>
      <x:c r="J690" t="n">
        <x:v>2016</x:v>
      </x:c>
      <x:c r="K690" t="n">
        <x:v>18.2620296</x:v>
      </x:c>
      <x:c r="L690" t="n">
        <x:v>-64.95455491</x:v>
      </x:c>
      <x:c r="M690" t="n">
        <x:v>35.026</x:v>
      </x:c>
      <x:c r="N690" t="str">
        <x:v>https://nccospublicstor.blob.core.windows.net/biomapper/usviinsularshelf2017/videos/low/GV2016_025.mp4</x:v>
      </x:c>
      <x:c r="O690" t="n">
        <x:v>0</x:v>
      </x:c>
      <x:c r="P690" t="n">
        <x:v>0</x:v>
      </x:c>
      <x:c r="Q690" t="n">
        <x:v>1</x:v>
      </x:c>
      <x:c r="R690" t="n">
        <x:v>1</x:v>
      </x:c>
      <x:c r="S690" t="n">
        <x:v>0</x:v>
      </x:c>
      <x:c r="T690" t="n">
        <x:v>0</x:v>
      </x:c>
      <x:c r="U690" t="n">
        <x:v>1</x:v>
      </x:c>
      <x:c r="V690" t="n">
        <x:v>1</x:v>
      </x:c>
      <x:c r="W690" t="n">
        <x:v>0</x:v>
      </x:c>
      <x:c r="X690" t="n">
        <x:v>0</x:v>
      </x:c>
      <x:c r="Y690" t="n">
        <x:v>0</x:v>
      </x:c>
      <x:c r="Z690" t="n">
        <x:v>2</x:v>
      </x:c>
      <x:c r="AA690" t="n">
        <x:v>2</x:v>
      </x:c>
      <x:c r="AB690" t="str">
        <x:v>Pass</x:v>
      </x:c>
      <x:c r="AC690" t="str"/>
      <x:c r="AD690" t="str"/>
    </x:row>
    <x:row r="691">
      <x:c r="A691" t="str">
        <x:v>REC0690</x:v>
      </x:c>
      <x:c r="B691" t="n">
        <x:v>689</x:v>
      </x:c>
      <x:c r="C691" t="str">
        <x:v>St. Thomas, USVI</x:v>
      </x:c>
      <x:c r="D691" t="str">
        <x:v>GV</x:v>
      </x:c>
      <x:c r="E691" t="str">
        <x:v>Ground Validation</x:v>
      </x:c>
      <x:c r="F691" t="str">
        <x:v>HD Seaviewer Drop Camera</x:v>
      </x:c>
      <x:c r="G691" t="str">
        <x:v>GV2016_026</x:v>
      </x:c>
      <x:c r="H691" s="28" t="n">
        <x:v>42607</x:v>
      </x:c>
      <x:c r="I691" t="str">
        <x:v>14:07:37</x:v>
      </x:c>
      <x:c r="J691" t="n">
        <x:v>2016</x:v>
      </x:c>
      <x:c r="K691" t="n">
        <x:v>18.25299432</x:v>
      </x:c>
      <x:c r="L691" t="n">
        <x:v>-65.07743337</x:v>
      </x:c>
      <x:c r="M691" t="n">
        <x:v>34.378</x:v>
      </x:c>
      <x:c r="N691" t="str">
        <x:v>https://nccospublicstor.blob.core.windows.net/biomapper/usviinsularshelf2017/videos/low/GV2016_026.mp4</x:v>
      </x:c>
      <x:c r="O691" t="n">
        <x:v>1</x:v>
      </x:c>
      <x:c r="P691" t="n">
        <x:v>0</x:v>
      </x:c>
      <x:c r="Q691" t="n">
        <x:v>0</x:v>
      </x:c>
      <x:c r="R691" t="n">
        <x:v>1</x:v>
      </x:c>
      <x:c r="S691" t="n">
        <x:v>1</x:v>
      </x:c>
      <x:c r="T691" t="n">
        <x:v>1</x:v>
      </x:c>
      <x:c r="U691" t="n">
        <x:v>1</x:v>
      </x:c>
      <x:c r="V691" t="n">
        <x:v>1</x:v>
      </x:c>
      <x:c r="W691" t="n">
        <x:v>0</x:v>
      </x:c>
      <x:c r="X691" t="n">
        <x:v>0</x:v>
      </x:c>
      <x:c r="Y691" t="n">
        <x:v>0</x:v>
      </x:c>
      <x:c r="Z691" t="n">
        <x:v>2</x:v>
      </x:c>
      <x:c r="AA691" t="n">
        <x:v>4</x:v>
      </x:c>
      <x:c r="AB691" t="str">
        <x:v>Pass</x:v>
      </x:c>
      <x:c r="AC691" t="str"/>
      <x:c r="AD691" t="str">
        <x:v>aggregated patches</x:v>
      </x:c>
    </x:row>
    <x:row r="692">
      <x:c r="A692" t="str">
        <x:v>REC0691</x:v>
      </x:c>
      <x:c r="B692" t="n">
        <x:v>690</x:v>
      </x:c>
      <x:c r="C692" t="str">
        <x:v>St. Thomas, USVI</x:v>
      </x:c>
      <x:c r="D692" t="str">
        <x:v>GV</x:v>
      </x:c>
      <x:c r="E692" t="str">
        <x:v>Ground Validation</x:v>
      </x:c>
      <x:c r="F692" t="str">
        <x:v>HD Seaviewer Drop Camera</x:v>
      </x:c>
      <x:c r="G692" t="str">
        <x:v>GV2016_027</x:v>
      </x:c>
      <x:c r="H692" s="28" t="n">
        <x:v>42609</x:v>
      </x:c>
      <x:c r="I692" t="str">
        <x:v>13:13:56</x:v>
      </x:c>
      <x:c r="J692" t="n">
        <x:v>2016</x:v>
      </x:c>
      <x:c r="K692" t="n">
        <x:v>18.23834238</x:v>
      </x:c>
      <x:c r="L692" t="n">
        <x:v>-65.00511428</x:v>
      </x:c>
      <x:c r="M692" t="n">
        <x:v>40.84</x:v>
      </x:c>
      <x:c r="N692" t="str">
        <x:v>https://nccospublicstor.blob.core.windows.net/biomapper/usviinsularshelf2017/videos/low/GV2016_027.mp4</x:v>
      </x:c>
      <x:c r="O692" t="n">
        <x:v>0</x:v>
      </x:c>
      <x:c r="P692" t="n">
        <x:v>0</x:v>
      </x:c>
      <x:c r="Q692" t="n">
        <x:v>1</x:v>
      </x:c>
      <x:c r="R692" t="n">
        <x:v>0</x:v>
      </x:c>
      <x:c r="S692" t="n">
        <x:v>0</x:v>
      </x:c>
      <x:c r="T692" t="n">
        <x:v>0</x:v>
      </x:c>
      <x:c r="U692" t="n">
        <x:v>1</x:v>
      </x:c>
      <x:c r="V692" t="n">
        <x:v>1</x:v>
      </x:c>
      <x:c r="W692" t="n">
        <x:v>0</x:v>
      </x:c>
      <x:c r="X692" t="n">
        <x:v>0</x:v>
      </x:c>
      <x:c r="Y692" t="n">
        <x:v>0</x:v>
      </x:c>
      <x:c r="Z692" t="n">
        <x:v>1</x:v>
      </x:c>
      <x:c r="AA692" t="n">
        <x:v>2</x:v>
      </x:c>
      <x:c r="AB692" t="str">
        <x:v>Pass</x:v>
      </x:c>
      <x:c r="AC692" t="str"/>
      <x:c r="AD692" t="str">
        <x:v>Big school of fish Bigeye Scad (Scombridea)</x:v>
      </x:c>
    </x:row>
    <x:row r="693">
      <x:c r="A693" t="str">
        <x:v>REC0692</x:v>
      </x:c>
      <x:c r="B693" t="n">
        <x:v>691</x:v>
      </x:c>
      <x:c r="C693" t="str">
        <x:v>St. John, USVI</x:v>
      </x:c>
      <x:c r="D693" t="str">
        <x:v>GV</x:v>
      </x:c>
      <x:c r="E693" t="str">
        <x:v>Ground Validation</x:v>
      </x:c>
      <x:c r="F693" t="str">
        <x:v>HD Seaviewer Drop Camera</x:v>
      </x:c>
      <x:c r="G693" t="str">
        <x:v>GV2016_028</x:v>
      </x:c>
      <x:c r="H693" s="28" t="n">
        <x:v>42626</x:v>
      </x:c>
      <x:c r="I693" t="str">
        <x:v>10:00:33</x:v>
      </x:c>
      <x:c r="J693" t="n">
        <x:v>2016</x:v>
      </x:c>
      <x:c r="K693" t="n">
        <x:v>18.25376537</x:v>
      </x:c>
      <x:c r="L693" t="n">
        <x:v>-64.78033165</x:v>
      </x:c>
      <x:c r="M693" t="n">
        <x:v>46.146</x:v>
      </x:c>
      <x:c r="N693" t="str">
        <x:v>https://nccospublicstor.blob.core.windows.net/biomapper/usviinsularshelf2017/videos/low/GV2016_028.mp4</x:v>
      </x:c>
      <x:c r="O693" t="n">
        <x:v>0</x:v>
      </x:c>
      <x:c r="P693" t="n">
        <x:v>0</x:v>
      </x:c>
      <x:c r="Q693" t="n">
        <x:v>1</x:v>
      </x:c>
      <x:c r="R693" t="n">
        <x:v>1</x:v>
      </x:c>
      <x:c r="S693" t="n">
        <x:v>0</x:v>
      </x:c>
      <x:c r="T693" t="n">
        <x:v>0</x:v>
      </x:c>
      <x:c r="U693" t="n">
        <x:v>1</x:v>
      </x:c>
      <x:c r="V693" t="n">
        <x:v>1</x:v>
      </x:c>
      <x:c r="W693" t="n">
        <x:v>0</x:v>
      </x:c>
      <x:c r="X693" t="n">
        <x:v>0</x:v>
      </x:c>
      <x:c r="Y693" t="n">
        <x:v>0</x:v>
      </x:c>
      <x:c r="Z693" t="n">
        <x:v>2</x:v>
      </x:c>
      <x:c r="AA693" t="n">
        <x:v>2</x:v>
      </x:c>
      <x:c r="AB693" t="str">
        <x:v>Pass</x:v>
      </x:c>
      <x:c r="AC693" t="str"/>
      <x:c r="AD693" t="str"/>
    </x:row>
    <x:row r="694">
      <x:c r="A694" t="str">
        <x:v>REC0693</x:v>
      </x:c>
      <x:c r="B694" t="n">
        <x:v>692</x:v>
      </x:c>
      <x:c r="C694" t="str">
        <x:v>St. John, USVI</x:v>
      </x:c>
      <x:c r="D694" t="str">
        <x:v>GV</x:v>
      </x:c>
      <x:c r="E694" t="str">
        <x:v>Ground Validation</x:v>
      </x:c>
      <x:c r="F694" t="str">
        <x:v>HD Seaviewer Drop Camera</x:v>
      </x:c>
      <x:c r="G694" t="str">
        <x:v>GV2016_029</x:v>
      </x:c>
      <x:c r="H694" s="28" t="n">
        <x:v>42630</x:v>
      </x:c>
      <x:c r="I694" t="str">
        <x:v>14:15:57</x:v>
      </x:c>
      <x:c r="J694" t="n">
        <x:v>2016</x:v>
      </x:c>
      <x:c r="K694" t="n">
        <x:v>18.23712069</x:v>
      </x:c>
      <x:c r="L694" t="n">
        <x:v>-64.74913775</x:v>
      </x:c>
      <x:c r="M694" t="n">
        <x:v>55.312</x:v>
      </x:c>
      <x:c r="N694" t="str">
        <x:v>https://nccospublicstor.blob.core.windows.net/biomapper/usviinsularshelf2017/videos/low/GV2016_029.mp4</x:v>
      </x:c>
      <x:c r="O694" t="n">
        <x:v>0</x:v>
      </x:c>
      <x:c r="P694" t="n">
        <x:v>0</x:v>
      </x:c>
      <x:c r="Q694" t="n">
        <x:v>1</x:v>
      </x:c>
      <x:c r="R694" t="n">
        <x:v>0</x:v>
      </x:c>
      <x:c r="S694" t="n">
        <x:v>0</x:v>
      </x:c>
      <x:c r="T694" t="n">
        <x:v>0</x:v>
      </x:c>
      <x:c r="U694" t="n">
        <x:v>1</x:v>
      </x:c>
      <x:c r="V694" t="n">
        <x:v>1</x:v>
      </x:c>
      <x:c r="W694" t="n">
        <x:v>0</x:v>
      </x:c>
      <x:c r="X694" t="n">
        <x:v>0</x:v>
      </x:c>
      <x:c r="Y694" t="n">
        <x:v>0</x:v>
      </x:c>
      <x:c r="Z694" t="n">
        <x:v>1</x:v>
      </x:c>
      <x:c r="AA694" t="n">
        <x:v>2</x:v>
      </x:c>
      <x:c r="AB694" t="str">
        <x:v>Pass</x:v>
      </x:c>
      <x:c r="AC694" t="str"/>
      <x:c r="AD694" t="str"/>
    </x:row>
    <x:row r="695">
      <x:c r="A695" t="str">
        <x:v>REC0694</x:v>
      </x:c>
      <x:c r="B695" t="n">
        <x:v>693</x:v>
      </x:c>
      <x:c r="C695" t="str">
        <x:v>St. Thomas, USVI</x:v>
      </x:c>
      <x:c r="D695" t="str">
        <x:v>GV</x:v>
      </x:c>
      <x:c r="E695" t="str">
        <x:v>Ground Validation</x:v>
      </x:c>
      <x:c r="F695" t="str">
        <x:v>HD Seaviewer Drop Camera</x:v>
      </x:c>
      <x:c r="G695" t="str">
        <x:v>GV2016_030</x:v>
      </x:c>
      <x:c r="H695" s="28" t="n">
        <x:v>42608</x:v>
      </x:c>
      <x:c r="I695" t="str">
        <x:v>09:31:17</x:v>
      </x:c>
      <x:c r="J695" t="n">
        <x:v>2016</x:v>
      </x:c>
      <x:c r="K695" t="n">
        <x:v>18.19436804</x:v>
      </x:c>
      <x:c r="L695" t="n">
        <x:v>-64.95506987</x:v>
      </x:c>
      <x:c r="M695" t="n">
        <x:v>38.761</x:v>
      </x:c>
      <x:c r="N695" t="str">
        <x:v>https://nccospublicstor.blob.core.windows.net/biomapper/usviinsularshelf2017/videos/low/GV2016_030.mp4</x:v>
      </x:c>
      <x:c r="O695" t="n">
        <x:v>1</x:v>
      </x:c>
      <x:c r="P695" t="n">
        <x:v>0</x:v>
      </x:c>
      <x:c r="Q695" t="n">
        <x:v>0</x:v>
      </x:c>
      <x:c r="R695" t="n">
        <x:v>0</x:v>
      </x:c>
      <x:c r="S695" t="n">
        <x:v>1</x:v>
      </x:c>
      <x:c r="T695" t="n">
        <x:v>0</x:v>
      </x:c>
      <x:c r="U695" t="n">
        <x:v>1</x:v>
      </x:c>
      <x:c r="V695" t="n">
        <x:v>1</x:v>
      </x:c>
      <x:c r="W695" t="n">
        <x:v>0</x:v>
      </x:c>
      <x:c r="X695" t="n">
        <x:v>0</x:v>
      </x:c>
      <x:c r="Y695" t="n">
        <x:v>0</x:v>
      </x:c>
      <x:c r="Z695" t="n">
        <x:v>1</x:v>
      </x:c>
      <x:c r="AA695" t="n">
        <x:v>3</x:v>
      </x:c>
      <x:c r="AB695" t="str">
        <x:v>Pass</x:v>
      </x:c>
      <x:c r="AC695" t="str"/>
      <x:c r="AD695" t="str">
        <x:v>Lionfish and High Coral cover &gt;70%</x:v>
      </x:c>
    </x:row>
    <x:row r="696">
      <x:c r="A696" t="str">
        <x:v>REC0695</x:v>
      </x:c>
      <x:c r="B696" t="n">
        <x:v>694</x:v>
      </x:c>
      <x:c r="C696" t="str">
        <x:v>St. Thomas, USVI</x:v>
      </x:c>
      <x:c r="D696" t="str">
        <x:v>GV</x:v>
      </x:c>
      <x:c r="E696" t="str">
        <x:v>Ground Validation</x:v>
      </x:c>
      <x:c r="F696" t="str">
        <x:v>HD Seaviewer Drop Camera</x:v>
      </x:c>
      <x:c r="G696" t="str">
        <x:v>GV2016_031</x:v>
      </x:c>
      <x:c r="H696" s="28" t="n">
        <x:v>42611</x:v>
      </x:c>
      <x:c r="I696" t="str">
        <x:v>09:10:00</x:v>
      </x:c>
      <x:c r="J696" t="n">
        <x:v>2016</x:v>
      </x:c>
      <x:c r="K696" t="n">
        <x:v>18.22826302</x:v>
      </x:c>
      <x:c r="L696" t="n">
        <x:v>-64.85587023</x:v>
      </x:c>
      <x:c r="M696" t="n">
        <x:v>43.185</x:v>
      </x:c>
      <x:c r="N696" t="str">
        <x:v>https://nccospublicstor.blob.core.windows.net/biomapper/usviinsularshelf2017/videos/low/GV2016_031.mp4</x:v>
      </x:c>
      <x:c r="O696" t="n">
        <x:v>0</x:v>
      </x:c>
      <x:c r="P696" t="n">
        <x:v>0</x:v>
      </x:c>
      <x:c r="Q696" t="n">
        <x:v>1</x:v>
      </x:c>
      <x:c r="R696" t="n">
        <x:v>0</x:v>
      </x:c>
      <x:c r="S696" t="n">
        <x:v>0</x:v>
      </x:c>
      <x:c r="T696" t="n">
        <x:v>0</x:v>
      </x:c>
      <x:c r="U696" t="n">
        <x:v>1</x:v>
      </x:c>
      <x:c r="V696" t="n">
        <x:v>1</x:v>
      </x:c>
      <x:c r="W696" t="n">
        <x:v>0</x:v>
      </x:c>
      <x:c r="X696" t="n">
        <x:v>0</x:v>
      </x:c>
      <x:c r="Y696" t="n">
        <x:v>0</x:v>
      </x:c>
      <x:c r="Z696" t="n">
        <x:v>1</x:v>
      </x:c>
      <x:c r="AA696" t="n">
        <x:v>2</x:v>
      </x:c>
      <x:c r="AB696" t="str">
        <x:v>Pass</x:v>
      </x:c>
      <x:c r="AC696" t="str"/>
      <x:c r="AD696" t="str"/>
    </x:row>
    <x:row r="697">
      <x:c r="A697" t="str">
        <x:v>REC0696</x:v>
      </x:c>
      <x:c r="B697" t="n">
        <x:v>695</x:v>
      </x:c>
      <x:c r="C697" t="str">
        <x:v>St. Thomas, USVI</x:v>
      </x:c>
      <x:c r="D697" t="str">
        <x:v>GV</x:v>
      </x:c>
      <x:c r="E697" t="str">
        <x:v>Ground Validation</x:v>
      </x:c>
      <x:c r="F697" t="str">
        <x:v>HD Seaviewer Drop Camera</x:v>
      </x:c>
      <x:c r="G697" t="str">
        <x:v>GV2016_032</x:v>
      </x:c>
      <x:c r="H697" s="28" t="n">
        <x:v>42607</x:v>
      </x:c>
      <x:c r="I697" t="str">
        <x:v>14:42:02</x:v>
      </x:c>
      <x:c r="J697" t="n">
        <x:v>2016</x:v>
      </x:c>
      <x:c r="K697" t="n">
        <x:v>18.2605504</x:v>
      </x:c>
      <x:c r="L697" t="n">
        <x:v>-65.05667731</x:v>
      </x:c>
      <x:c r="M697" t="n">
        <x:v>34.784</x:v>
      </x:c>
      <x:c r="N697" t="str">
        <x:v>https://nccospublicstor.blob.core.windows.net/biomapper/usviinsularshelf2017/videos/low/GV2016_032.mp4</x:v>
      </x:c>
      <x:c r="O697" t="n">
        <x:v>0</x:v>
      </x:c>
      <x:c r="P697" t="n">
        <x:v>0</x:v>
      </x:c>
      <x:c r="Q697" t="n">
        <x:v>1</x:v>
      </x:c>
      <x:c r="R697" t="n">
        <x:v>1</x:v>
      </x:c>
      <x:c r="S697" t="n">
        <x:v>0</x:v>
      </x:c>
      <x:c r="T697" t="n">
        <x:v>0</x:v>
      </x:c>
      <x:c r="U697" t="n">
        <x:v>1</x:v>
      </x:c>
      <x:c r="V697" t="n">
        <x:v>1</x:v>
      </x:c>
      <x:c r="W697" t="n">
        <x:v>0</x:v>
      </x:c>
      <x:c r="X697" t="n">
        <x:v>0</x:v>
      </x:c>
      <x:c r="Y697" t="n">
        <x:v>0</x:v>
      </x:c>
      <x:c r="Z697" t="n">
        <x:v>2</x:v>
      </x:c>
      <x:c r="AA697" t="n">
        <x:v>2</x:v>
      </x:c>
      <x:c r="AB697" t="str">
        <x:v>Pass</x:v>
      </x:c>
      <x:c r="AC697" t="str"/>
      <x:c r="AD697" t="str"/>
    </x:row>
    <x:row r="698">
      <x:c r="A698" t="str">
        <x:v>REC0697</x:v>
      </x:c>
      <x:c r="B698" t="n">
        <x:v>696</x:v>
      </x:c>
      <x:c r="C698" t="str">
        <x:v>St. John, USVI</x:v>
      </x:c>
      <x:c r="D698" t="str">
        <x:v>GV</x:v>
      </x:c>
      <x:c r="E698" t="str">
        <x:v>Ground Validation</x:v>
      </x:c>
      <x:c r="F698" t="str">
        <x:v>HD Seaviewer Drop Camera</x:v>
      </x:c>
      <x:c r="G698" t="str">
        <x:v>GV2016_033</x:v>
      </x:c>
      <x:c r="H698" s="28" t="n">
        <x:v>42625</x:v>
      </x:c>
      <x:c r="I698" t="str">
        <x:v>13:35:22</x:v>
      </x:c>
      <x:c r="J698" t="n">
        <x:v>2016</x:v>
      </x:c>
      <x:c r="K698" t="n">
        <x:v>18.24967273</x:v>
      </x:c>
      <x:c r="L698" t="n">
        <x:v>-64.68556104</x:v>
      </x:c>
      <x:c r="M698" t="n">
        <x:v>46.995</x:v>
      </x:c>
      <x:c r="N698" t="str">
        <x:v>https://nccospublicstor.blob.core.windows.net/biomapper/usviinsularshelf2017/videos/low/GV2016_033.mp4</x:v>
      </x:c>
      <x:c r="O698" t="n">
        <x:v>0</x:v>
      </x:c>
      <x:c r="P698" t="n">
        <x:v>0</x:v>
      </x:c>
      <x:c r="Q698" t="n">
        <x:v>1</x:v>
      </x:c>
      <x:c r="R698" t="n">
        <x:v>0</x:v>
      </x:c>
      <x:c r="S698" t="n">
        <x:v>0</x:v>
      </x:c>
      <x:c r="T698" t="n">
        <x:v>0</x:v>
      </x:c>
      <x:c r="U698" t="n">
        <x:v>1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1</x:v>
      </x:c>
      <x:c r="AA698" t="n">
        <x:v>1</x:v>
      </x:c>
      <x:c r="AB698" t="str">
        <x:v>Pass</x:v>
      </x:c>
      <x:c r="AC698" t="str"/>
      <x:c r="AD698" t="str"/>
    </x:row>
    <x:row r="699">
      <x:c r="A699" t="str">
        <x:v>REC0698</x:v>
      </x:c>
      <x:c r="B699" t="n">
        <x:v>697</x:v>
      </x:c>
      <x:c r="C699" t="str">
        <x:v>Puerto Rico</x:v>
      </x:c>
      <x:c r="D699" t="str">
        <x:v>GV</x:v>
      </x:c>
      <x:c r="E699" t="str">
        <x:v>Ground Validation</x:v>
      </x:c>
      <x:c r="F699" t="str">
        <x:v>HD Seaviewer Drop Camera</x:v>
      </x:c>
      <x:c r="G699" t="str">
        <x:v>GV2016_034</x:v>
      </x:c>
      <x:c r="H699" s="28" t="n">
        <x:v>42603</x:v>
      </x:c>
      <x:c r="I699" t="str">
        <x:v>09:23:51</x:v>
      </x:c>
      <x:c r="J699" t="n">
        <x:v>2016</x:v>
      </x:c>
      <x:c r="K699" t="n">
        <x:v>18.13302863</x:v>
      </x:c>
      <x:c r="L699" t="n">
        <x:v>-65.22166626</x:v>
      </x:c>
      <x:c r="M699" t="n">
        <x:v>39.982</x:v>
      </x:c>
      <x:c r="N699" t="str">
        <x:v>https://nccospublicstor.blob.core.windows.net/biomapper/usviinsularshelf2017/videos/low/GV2016_034.mp4</x:v>
      </x:c>
      <x:c r="O699" t="n">
        <x:v>0</x:v>
      </x:c>
      <x:c r="P699" t="n">
        <x:v>0</x:v>
      </x:c>
      <x:c r="Q699" t="n">
        <x:v>1</x:v>
      </x:c>
      <x:c r="R699" t="n">
        <x:v>0</x:v>
      </x:c>
      <x:c r="S699" t="n">
        <x:v>1</x:v>
      </x:c>
      <x:c r="T699" t="n">
        <x:v>0</x:v>
      </x:c>
      <x:c r="U699" t="n">
        <x:v>1</x:v>
      </x:c>
      <x:c r="V699" t="n">
        <x:v>1</x:v>
      </x:c>
      <x:c r="W699" t="n">
        <x:v>0</x:v>
      </x:c>
      <x:c r="X699" t="n">
        <x:v>0</x:v>
      </x:c>
      <x:c r="Y699" t="n">
        <x:v>0</x:v>
      </x:c>
      <x:c r="Z699" t="n">
        <x:v>1</x:v>
      </x:c>
      <x:c r="AA699" t="n">
        <x:v>3</x:v>
      </x:c>
      <x:c r="AB699" t="str">
        <x:v>Pass</x:v>
      </x:c>
      <x:c r="AC699" t="str"/>
      <x:c r="AD699" t="str"/>
    </x:row>
    <x:row r="700">
      <x:c r="A700" t="str">
        <x:v>REC0699</x:v>
      </x:c>
      <x:c r="B700" t="n">
        <x:v>698</x:v>
      </x:c>
      <x:c r="C700" t="str">
        <x:v>St. Thomas, USVI</x:v>
      </x:c>
      <x:c r="D700" t="str">
        <x:v>GV</x:v>
      </x:c>
      <x:c r="E700" t="str">
        <x:v>Ground Validation</x:v>
      </x:c>
      <x:c r="F700" t="str">
        <x:v>HD Seaviewer Drop Camera</x:v>
      </x:c>
      <x:c r="G700" t="str">
        <x:v>GV2016_035</x:v>
      </x:c>
      <x:c r="H700" s="28" t="n">
        <x:v>42609</x:v>
      </x:c>
      <x:c r="I700" t="str">
        <x:v>10:39:57</x:v>
      </x:c>
      <x:c r="J700" t="n">
        <x:v>2016</x:v>
      </x:c>
      <x:c r="K700" t="n">
        <x:v>18.24726158</x:v>
      </x:c>
      <x:c r="L700" t="n">
        <x:v>-65.0450651</x:v>
      </x:c>
      <x:c r="M700" t="n">
        <x:v>38.333</x:v>
      </x:c>
      <x:c r="N700" t="str">
        <x:v>https://nccospublicstor.blob.core.windows.net/biomapper/usviinsularshelf2017/videos/low/GV2016_035.mp4</x:v>
      </x:c>
      <x:c r="O700" t="n">
        <x:v>0</x:v>
      </x:c>
      <x:c r="P700" t="n">
        <x:v>0</x:v>
      </x:c>
      <x:c r="Q700" t="n">
        <x:v>0</x:v>
      </x:c>
      <x:c r="R700" t="n">
        <x:v>1</x:v>
      </x:c>
      <x:c r="S700" t="n">
        <x:v>0</x:v>
      </x:c>
      <x:c r="T700" t="n">
        <x:v>0</x:v>
      </x:c>
      <x:c r="U700" t="n">
        <x:v>1</x:v>
      </x:c>
      <x:c r="V700" t="n">
        <x:v>1</x:v>
      </x:c>
      <x:c r="W700" t="n">
        <x:v>0</x:v>
      </x:c>
      <x:c r="X700" t="n">
        <x:v>0</x:v>
      </x:c>
      <x:c r="Y700" t="n">
        <x:v>0</x:v>
      </x:c>
      <x:c r="Z700" t="n">
        <x:v>1</x:v>
      </x:c>
      <x:c r="AA700" t="n">
        <x:v>2</x:v>
      </x:c>
      <x:c r="AB700" t="str">
        <x:v>Pass</x:v>
      </x:c>
      <x:c r="AC700" t="str"/>
      <x:c r="AD700" t="str"/>
    </x:row>
    <x:row r="701">
      <x:c r="A701" t="str">
        <x:v>REC0700</x:v>
      </x:c>
      <x:c r="B701" t="n">
        <x:v>699</x:v>
      </x:c>
      <x:c r="C701" t="str">
        <x:v>St. Thomas, USVI</x:v>
      </x:c>
      <x:c r="D701" t="str">
        <x:v>GV</x:v>
      </x:c>
      <x:c r="E701" t="str">
        <x:v>Ground Validation</x:v>
      </x:c>
      <x:c r="F701" t="str">
        <x:v>HD Seaviewer Drop Camera</x:v>
      </x:c>
      <x:c r="G701" t="str">
        <x:v>GV2016_036</x:v>
      </x:c>
      <x:c r="H701" s="28" t="n">
        <x:v>42610</x:v>
      </x:c>
      <x:c r="I701" t="str">
        <x:v>11:24:25</x:v>
      </x:c>
      <x:c r="J701" t="n">
        <x:v>2016</x:v>
      </x:c>
      <x:c r="K701" t="n">
        <x:v>18.19939296</x:v>
      </x:c>
      <x:c r="L701" t="n">
        <x:v>-64.89382611</x:v>
      </x:c>
      <x:c r="M701" t="n">
        <x:v>48.584</x:v>
      </x:c>
      <x:c r="N701" t="str">
        <x:v>https://nccospublicstor.blob.core.windows.net/biomapper/usviinsularshelf2017/videos/low/GV2016_036.mp4</x:v>
      </x:c>
      <x:c r="O701" t="n">
        <x:v>1</x:v>
      </x:c>
      <x:c r="P701" t="n">
        <x:v>1</x:v>
      </x:c>
      <x:c r="Q701" t="n">
        <x:v>1</x:v>
      </x:c>
      <x:c r="R701" t="n">
        <x:v>0</x:v>
      </x:c>
      <x:c r="S701" t="n">
        <x:v>1</x:v>
      </x:c>
      <x:c r="T701" t="n">
        <x:v>0</x:v>
      </x:c>
      <x:c r="U701" t="n">
        <x:v>1</x:v>
      </x:c>
      <x:c r="V701" t="n">
        <x:v>1</x:v>
      </x:c>
      <x:c r="W701" t="n">
        <x:v>0</x:v>
      </x:c>
      <x:c r="X701" t="n">
        <x:v>0</x:v>
      </x:c>
      <x:c r="Y701" t="n">
        <x:v>0</x:v>
      </x:c>
      <x:c r="Z701" t="n">
        <x:v>3</x:v>
      </x:c>
      <x:c r="AA701" t="n">
        <x:v>3</x:v>
      </x:c>
      <x:c r="AB701" t="str">
        <x:v>Pass</x:v>
      </x:c>
      <x:c r="AC701" t="str"/>
      <x:c r="AD701" t="str">
        <x:v>Angelfish</x:v>
      </x:c>
    </x:row>
    <x:row r="702">
      <x:c r="A702" t="str">
        <x:v>REC0701</x:v>
      </x:c>
      <x:c r="B702" t="n">
        <x:v>700</x:v>
      </x:c>
      <x:c r="C702" t="str">
        <x:v>St. John, USVI</x:v>
      </x:c>
      <x:c r="D702" t="str">
        <x:v>GV</x:v>
      </x:c>
      <x:c r="E702" t="str">
        <x:v>Ground Validation</x:v>
      </x:c>
      <x:c r="F702" t="str">
        <x:v>HD Seaviewer Drop Camera</x:v>
      </x:c>
      <x:c r="G702" t="str">
        <x:v>GV2016_038</x:v>
      </x:c>
      <x:c r="H702" s="28" t="n">
        <x:v>42630</x:v>
      </x:c>
      <x:c r="I702" t="str">
        <x:v>13:18:46</x:v>
      </x:c>
      <x:c r="J702" t="n">
        <x:v>2016</x:v>
      </x:c>
      <x:c r="K702" t="n">
        <x:v>18.21993233</x:v>
      </x:c>
      <x:c r="L702" t="n">
        <x:v>-64.76270252</x:v>
      </x:c>
      <x:c r="M702" t="n">
        <x:v>54.109</x:v>
      </x:c>
      <x:c r="N702" t="str">
        <x:v>https://nccospublicstor.blob.core.windows.net/biomapper/usviinsularshelf2017/videos/low/GV2016_038.mp4</x:v>
      </x:c>
      <x:c r="O702" t="n">
        <x:v>0</x:v>
      </x:c>
      <x:c r="P702" t="n">
        <x:v>0</x:v>
      </x:c>
      <x:c r="Q702" t="n">
        <x:v>1</x:v>
      </x:c>
      <x:c r="R702" t="n">
        <x:v>0</x:v>
      </x:c>
      <x:c r="S702" t="n">
        <x:v>0</x:v>
      </x:c>
      <x:c r="T702" t="n">
        <x:v>0</x:v>
      </x:c>
      <x:c r="U702" t="n">
        <x:v>1</x:v>
      </x:c>
      <x:c r="V702" t="n">
        <x:v>1</x:v>
      </x:c>
      <x:c r="W702" t="n">
        <x:v>0</x:v>
      </x:c>
      <x:c r="X702" t="n">
        <x:v>0</x:v>
      </x:c>
      <x:c r="Y702" t="n">
        <x:v>0</x:v>
      </x:c>
      <x:c r="Z702" t="n">
        <x:v>1</x:v>
      </x:c>
      <x:c r="AA702" t="n">
        <x:v>2</x:v>
      </x:c>
      <x:c r="AB702" t="str">
        <x:v>Pass</x:v>
      </x:c>
      <x:c r="AC702" t="str"/>
      <x:c r="AD702" t="str"/>
    </x:row>
    <x:row r="703">
      <x:c r="A703" t="str">
        <x:v>REC0702</x:v>
      </x:c>
      <x:c r="B703" t="n">
        <x:v>701</x:v>
      </x:c>
      <x:c r="C703" t="str">
        <x:v>Puerto Rico</x:v>
      </x:c>
      <x:c r="D703" t="str">
        <x:v>GV</x:v>
      </x:c>
      <x:c r="E703" t="str">
        <x:v>Ground Validation</x:v>
      </x:c>
      <x:c r="F703" t="str">
        <x:v>HD Seaviewer Drop Camera</x:v>
      </x:c>
      <x:c r="G703" t="str">
        <x:v>GV2016_039</x:v>
      </x:c>
      <x:c r="H703" s="28" t="n">
        <x:v>42603</x:v>
      </x:c>
      <x:c r="I703" t="str">
        <x:v>14:02:26</x:v>
      </x:c>
      <x:c r="J703" t="n">
        <x:v>2016</x:v>
      </x:c>
      <x:c r="K703" t="n">
        <x:v>18.17902784</x:v>
      </x:c>
      <x:c r="L703" t="n">
        <x:v>-65.23844832</x:v>
      </x:c>
      <x:c r="M703" t="n">
        <x:v>34.393</x:v>
      </x:c>
      <x:c r="N703" t="str">
        <x:v>https://nccospublicstor.blob.core.windows.net/biomapper/usviinsularshelf2017/videos/low/GV2016_039.mp4</x:v>
      </x:c>
      <x:c r="O703" t="n">
        <x:v>0</x:v>
      </x:c>
      <x:c r="P703" t="n">
        <x:v>1</x:v>
      </x:c>
      <x:c r="Q703" t="n">
        <x:v>1</x:v>
      </x:c>
      <x:c r="R703" t="n">
        <x:v>1</x:v>
      </x:c>
      <x:c r="S703" t="n">
        <x:v>1</x:v>
      </x:c>
      <x:c r="T703" t="n">
        <x:v>0</x:v>
      </x:c>
      <x:c r="U703" t="n">
        <x:v>1</x:v>
      </x:c>
      <x:c r="V703" t="n">
        <x:v>1</x:v>
      </x:c>
      <x:c r="W703" t="n">
        <x:v>0</x:v>
      </x:c>
      <x:c r="X703" t="n">
        <x:v>0</x:v>
      </x:c>
      <x:c r="Y703" t="n">
        <x:v>0</x:v>
      </x:c>
      <x:c r="Z703" t="n">
        <x:v>3</x:v>
      </x:c>
      <x:c r="AA703" t="n">
        <x:v>3</x:v>
      </x:c>
      <x:c r="AB703" t="str">
        <x:v>Pass</x:v>
      </x:c>
      <x:c r="AC703" t="str"/>
      <x:c r="AD703" t="str"/>
    </x:row>
    <x:row r="704">
      <x:c r="A704" t="str">
        <x:v>REC0703</x:v>
      </x:c>
      <x:c r="B704" t="n">
        <x:v>702</x:v>
      </x:c>
      <x:c r="C704" t="str">
        <x:v>St. John, USVI</x:v>
      </x:c>
      <x:c r="D704" t="str">
        <x:v>GV</x:v>
      </x:c>
      <x:c r="E704" t="str">
        <x:v>Ground Validation</x:v>
      </x:c>
      <x:c r="F704" t="str">
        <x:v>HD Seaviewer Drop Camera</x:v>
      </x:c>
      <x:c r="G704" t="str">
        <x:v>GV2016_040</x:v>
      </x:c>
      <x:c r="H704" s="28" t="n">
        <x:v>42626</x:v>
      </x:c>
      <x:c r="I704" t="str">
        <x:v>10:53:54</x:v>
      </x:c>
      <x:c r="J704" t="n">
        <x:v>2016</x:v>
      </x:c>
      <x:c r="K704" t="n">
        <x:v>18.23947827</x:v>
      </x:c>
      <x:c r="L704" t="n">
        <x:v>-64.78051586</x:v>
      </x:c>
      <x:c r="M704" t="n">
        <x:v>46.661</x:v>
      </x:c>
      <x:c r="N704" t="str">
        <x:v>https://nccospublicstor.blob.core.windows.net/biomapper/usviinsularshelf2017/videos/low/GV2016_040.mp4</x:v>
      </x:c>
      <x:c r="O704" t="n">
        <x:v>0</x:v>
      </x:c>
      <x:c r="P704" t="n">
        <x:v>0</x:v>
      </x:c>
      <x:c r="Q704" t="n">
        <x:v>1</x:v>
      </x:c>
      <x:c r="R704" t="n">
        <x:v>0</x:v>
      </x:c>
      <x:c r="S704" t="n">
        <x:v>0</x:v>
      </x:c>
      <x:c r="T704" t="n">
        <x:v>0</x:v>
      </x:c>
      <x:c r="U704" t="n">
        <x:v>1</x:v>
      </x:c>
      <x:c r="V704" t="n">
        <x:v>1</x:v>
      </x:c>
      <x:c r="W704" t="n">
        <x:v>0</x:v>
      </x:c>
      <x:c r="X704" t="n">
        <x:v>0</x:v>
      </x:c>
      <x:c r="Y704" t="n">
        <x:v>0</x:v>
      </x:c>
      <x:c r="Z704" t="n">
        <x:v>1</x:v>
      </x:c>
      <x:c r="AA704" t="n">
        <x:v>2</x:v>
      </x:c>
      <x:c r="AB704" t="str">
        <x:v>Pass</x:v>
      </x:c>
      <x:c r="AC704" t="str"/>
      <x:c r="AD704" t="str"/>
    </x:row>
    <x:row r="705">
      <x:c r="A705" t="str">
        <x:v>REC0704</x:v>
      </x:c>
      <x:c r="B705" t="n">
        <x:v>703</x:v>
      </x:c>
      <x:c r="C705" t="str">
        <x:v>Puerto Rico</x:v>
      </x:c>
      <x:c r="D705" t="str">
        <x:v>GV</x:v>
      </x:c>
      <x:c r="E705" t="str">
        <x:v>Ground Validation</x:v>
      </x:c>
      <x:c r="F705" t="str">
        <x:v>HD Seaviewer Drop Camera</x:v>
      </x:c>
      <x:c r="G705" t="str">
        <x:v>GV2016_041</x:v>
      </x:c>
      <x:c r="H705" s="28" t="n">
        <x:v>42603</x:v>
      </x:c>
      <x:c r="I705" t="str">
        <x:v>08:31:06</x:v>
      </x:c>
      <x:c r="J705" t="n">
        <x:v>2016</x:v>
      </x:c>
      <x:c r="K705" t="n">
        <x:v>18.15471605</x:v>
      </x:c>
      <x:c r="L705" t="n">
        <x:v>-65.1913441</x:v>
      </x:c>
      <x:c r="M705" t="n">
        <x:v>41.348</x:v>
      </x:c>
      <x:c r="N705" t="str">
        <x:v>https://nccospublicstor.blob.core.windows.net/biomapper/usviinsularshelf2017/videos/low/GV2016_041.mp4</x:v>
      </x:c>
      <x:c r="O705" t="n">
        <x:v>1</x:v>
      </x:c>
      <x:c r="P705" t="n">
        <x:v>0</x:v>
      </x:c>
      <x:c r="Q705" t="n">
        <x:v>0</x:v>
      </x:c>
      <x:c r="R705" t="n">
        <x:v>0</x:v>
      </x:c>
      <x:c r="S705" t="n">
        <x:v>1</x:v>
      </x:c>
      <x:c r="T705" t="n">
        <x:v>0</x:v>
      </x:c>
      <x:c r="U705" t="n">
        <x:v>1</x:v>
      </x:c>
      <x:c r="V705" t="n">
        <x:v>1</x:v>
      </x:c>
      <x:c r="W705" t="n">
        <x:v>0</x:v>
      </x:c>
      <x:c r="X705" t="n">
        <x:v>0</x:v>
      </x:c>
      <x:c r="Y705" t="n">
        <x:v>0</x:v>
      </x:c>
      <x:c r="Z705" t="n">
        <x:v>1</x:v>
      </x:c>
      <x:c r="AA705" t="n">
        <x:v>3</x:v>
      </x:c>
      <x:c r="AB705" t="str">
        <x:v>Pass</x:v>
      </x:c>
      <x:c r="AC705" t="str"/>
      <x:c r="AD705" t="str">
        <x:v>wow, great coral cover and bleaching present</x:v>
      </x:c>
    </x:row>
    <x:row r="706">
      <x:c r="A706" t="str">
        <x:v>REC0705</x:v>
      </x:c>
      <x:c r="B706" t="n">
        <x:v>704</x:v>
      </x:c>
      <x:c r="C706" t="str">
        <x:v>St. Thomas, USVI</x:v>
      </x:c>
      <x:c r="D706" t="str">
        <x:v>GV</x:v>
      </x:c>
      <x:c r="E706" t="str">
        <x:v>Ground Validation</x:v>
      </x:c>
      <x:c r="F706" t="str">
        <x:v>HD Seaviewer Drop Camera</x:v>
      </x:c>
      <x:c r="G706" t="str">
        <x:v>GV2016_042</x:v>
      </x:c>
      <x:c r="H706" s="28" t="n">
        <x:v>42609</x:v>
      </x:c>
      <x:c r="I706" t="str">
        <x:v>09:53:55</x:v>
      </x:c>
      <x:c r="J706" t="n">
        <x:v>2016</x:v>
      </x:c>
      <x:c r="K706" t="n">
        <x:v>18.22820731</x:v>
      </x:c>
      <x:c r="L706" t="n">
        <x:v>-65.08981998</x:v>
      </x:c>
      <x:c r="M706" t="n">
        <x:v>33.378</x:v>
      </x:c>
      <x:c r="N706" t="str">
        <x:v>https://nccospublicstor.blob.core.windows.net/biomapper/usviinsularshelf2017/videos/low/GV2016_042.mp4</x:v>
      </x:c>
      <x:c r="O706" t="n">
        <x:v>1</x:v>
      </x:c>
      <x:c r="P706" t="n">
        <x:v>0</x:v>
      </x:c>
      <x:c r="Q706" t="n">
        <x:v>0</x:v>
      </x:c>
      <x:c r="R706" t="n">
        <x:v>0</x:v>
      </x:c>
      <x:c r="S706" t="n">
        <x:v>1</x:v>
      </x:c>
      <x:c r="T706" t="n">
        <x:v>1</x:v>
      </x:c>
      <x:c r="U706" t="n">
        <x:v>1</x:v>
      </x:c>
      <x:c r="V706" t="n">
        <x:v>1</x:v>
      </x:c>
      <x:c r="W706" t="n">
        <x:v>0</x:v>
      </x:c>
      <x:c r="X706" t="n">
        <x:v>0</x:v>
      </x:c>
      <x:c r="Y706" t="n">
        <x:v>0</x:v>
      </x:c>
      <x:c r="Z706" t="n">
        <x:v>1</x:v>
      </x:c>
      <x:c r="AA706" t="n">
        <x:v>4</x:v>
      </x:c>
      <x:c r="AB706" t="str">
        <x:v>Pass</x:v>
      </x:c>
      <x:c r="AC706" t="str"/>
      <x:c r="AD706" t="str"/>
    </x:row>
    <x:row r="707">
      <x:c r="A707" t="str">
        <x:v>REC0706</x:v>
      </x:c>
      <x:c r="B707" t="n">
        <x:v>705</x:v>
      </x:c>
      <x:c r="C707" t="str">
        <x:v>St. John, USVI</x:v>
      </x:c>
      <x:c r="D707" t="str">
        <x:v>GV</x:v>
      </x:c>
      <x:c r="E707" t="str">
        <x:v>Ground Validation</x:v>
      </x:c>
      <x:c r="F707" t="str">
        <x:v>HD Seaviewer Drop Camera</x:v>
      </x:c>
      <x:c r="G707" t="str">
        <x:v>GV2016_044</x:v>
      </x:c>
      <x:c r="H707" s="28" t="n">
        <x:v>42624</x:v>
      </x:c>
      <x:c r="I707" t="str">
        <x:v>08:35:03</x:v>
      </x:c>
      <x:c r="J707" t="n">
        <x:v>2016</x:v>
      </x:c>
      <x:c r="K707" t="n">
        <x:v>18.27569586</x:v>
      </x:c>
      <x:c r="L707" t="n">
        <x:v>-64.75907893</x:v>
      </x:c>
      <x:c r="M707" t="n">
        <x:v>37.757</x:v>
      </x:c>
      <x:c r="N707" t="str">
        <x:v>https://nccospublicstor.blob.core.windows.net/biomapper/usviinsularshelf2017/videos/low/GV2016_044.mp4</x:v>
      </x:c>
      <x:c r="O707" t="n">
        <x:v>0</x:v>
      </x:c>
      <x:c r="P707" t="n">
        <x:v>1</x:v>
      </x:c>
      <x:c r="Q707" t="n">
        <x:v>0</x:v>
      </x:c>
      <x:c r="R707" t="n">
        <x:v>1</x:v>
      </x:c>
      <x:c r="S707" t="n">
        <x:v>0</x:v>
      </x:c>
      <x:c r="T707" t="n">
        <x:v>0</x:v>
      </x:c>
      <x:c r="U707" t="n">
        <x:v>1</x:v>
      </x:c>
      <x:c r="V707" t="n">
        <x:v>1</x:v>
      </x:c>
      <x:c r="W707" t="n">
        <x:v>0</x:v>
      </x:c>
      <x:c r="X707" t="n">
        <x:v>0</x:v>
      </x:c>
      <x:c r="Y707" t="n">
        <x:v>0</x:v>
      </x:c>
      <x:c r="Z707" t="n">
        <x:v>2</x:v>
      </x:c>
      <x:c r="AA707" t="n">
        <x:v>2</x:v>
      </x:c>
      <x:c r="AB707" t="str">
        <x:v>Pass</x:v>
      </x:c>
      <x:c r="AC707" t="str"/>
      <x:c r="AD707" t="str"/>
    </x:row>
    <x:row r="708">
      <x:c r="A708" t="str">
        <x:v>REC0707</x:v>
      </x:c>
      <x:c r="B708" t="n">
        <x:v>706</x:v>
      </x:c>
      <x:c r="C708" t="str">
        <x:v>Puerto Rico</x:v>
      </x:c>
      <x:c r="D708" t="str">
        <x:v>GV</x:v>
      </x:c>
      <x:c r="E708" t="str">
        <x:v>Ground Validation</x:v>
      </x:c>
      <x:c r="F708" t="str">
        <x:v>HD Seaviewer Drop Camera</x:v>
      </x:c>
      <x:c r="G708" t="str">
        <x:v>GV2016_045</x:v>
      </x:c>
      <x:c r="H708" s="28" t="n">
        <x:v>42605</x:v>
      </x:c>
      <x:c r="I708" t="str">
        <x:v>10:37:28</x:v>
      </x:c>
      <x:c r="J708" t="n">
        <x:v>2016</x:v>
      </x:c>
      <x:c r="K708" t="n">
        <x:v>18.21211999</x:v>
      </x:c>
      <x:c r="L708" t="n">
        <x:v>-65.14641398</x:v>
      </x:c>
      <x:c r="M708" t="n">
        <x:v>40.458</x:v>
      </x:c>
      <x:c r="N708" t="str">
        <x:v>https://nccospublicstor.blob.core.windows.net/biomapper/usviinsularshelf2017/videos/low/GV2016_045.mp4</x:v>
      </x:c>
      <x:c r="O708" t="n">
        <x:v>1</x:v>
      </x:c>
      <x:c r="P708" t="n">
        <x:v>0</x:v>
      </x:c>
      <x:c r="Q708" t="n">
        <x:v>0</x:v>
      </x:c>
      <x:c r="R708" t="n">
        <x:v>1</x:v>
      </x:c>
      <x:c r="S708" t="n">
        <x:v>1</x:v>
      </x:c>
      <x:c r="T708" t="n">
        <x:v>0</x:v>
      </x:c>
      <x:c r="U708" t="n">
        <x:v>1</x:v>
      </x:c>
      <x:c r="V708" t="n">
        <x:v>1</x:v>
      </x:c>
      <x:c r="W708" t="n">
        <x:v>0</x:v>
      </x:c>
      <x:c r="X708" t="n">
        <x:v>0</x:v>
      </x:c>
      <x:c r="Y708" t="n">
        <x:v>0</x:v>
      </x:c>
      <x:c r="Z708" t="n">
        <x:v>2</x:v>
      </x:c>
      <x:c r="AA708" t="n">
        <x:v>3</x:v>
      </x:c>
      <x:c r="AB708" t="str">
        <x:v>Pass</x:v>
      </x:c>
      <x:c r="AC708" t="str"/>
      <x:c r="AD708" t="str"/>
    </x:row>
    <x:row r="709">
      <x:c r="A709" t="str">
        <x:v>REC0708</x:v>
      </x:c>
      <x:c r="B709" t="n">
        <x:v>707</x:v>
      </x:c>
      <x:c r="C709" t="str">
        <x:v>St. Thomas, USVI</x:v>
      </x:c>
      <x:c r="D709" t="str">
        <x:v>GV</x:v>
      </x:c>
      <x:c r="E709" t="str">
        <x:v>Ground Validation</x:v>
      </x:c>
      <x:c r="F709" t="str">
        <x:v>HD Seaviewer Drop Camera</x:v>
      </x:c>
      <x:c r="G709" t="str">
        <x:v>GV2016_047</x:v>
      </x:c>
      <x:c r="H709" s="28" t="n">
        <x:v>42610</x:v>
      </x:c>
      <x:c r="I709" t="str">
        <x:v>10:30:58</x:v>
      </x:c>
      <x:c r="J709" t="n">
        <x:v>2016</x:v>
      </x:c>
      <x:c r="K709" t="n">
        <x:v>18.20398204</x:v>
      </x:c>
      <x:c r="L709" t="n">
        <x:v>-64.92137383</x:v>
      </x:c>
      <x:c r="M709" t="n">
        <x:v>46.951</x:v>
      </x:c>
      <x:c r="N709" t="str">
        <x:v>https://nccospublicstor.blob.core.windows.net/biomapper/usviinsularshelf2017/videos/low/GV2016_047.mp4</x:v>
      </x:c>
      <x:c r="O709" t="n">
        <x:v>0</x:v>
      </x:c>
      <x:c r="P709" t="n">
        <x:v>1</x:v>
      </x:c>
      <x:c r="Q709" t="n">
        <x:v>1</x:v>
      </x:c>
      <x:c r="R709" t="n">
        <x:v>1</x:v>
      </x:c>
      <x:c r="S709" t="n">
        <x:v>1</x:v>
      </x:c>
      <x:c r="T709" t="n">
        <x:v>0</x:v>
      </x:c>
      <x:c r="U709" t="n">
        <x:v>1</x:v>
      </x:c>
      <x:c r="V709" t="n">
        <x:v>1</x:v>
      </x:c>
      <x:c r="W709" t="n">
        <x:v>0</x:v>
      </x:c>
      <x:c r="X709" t="n">
        <x:v>0</x:v>
      </x:c>
      <x:c r="Y709" t="n">
        <x:v>0</x:v>
      </x:c>
      <x:c r="Z709" t="n">
        <x:v>3</x:v>
      </x:c>
      <x:c r="AA709" t="n">
        <x:v>3</x:v>
      </x:c>
      <x:c r="AB709" t="str">
        <x:v>Pass</x:v>
      </x:c>
      <x:c r="AC709" t="str"/>
      <x:c r="AD709" t="str"/>
    </x:row>
    <x:row r="710">
      <x:c r="A710" t="str">
        <x:v>REC0709</x:v>
      </x:c>
      <x:c r="B710" t="n">
        <x:v>708</x:v>
      </x:c>
      <x:c r="C710" t="str">
        <x:v>Puerto Rico</x:v>
      </x:c>
      <x:c r="D710" t="str">
        <x:v>GV</x:v>
      </x:c>
      <x:c r="E710" t="str">
        <x:v>Ground Validation</x:v>
      </x:c>
      <x:c r="F710" t="str">
        <x:v>HD Seaviewer Drop Camera</x:v>
      </x:c>
      <x:c r="G710" t="str">
        <x:v>GV2016_048</x:v>
      </x:c>
      <x:c r="H710" s="28" t="n">
        <x:v>42605</x:v>
      </x:c>
      <x:c r="I710" t="str">
        <x:v>09:38:50</x:v>
      </x:c>
      <x:c r="J710" t="n">
        <x:v>2016</x:v>
      </x:c>
      <x:c r="K710" t="n">
        <x:v>18.19871941</x:v>
      </x:c>
      <x:c r="L710" t="n">
        <x:v>-65.18316782</x:v>
      </x:c>
      <x:c r="M710" t="n">
        <x:v>36.899</x:v>
      </x:c>
      <x:c r="N710" t="str">
        <x:v>https://nccospublicstor.blob.core.windows.net/biomapper/usviinsularshelf2017/videos/low/GV2016_048.mp4</x:v>
      </x:c>
      <x:c r="O710" t="n">
        <x:v>1</x:v>
      </x:c>
      <x:c r="P710" t="n">
        <x:v>0</x:v>
      </x:c>
      <x:c r="Q710" t="n">
        <x:v>0</x:v>
      </x:c>
      <x:c r="R710" t="n">
        <x:v>0</x:v>
      </x:c>
      <x:c r="S710" t="n">
        <x:v>1</x:v>
      </x:c>
      <x:c r="T710" t="n">
        <x:v>1</x:v>
      </x:c>
      <x:c r="U710" t="n">
        <x:v>1</x:v>
      </x:c>
      <x:c r="V710" t="n">
        <x:v>1</x:v>
      </x:c>
      <x:c r="W710" t="n">
        <x:v>0</x:v>
      </x:c>
      <x:c r="X710" t="n">
        <x:v>0</x:v>
      </x:c>
      <x:c r="Y710" t="n">
        <x:v>0</x:v>
      </x:c>
      <x:c r="Z710" t="n">
        <x:v>1</x:v>
      </x:c>
      <x:c r="AA710" t="n">
        <x:v>4</x:v>
      </x:c>
      <x:c r="AB710" t="str">
        <x:v>Pass</x:v>
      </x:c>
      <x:c r="AC710" t="str"/>
      <x:c r="AD710" t="str"/>
    </x:row>
    <x:row r="711">
      <x:c r="A711" t="str">
        <x:v>REC0710</x:v>
      </x:c>
      <x:c r="B711" t="n">
        <x:v>709</x:v>
      </x:c>
      <x:c r="C711" t="str">
        <x:v>St. John, USVI</x:v>
      </x:c>
      <x:c r="D711" t="str">
        <x:v>GV</x:v>
      </x:c>
      <x:c r="E711" t="str">
        <x:v>Ground Validation</x:v>
      </x:c>
      <x:c r="F711" t="str">
        <x:v>HD Seaviewer Drop Camera</x:v>
      </x:c>
      <x:c r="G711" t="str">
        <x:v>GV2016_050</x:v>
      </x:c>
      <x:c r="H711" s="28" t="n">
        <x:v>42626</x:v>
      </x:c>
      <x:c r="I711" t="str">
        <x:v>09:29:12</x:v>
      </x:c>
      <x:c r="J711" t="n">
        <x:v>2016</x:v>
      </x:c>
      <x:c r="K711" t="n">
        <x:v>18.25570563</x:v>
      </x:c>
      <x:c r="L711" t="n">
        <x:v>-64.8075107</x:v>
      </x:c>
      <x:c r="M711" t="n">
        <x:v>42.299</x:v>
      </x:c>
      <x:c r="N711" t="str">
        <x:v>https://nccospublicstor.blob.core.windows.net/biomapper/usviinsularshelf2017/videos/low/GV2016_050.mp4</x:v>
      </x:c>
      <x:c r="O711" t="n">
        <x:v>0</x:v>
      </x:c>
      <x:c r="P711" t="n">
        <x:v>1</x:v>
      </x:c>
      <x:c r="Q711" t="n">
        <x:v>1</x:v>
      </x:c>
      <x:c r="R711" t="n">
        <x:v>1</x:v>
      </x:c>
      <x:c r="S711" t="n">
        <x:v>0</x:v>
      </x:c>
      <x:c r="T711" t="n">
        <x:v>0</x:v>
      </x:c>
      <x:c r="U711" t="n">
        <x:v>1</x:v>
      </x:c>
      <x:c r="V711" t="n">
        <x:v>1</x:v>
      </x:c>
      <x:c r="W711" t="n">
        <x:v>0</x:v>
      </x:c>
      <x:c r="X711" t="n">
        <x:v>0</x:v>
      </x:c>
      <x:c r="Y711" t="n">
        <x:v>0</x:v>
      </x:c>
      <x:c r="Z711" t="n">
        <x:v>3</x:v>
      </x:c>
      <x:c r="AA711" t="n">
        <x:v>2</x:v>
      </x:c>
      <x:c r="AB711" t="str">
        <x:v>Pass</x:v>
      </x:c>
      <x:c r="AC711" t="str"/>
      <x:c r="AD711" t="str"/>
    </x:row>
    <x:row r="712">
      <x:c r="A712" t="str">
        <x:v>REC0711</x:v>
      </x:c>
      <x:c r="B712" t="n">
        <x:v>710</x:v>
      </x:c>
      <x:c r="C712" t="str">
        <x:v>Puerto Rico</x:v>
      </x:c>
      <x:c r="D712" t="str">
        <x:v>GV</x:v>
      </x:c>
      <x:c r="E712" t="str">
        <x:v>Ground Validation</x:v>
      </x:c>
      <x:c r="F712" t="str">
        <x:v>HD Seaviewer Drop Camera</x:v>
      </x:c>
      <x:c r="G712" t="str">
        <x:v>GV2016_051</x:v>
      </x:c>
      <x:c r="H712" s="28" t="n">
        <x:v>42605</x:v>
      </x:c>
      <x:c r="I712" t="str">
        <x:v>09:08:23</x:v>
      </x:c>
      <x:c r="J712" t="n">
        <x:v>2016</x:v>
      </x:c>
      <x:c r="K712" t="n">
        <x:v>18.20722882</x:v>
      </x:c>
      <x:c r="L712" t="n">
        <x:v>-65.19258919</x:v>
      </x:c>
      <x:c r="M712" t="n">
        <x:v>30.892</x:v>
      </x:c>
      <x:c r="N712" t="str">
        <x:v>https://nccospublicstor.blob.core.windows.net/biomapper/usviinsularshelf2017/videos/low/GV2016_051.mp4</x:v>
      </x:c>
      <x:c r="O712" t="n">
        <x:v>1</x:v>
      </x:c>
      <x:c r="P712" t="n">
        <x:v>0</x:v>
      </x:c>
      <x:c r="Q712" t="n">
        <x:v>0</x:v>
      </x:c>
      <x:c r="R712" t="n">
        <x:v>0</x:v>
      </x:c>
      <x:c r="S712" t="n">
        <x:v>1</x:v>
      </x:c>
      <x:c r="T712" t="n">
        <x:v>1</x:v>
      </x:c>
      <x:c r="U712" t="n">
        <x:v>1</x:v>
      </x:c>
      <x:c r="V712" t="n">
        <x:v>1</x:v>
      </x:c>
      <x:c r="W712" t="n">
        <x:v>0</x:v>
      </x:c>
      <x:c r="X712" t="n">
        <x:v>0</x:v>
      </x:c>
      <x:c r="Y712" t="n">
        <x:v>0</x:v>
      </x:c>
      <x:c r="Z712" t="n">
        <x:v>1</x:v>
      </x:c>
      <x:c r="AA712" t="n">
        <x:v>4</x:v>
      </x:c>
      <x:c r="AB712" t="str">
        <x:v>Pass</x:v>
      </x:c>
      <x:c r="AC712" t="str"/>
      <x:c r="AD712" t="str"/>
    </x:row>
    <x:row r="713">
      <x:c r="A713" t="str">
        <x:v>REC0712</x:v>
      </x:c>
      <x:c r="B713" t="n">
        <x:v>711</x:v>
      </x:c>
      <x:c r="C713" t="str">
        <x:v>St. John, USVI</x:v>
      </x:c>
      <x:c r="D713" t="str">
        <x:v>GV</x:v>
      </x:c>
      <x:c r="E713" t="str">
        <x:v>Ground Validation</x:v>
      </x:c>
      <x:c r="F713" t="str">
        <x:v>HD Seaviewer Drop Camera</x:v>
      </x:c>
      <x:c r="G713" t="str">
        <x:v>GV2016_052</x:v>
      </x:c>
      <x:c r="H713" s="28" t="n">
        <x:v>42630</x:v>
      </x:c>
      <x:c r="I713" t="str">
        <x:v>11:27:32</x:v>
      </x:c>
      <x:c r="J713" t="n">
        <x:v>2016</x:v>
      </x:c>
      <x:c r="K713" t="n">
        <x:v>18.20225138</x:v>
      </x:c>
      <x:c r="L713" t="n">
        <x:v>-64.75530718</x:v>
      </x:c>
      <x:c r="M713" t="n">
        <x:v>53.53</x:v>
      </x:c>
      <x:c r="N713" t="str">
        <x:v>https://nccospublicstor.blob.core.windows.net/biomapper/usviinsularshelf2017/videos/low/GV2016_052.mp4</x:v>
      </x:c>
      <x:c r="O713" t="n">
        <x:v>0</x:v>
      </x:c>
      <x:c r="P713" t="n">
        <x:v>1</x:v>
      </x:c>
      <x:c r="Q713" t="n">
        <x:v>1</x:v>
      </x:c>
      <x:c r="R713" t="n">
        <x:v>0</x:v>
      </x:c>
      <x:c r="S713" t="n">
        <x:v>1</x:v>
      </x:c>
      <x:c r="T713" t="n">
        <x:v>0</x:v>
      </x:c>
      <x:c r="U713" t="n">
        <x:v>1</x:v>
      </x:c>
      <x:c r="V713" t="n">
        <x:v>1</x:v>
      </x:c>
      <x:c r="W713" t="n">
        <x:v>0</x:v>
      </x:c>
      <x:c r="X713" t="n">
        <x:v>0</x:v>
      </x:c>
      <x:c r="Y713" t="n">
        <x:v>0</x:v>
      </x:c>
      <x:c r="Z713" t="n">
        <x:v>2</x:v>
      </x:c>
      <x:c r="AA713" t="n">
        <x:v>3</x:v>
      </x:c>
      <x:c r="AB713" t="str">
        <x:v>Pass</x:v>
      </x:c>
      <x:c r="AC713" t="str"/>
      <x:c r="AD713" t="str"/>
    </x:row>
    <x:row r="714">
      <x:c r="A714" t="str">
        <x:v>REC0713</x:v>
      </x:c>
      <x:c r="B714" t="n">
        <x:v>712</x:v>
      </x:c>
      <x:c r="C714" t="str">
        <x:v>St. Thomas, USVI</x:v>
      </x:c>
      <x:c r="D714" t="str">
        <x:v>GV</x:v>
      </x:c>
      <x:c r="E714" t="str">
        <x:v>Ground Validation</x:v>
      </x:c>
      <x:c r="F714" t="str">
        <x:v>HD Seaviewer Drop Camera</x:v>
      </x:c>
      <x:c r="G714" t="str">
        <x:v>GV2016_053</x:v>
      </x:c>
      <x:c r="H714" s="28" t="n">
        <x:v>42622</x:v>
      </x:c>
      <x:c r="I714" t="str">
        <x:v>14:02:16</x:v>
      </x:c>
      <x:c r="J714" t="n">
        <x:v>2016</x:v>
      </x:c>
      <x:c r="K714" t="n">
        <x:v>18.22841094</x:v>
      </x:c>
      <x:c r="L714" t="n">
        <x:v>-64.83075839</x:v>
      </x:c>
      <x:c r="M714" t="n">
        <x:v>46.791</x:v>
      </x:c>
      <x:c r="N714" t="str">
        <x:v>https://nccospublicstor.blob.core.windows.net/biomapper/usviinsularshelf2017/videos/low/GV2016_053.mp4</x:v>
      </x:c>
      <x:c r="O714" t="n">
        <x:v>0</x:v>
      </x:c>
      <x:c r="P714" t="n">
        <x:v>0</x:v>
      </x:c>
      <x:c r="Q714" t="n">
        <x:v>1</x:v>
      </x:c>
      <x:c r="R714" t="n">
        <x:v>0</x:v>
      </x:c>
      <x:c r="S714" t="n">
        <x:v>0</x:v>
      </x:c>
      <x:c r="T714" t="n">
        <x:v>0</x:v>
      </x:c>
      <x:c r="U714" t="n">
        <x:v>1</x:v>
      </x:c>
      <x:c r="V714" t="n">
        <x:v>1</x:v>
      </x:c>
      <x:c r="W714" t="n">
        <x:v>0</x:v>
      </x:c>
      <x:c r="X714" t="n">
        <x:v>0</x:v>
      </x:c>
      <x:c r="Y714" t="n">
        <x:v>0</x:v>
      </x:c>
      <x:c r="Z714" t="n">
        <x:v>1</x:v>
      </x:c>
      <x:c r="AA714" t="n">
        <x:v>2</x:v>
      </x:c>
      <x:c r="AB714" t="str">
        <x:v>Pass</x:v>
      </x:c>
      <x:c r="AC714" t="str"/>
      <x:c r="AD714" t="str"/>
    </x:row>
    <x:row r="715">
      <x:c r="A715" t="str">
        <x:v>REC0714</x:v>
      </x:c>
      <x:c r="B715" t="n">
        <x:v>713</x:v>
      </x:c>
      <x:c r="C715" t="str">
        <x:v>St. Thomas, USVI</x:v>
      </x:c>
      <x:c r="D715" t="str">
        <x:v>GV</x:v>
      </x:c>
      <x:c r="E715" t="str">
        <x:v>Ground Validation</x:v>
      </x:c>
      <x:c r="F715" t="str">
        <x:v>HD Seaviewer Drop Camera</x:v>
      </x:c>
      <x:c r="G715" t="str">
        <x:v>GV2016_055</x:v>
      </x:c>
      <x:c r="H715" s="28" t="n">
        <x:v>42609</x:v>
      </x:c>
      <x:c r="I715" t="str">
        <x:v>09:26:50</x:v>
      </x:c>
      <x:c r="J715" t="n">
        <x:v>2016</x:v>
      </x:c>
      <x:c r="K715" t="n">
        <x:v>18.23988203</x:v>
      </x:c>
      <x:c r="L715" t="n">
        <x:v>-65.11902472</x:v>
      </x:c>
      <x:c r="M715" t="n">
        <x:v>29.697</x:v>
      </x:c>
      <x:c r="N715" t="str">
        <x:v>https://nccospublicstor.blob.core.windows.net/biomapper/usviinsularshelf2017/videos/low/GV2016_055.mp4</x:v>
      </x:c>
      <x:c r="O715" t="n">
        <x:v>1</x:v>
      </x:c>
      <x:c r="P715" t="n">
        <x:v>0</x:v>
      </x:c>
      <x:c r="Q715" t="n">
        <x:v>0</x:v>
      </x:c>
      <x:c r="R715" t="n">
        <x:v>0</x:v>
      </x:c>
      <x:c r="S715" t="n">
        <x:v>1</x:v>
      </x:c>
      <x:c r="T715" t="n">
        <x:v>1</x:v>
      </x:c>
      <x:c r="U715" t="n">
        <x:v>1</x:v>
      </x:c>
      <x:c r="V715" t="n">
        <x:v>1</x:v>
      </x:c>
      <x:c r="W715" t="n">
        <x:v>0</x:v>
      </x:c>
      <x:c r="X715" t="n">
        <x:v>0</x:v>
      </x:c>
      <x:c r="Y715" t="n">
        <x:v>0</x:v>
      </x:c>
      <x:c r="Z715" t="n">
        <x:v>1</x:v>
      </x:c>
      <x:c r="AA715" t="n">
        <x:v>4</x:v>
      </x:c>
      <x:c r="AB715" t="str">
        <x:v>Pass</x:v>
      </x:c>
      <x:c r="AC715" t="str"/>
      <x:c r="AD715" t="str"/>
    </x:row>
    <x:row r="716">
      <x:c r="A716" t="str">
        <x:v>REC0715</x:v>
      </x:c>
      <x:c r="B716" t="n">
        <x:v>714</x:v>
      </x:c>
      <x:c r="C716" t="str">
        <x:v>St. John, USVI</x:v>
      </x:c>
      <x:c r="D716" t="str">
        <x:v>GV</x:v>
      </x:c>
      <x:c r="E716" t="str">
        <x:v>Ground Validation</x:v>
      </x:c>
      <x:c r="F716" t="str">
        <x:v>HD Seaviewer Drop Camera</x:v>
      </x:c>
      <x:c r="G716" t="str">
        <x:v>GV2016_056</x:v>
      </x:c>
      <x:c r="H716" s="28" t="n">
        <x:v>42625</x:v>
      </x:c>
      <x:c r="I716" t="str">
        <x:v>12:03:00</x:v>
      </x:c>
      <x:c r="J716" t="n">
        <x:v>2016</x:v>
      </x:c>
      <x:c r="K716" t="n">
        <x:v>18.22489394</x:v>
      </x:c>
      <x:c r="L716" t="n">
        <x:v>-64.71221974</x:v>
      </x:c>
      <x:c r="M716" t="n">
        <x:v>52.458</x:v>
      </x:c>
      <x:c r="N716" t="str">
        <x:v>https://nccospublicstor.blob.core.windows.net/biomapper/usviinsularshelf2017/videos/low/GV2016_056.mp4</x:v>
      </x:c>
      <x:c r="O716" t="n">
        <x:v>0</x:v>
      </x:c>
      <x:c r="P716" t="n">
        <x:v>1</x:v>
      </x:c>
      <x:c r="Q716" t="n">
        <x:v>0</x:v>
      </x:c>
      <x:c r="R716" t="n">
        <x:v>0</x:v>
      </x:c>
      <x:c r="S716" t="n">
        <x:v>1</x:v>
      </x:c>
      <x:c r="T716" t="n">
        <x:v>0</x:v>
      </x:c>
      <x:c r="U716" t="n">
        <x:v>1</x:v>
      </x:c>
      <x:c r="V716" t="n">
        <x:v>1</x:v>
      </x:c>
      <x:c r="W716" t="n">
        <x:v>0</x:v>
      </x:c>
      <x:c r="X716" t="n">
        <x:v>0</x:v>
      </x:c>
      <x:c r="Y716" t="n">
        <x:v>0</x:v>
      </x:c>
      <x:c r="Z716" t="n">
        <x:v>1</x:v>
      </x:c>
      <x:c r="AA716" t="n">
        <x:v>3</x:v>
      </x:c>
      <x:c r="AB716" t="str">
        <x:v>Pass</x:v>
      </x:c>
      <x:c r="AC716" t="str"/>
      <x:c r="AD716" t="str"/>
    </x:row>
    <x:row r="717">
      <x:c r="A717" t="str">
        <x:v>REC0716</x:v>
      </x:c>
      <x:c r="B717" t="n">
        <x:v>715</x:v>
      </x:c>
      <x:c r="C717" t="str">
        <x:v>St. Thomas, USVI</x:v>
      </x:c>
      <x:c r="D717" t="str">
        <x:v>GV</x:v>
      </x:c>
      <x:c r="E717" t="str">
        <x:v>Ground Validation</x:v>
      </x:c>
      <x:c r="F717" t="str">
        <x:v>HD Seaviewer Drop Camera</x:v>
      </x:c>
      <x:c r="G717" t="str">
        <x:v>GV2016_057</x:v>
      </x:c>
      <x:c r="H717" s="28" t="n">
        <x:v>42622</x:v>
      </x:c>
      <x:c r="I717" t="str">
        <x:v>12:54:25</x:v>
      </x:c>
      <x:c r="J717" t="n">
        <x:v>2016</x:v>
      </x:c>
      <x:c r="K717" t="n">
        <x:v>18.21913248</x:v>
      </x:c>
      <x:c r="L717" t="n">
        <x:v>-64.84584045</x:v>
      </x:c>
      <x:c r="M717" t="n">
        <x:v>49.506</x:v>
      </x:c>
      <x:c r="N717" t="str">
        <x:v>https://nccospublicstor.blob.core.windows.net/biomapper/usviinsularshelf2017/videos/low/GV2016_057.mp4</x:v>
      </x:c>
      <x:c r="O717" t="n">
        <x:v>0</x:v>
      </x:c>
      <x:c r="P717" t="n">
        <x:v>0</x:v>
      </x:c>
      <x:c r="Q717" t="n">
        <x:v>1</x:v>
      </x:c>
      <x:c r="R717" t="n">
        <x:v>0</x:v>
      </x:c>
      <x:c r="S717" t="n">
        <x:v>0</x:v>
      </x:c>
      <x:c r="T717" t="n">
        <x:v>0</x:v>
      </x:c>
      <x:c r="U717" t="n">
        <x:v>1</x:v>
      </x:c>
      <x:c r="V717" t="n">
        <x:v>1</x:v>
      </x:c>
      <x:c r="W717" t="n">
        <x:v>0</x:v>
      </x:c>
      <x:c r="X717" t="n">
        <x:v>0</x:v>
      </x:c>
      <x:c r="Y717" t="n">
        <x:v>0</x:v>
      </x:c>
      <x:c r="Z717" t="n">
        <x:v>1</x:v>
      </x:c>
      <x:c r="AA717" t="n">
        <x:v>2</x:v>
      </x:c>
      <x:c r="AB717" t="str">
        <x:v>Pass</x:v>
      </x:c>
      <x:c r="AC717" t="str"/>
      <x:c r="AD717" t="str">
        <x:v>Very small of seagrass 10-15 cm</x:v>
      </x:c>
    </x:row>
    <x:row r="718">
      <x:c r="A718" t="str">
        <x:v>REC0717</x:v>
      </x:c>
      <x:c r="B718" t="n">
        <x:v>716</x:v>
      </x:c>
      <x:c r="C718" t="str">
        <x:v>St. Thomas, USVI</x:v>
      </x:c>
      <x:c r="D718" t="str">
        <x:v>GV</x:v>
      </x:c>
      <x:c r="E718" t="str">
        <x:v>Ground Validation</x:v>
      </x:c>
      <x:c r="F718" t="str">
        <x:v>HD Seaviewer Drop Camera</x:v>
      </x:c>
      <x:c r="G718" t="str">
        <x:v>GV2016_058</x:v>
      </x:c>
      <x:c r="H718" s="28" t="n">
        <x:v>42605</x:v>
      </x:c>
      <x:c r="I718" t="str">
        <x:v>11:11:48</x:v>
      </x:c>
      <x:c r="J718" t="n">
        <x:v>2016</x:v>
      </x:c>
      <x:c r="K718" t="n">
        <x:v>18.18568421</x:v>
      </x:c>
      <x:c r="L718" t="n">
        <x:v>-65.12972765</x:v>
      </x:c>
      <x:c r="M718" t="n">
        <x:v>41.328</x:v>
      </x:c>
      <x:c r="N718" t="str">
        <x:v>https://nccospublicstor.blob.core.windows.net/biomapper/usviinsularshelf2017/videos/low/GV2016_058.mp4</x:v>
      </x:c>
      <x:c r="O718" t="n">
        <x:v>1</x:v>
      </x:c>
      <x:c r="P718" t="n">
        <x:v>0</x:v>
      </x:c>
      <x:c r="Q718" t="n">
        <x:v>0</x:v>
      </x:c>
      <x:c r="R718" t="n">
        <x:v>0</x:v>
      </x:c>
      <x:c r="S718" t="n">
        <x:v>1</x:v>
      </x:c>
      <x:c r="T718" t="n">
        <x:v>1</x:v>
      </x:c>
      <x:c r="U718" t="n">
        <x:v>1</x:v>
      </x:c>
      <x:c r="V718" t="n">
        <x:v>1</x:v>
      </x:c>
      <x:c r="W718" t="n">
        <x:v>0</x:v>
      </x:c>
      <x:c r="X718" t="n">
        <x:v>0</x:v>
      </x:c>
      <x:c r="Y718" t="n">
        <x:v>0</x:v>
      </x:c>
      <x:c r="Z718" t="n">
        <x:v>1</x:v>
      </x:c>
      <x:c r="AA718" t="n">
        <x:v>4</x:v>
      </x:c>
      <x:c r="AB718" t="str">
        <x:v>Pass</x:v>
      </x:c>
      <x:c r="AC718" t="str"/>
      <x:c r="AD718" t="str">
        <x:v>thin channels</x:v>
      </x:c>
    </x:row>
    <x:row r="719">
      <x:c r="A719" t="str">
        <x:v>REC0718</x:v>
      </x:c>
      <x:c r="B719" t="n">
        <x:v>717</x:v>
      </x:c>
      <x:c r="C719" t="str">
        <x:v>St. John, USVI</x:v>
      </x:c>
      <x:c r="D719" t="str">
        <x:v>GV</x:v>
      </x:c>
      <x:c r="E719" t="str">
        <x:v>Ground Validation</x:v>
      </x:c>
      <x:c r="F719" t="str">
        <x:v>HD Seaviewer Drop Camera</x:v>
      </x:c>
      <x:c r="G719" t="str">
        <x:v>GV2016_059</x:v>
      </x:c>
      <x:c r="H719" s="28" t="n">
        <x:v>42624</x:v>
      </x:c>
      <x:c r="I719" t="str">
        <x:v>09:58:30</x:v>
      </x:c>
      <x:c r="J719" t="n">
        <x:v>2016</x:v>
      </x:c>
      <x:c r="K719" t="n">
        <x:v>18.2790296</x:v>
      </x:c>
      <x:c r="L719" t="n">
        <x:v>-64.66854784</x:v>
      </x:c>
      <x:c r="M719" t="n">
        <x:v>44.078</x:v>
      </x:c>
      <x:c r="N719" t="str">
        <x:v>https://nccospublicstor.blob.core.windows.net/biomapper/usviinsularshelf2017/videos/low/GV2016_059.mp4</x:v>
      </x:c>
      <x:c r="O719" t="n">
        <x:v>0</x:v>
      </x:c>
      <x:c r="P719" t="n">
        <x:v>0</x:v>
      </x:c>
      <x:c r="Q719" t="n">
        <x:v>1</x:v>
      </x:c>
      <x:c r="R719" t="n">
        <x:v>1</x:v>
      </x:c>
      <x:c r="S719" t="n">
        <x:v>0</x:v>
      </x:c>
      <x:c r="T719" t="n">
        <x:v>0</x:v>
      </x:c>
      <x:c r="U719" t="n">
        <x:v>1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2</x:v>
      </x:c>
      <x:c r="AA719" t="n">
        <x:v>1</x:v>
      </x:c>
      <x:c r="AB719" t="str">
        <x:v>Pass</x:v>
      </x:c>
      <x:c r="AC719" t="str"/>
      <x:c r="AD719" t="str">
        <x:v>snappers, jacks, triggers, grouper!</x:v>
      </x:c>
    </x:row>
    <x:row r="720">
      <x:c r="A720" t="str">
        <x:v>REC0719</x:v>
      </x:c>
      <x:c r="B720" t="n">
        <x:v>718</x:v>
      </x:c>
      <x:c r="C720" t="str">
        <x:v>St. Thomas, USVI</x:v>
      </x:c>
      <x:c r="D720" t="str">
        <x:v>GV</x:v>
      </x:c>
      <x:c r="E720" t="str">
        <x:v>Ground Validation</x:v>
      </x:c>
      <x:c r="F720" t="str">
        <x:v>HD Seaviewer Drop Camera</x:v>
      </x:c>
      <x:c r="G720" t="str">
        <x:v>GV2016_060</x:v>
      </x:c>
      <x:c r="H720" s="28" t="n">
        <x:v>42610</x:v>
      </x:c>
      <x:c r="I720" t="str">
        <x:v>13:42:26</x:v>
      </x:c>
      <x:c r="J720" t="n">
        <x:v>2016</x:v>
      </x:c>
      <x:c r="K720" t="n">
        <x:v>18.24104679</x:v>
      </x:c>
      <x:c r="L720" t="n">
        <x:v>-64.92120041</x:v>
      </x:c>
      <x:c r="M720" t="n">
        <x:v>41.408</x:v>
      </x:c>
      <x:c r="N720" t="str">
        <x:v>https://nccospublicstor.blob.core.windows.net/biomapper/usviinsularshelf2017/videos/low/GV2016_060.mp4</x:v>
      </x:c>
      <x:c r="O720" t="n">
        <x:v>0</x:v>
      </x:c>
      <x:c r="P720" t="n">
        <x:v>0</x:v>
      </x:c>
      <x:c r="Q720" t="n">
        <x:v>1</x:v>
      </x:c>
      <x:c r="R720" t="n">
        <x:v>1</x:v>
      </x:c>
      <x:c r="S720" t="n">
        <x:v>0</x:v>
      </x:c>
      <x:c r="T720" t="n">
        <x:v>0</x:v>
      </x:c>
      <x:c r="U720" t="n">
        <x:v>1</x:v>
      </x:c>
      <x:c r="V720" t="n">
        <x:v>1</x:v>
      </x:c>
      <x:c r="W720" t="n">
        <x:v>0</x:v>
      </x:c>
      <x:c r="X720" t="n">
        <x:v>0</x:v>
      </x:c>
      <x:c r="Y720" t="n">
        <x:v>0</x:v>
      </x:c>
      <x:c r="Z720" t="n">
        <x:v>2</x:v>
      </x:c>
      <x:c r="AA720" t="n">
        <x:v>2</x:v>
      </x:c>
      <x:c r="AB720" t="str">
        <x:v>Pass</x:v>
      </x:c>
      <x:c r="AC720" t="str"/>
      <x:c r="AD720" t="str"/>
    </x:row>
    <x:row r="721">
      <x:c r="A721" t="str">
        <x:v>REC0720</x:v>
      </x:c>
      <x:c r="B721" t="n">
        <x:v>719</x:v>
      </x:c>
      <x:c r="C721" t="str">
        <x:v>Puerto Rico</x:v>
      </x:c>
      <x:c r="D721" t="str">
        <x:v>GV</x:v>
      </x:c>
      <x:c r="E721" t="str">
        <x:v>Ground Validation</x:v>
      </x:c>
      <x:c r="F721" t="str">
        <x:v>HD Seaviewer Drop Camera</x:v>
      </x:c>
      <x:c r="G721" t="str">
        <x:v>GV2016_061</x:v>
      </x:c>
      <x:c r="H721" s="28" t="n">
        <x:v>42607</x:v>
      </x:c>
      <x:c r="I721" t="str">
        <x:v>12:12:58</x:v>
      </x:c>
      <x:c r="J721" t="n">
        <x:v>2016</x:v>
      </x:c>
      <x:c r="K721" t="n">
        <x:v>18.23145719</x:v>
      </x:c>
      <x:c r="L721" t="n">
        <x:v>-65.14344462</x:v>
      </x:c>
      <x:c r="M721" t="n">
        <x:v>32.16</x:v>
      </x:c>
      <x:c r="N721" t="str">
        <x:v>https://nccospublicstor.blob.core.windows.net/biomapper/usviinsularshelf2017/videos/low/GV2016_061.mp4</x:v>
      </x:c>
      <x:c r="O721" t="n">
        <x:v>1</x:v>
      </x:c>
      <x:c r="P721" t="n">
        <x:v>0</x:v>
      </x:c>
      <x:c r="Q721" t="n">
        <x:v>0</x:v>
      </x:c>
      <x:c r="R721" t="n">
        <x:v>0</x:v>
      </x:c>
      <x:c r="S721" t="n">
        <x:v>1</x:v>
      </x:c>
      <x:c r="T721" t="n">
        <x:v>0</x:v>
      </x:c>
      <x:c r="U721" t="n">
        <x:v>1</x:v>
      </x:c>
      <x:c r="V721" t="n">
        <x:v>1</x:v>
      </x:c>
      <x:c r="W721" t="n">
        <x:v>0</x:v>
      </x:c>
      <x:c r="X721" t="n">
        <x:v>0</x:v>
      </x:c>
      <x:c r="Y721" t="n">
        <x:v>0</x:v>
      </x:c>
      <x:c r="Z721" t="n">
        <x:v>1</x:v>
      </x:c>
      <x:c r="AA721" t="n">
        <x:v>3</x:v>
      </x:c>
      <x:c r="AB721" t="str">
        <x:v>Pass</x:v>
      </x:c>
      <x:c r="AC721" t="str"/>
      <x:c r="AD721" t="str"/>
    </x:row>
    <x:row r="722">
      <x:c r="A722" t="str">
        <x:v>REC0721</x:v>
      </x:c>
      <x:c r="B722" t="n">
        <x:v>720</x:v>
      </x:c>
      <x:c r="C722" t="str">
        <x:v>St. Thomas, USVI</x:v>
      </x:c>
      <x:c r="D722" t="str">
        <x:v>GV</x:v>
      </x:c>
      <x:c r="E722" t="str">
        <x:v>Ground Validation</x:v>
      </x:c>
      <x:c r="F722" t="str">
        <x:v>HD Seaviewer Drop Camera</x:v>
      </x:c>
      <x:c r="G722" t="str">
        <x:v>GV2016_062</x:v>
      </x:c>
      <x:c r="H722" s="28" t="n">
        <x:v>42608</x:v>
      </x:c>
      <x:c r="I722" t="str">
        <x:v>13:50:54</x:v>
      </x:c>
      <x:c r="J722" t="n">
        <x:v>2016</x:v>
      </x:c>
      <x:c r="K722" t="n">
        <x:v>18.18378418</x:v>
      </x:c>
      <x:c r="L722" t="n">
        <x:v>-65.09756205</x:v>
      </x:c>
      <x:c r="M722" t="n">
        <x:v>36.037</x:v>
      </x:c>
      <x:c r="N722" t="str">
        <x:v>https://nccospublicstor.blob.core.windows.net/biomapper/usviinsularshelf2017/videos/low/GV2016_062.mp4</x:v>
      </x:c>
      <x:c r="O722" t="n">
        <x:v>1</x:v>
      </x:c>
      <x:c r="P722" t="n">
        <x:v>0</x:v>
      </x:c>
      <x:c r="Q722" t="n">
        <x:v>0</x:v>
      </x:c>
      <x:c r="R722" t="n">
        <x:v>0</x:v>
      </x:c>
      <x:c r="S722" t="n">
        <x:v>1</x:v>
      </x:c>
      <x:c r="T722" t="n">
        <x:v>0</x:v>
      </x:c>
      <x:c r="U722" t="n">
        <x:v>1</x:v>
      </x:c>
      <x:c r="V722" t="n">
        <x:v>1</x:v>
      </x:c>
      <x:c r="W722" t="n">
        <x:v>0</x:v>
      </x:c>
      <x:c r="X722" t="n">
        <x:v>0</x:v>
      </x:c>
      <x:c r="Y722" t="n">
        <x:v>0</x:v>
      </x:c>
      <x:c r="Z722" t="n">
        <x:v>1</x:v>
      </x:c>
      <x:c r="AA722" t="n">
        <x:v>3</x:v>
      </x:c>
      <x:c r="AB722" t="str">
        <x:v>Pass</x:v>
      </x:c>
      <x:c r="AC722" t="str"/>
      <x:c r="AD722" t="str">
        <x:v>High Coral cover &gt;70%</x:v>
      </x:c>
    </x:row>
    <x:row r="723">
      <x:c r="A723" t="str">
        <x:v>REC0722</x:v>
      </x:c>
      <x:c r="B723" t="n">
        <x:v>721</x:v>
      </x:c>
      <x:c r="C723" t="str">
        <x:v>St. Thomas, USVI</x:v>
      </x:c>
      <x:c r="D723" t="str">
        <x:v>GV</x:v>
      </x:c>
      <x:c r="E723" t="str">
        <x:v>Ground Validation</x:v>
      </x:c>
      <x:c r="F723" t="str">
        <x:v>HD Seaviewer Drop Camera</x:v>
      </x:c>
      <x:c r="G723" t="str">
        <x:v>GV2016_063</x:v>
      </x:c>
      <x:c r="H723" s="28" t="n">
        <x:v>42608</x:v>
      </x:c>
      <x:c r="I723" t="str">
        <x:v>09:24:46</x:v>
      </x:c>
      <x:c r="J723" t="n">
        <x:v>2016</x:v>
      </x:c>
      <x:c r="K723" t="n">
        <x:v>18.19498196</x:v>
      </x:c>
      <x:c r="L723" t="n">
        <x:v>-64.94663907</x:v>
      </x:c>
      <x:c r="M723" t="n">
        <x:v>46.593</x:v>
      </x:c>
      <x:c r="N723" t="str">
        <x:v>https://nccospublicstor.blob.core.windows.net/biomapper/usviinsularshelf2017/videos/low/GV2016_063.mp4</x:v>
      </x:c>
      <x:c r="O723" t="n">
        <x:v>1</x:v>
      </x:c>
      <x:c r="P723" t="n">
        <x:v>0</x:v>
      </x:c>
      <x:c r="Q723" t="n">
        <x:v>0</x:v>
      </x:c>
      <x:c r="R723" t="n">
        <x:v>0</x:v>
      </x:c>
      <x:c r="S723" t="n">
        <x:v>1</x:v>
      </x:c>
      <x:c r="T723" t="n">
        <x:v>0</x:v>
      </x:c>
      <x:c r="U723" t="n">
        <x:v>1</x:v>
      </x:c>
      <x:c r="V723" t="n">
        <x:v>1</x:v>
      </x:c>
      <x:c r="W723" t="n">
        <x:v>0</x:v>
      </x:c>
      <x:c r="X723" t="n">
        <x:v>0</x:v>
      </x:c>
      <x:c r="Y723" t="n">
        <x:v>0</x:v>
      </x:c>
      <x:c r="Z723" t="n">
        <x:v>1</x:v>
      </x:c>
      <x:c r="AA723" t="n">
        <x:v>3</x:v>
      </x:c>
      <x:c r="AB723" t="str">
        <x:v>Pass</x:v>
      </x:c>
      <x:c r="AC723" t="str"/>
      <x:c r="AD723" t="str">
        <x:v>Long cable?</x:v>
      </x:c>
    </x:row>
    <x:row r="724">
      <x:c r="A724" t="str">
        <x:v>REC0723</x:v>
      </x:c>
      <x:c r="B724" t="n">
        <x:v>722</x:v>
      </x:c>
      <x:c r="C724" t="str">
        <x:v>St. Thomas, USVI</x:v>
      </x:c>
      <x:c r="D724" t="str">
        <x:v>GV</x:v>
      </x:c>
      <x:c r="E724" t="str">
        <x:v>Ground Validation</x:v>
      </x:c>
      <x:c r="F724" t="str">
        <x:v>HD Seaviewer Drop Camera</x:v>
      </x:c>
      <x:c r="G724" t="str">
        <x:v>GV2016_064</x:v>
      </x:c>
      <x:c r="H724" s="28" t="n">
        <x:v>42609</x:v>
      </x:c>
      <x:c r="I724" t="str">
        <x:v>13:09:37</x:v>
      </x:c>
      <x:c r="J724" t="n">
        <x:v>2016</x:v>
      </x:c>
      <x:c r="K724" t="n">
        <x:v>18.23932261</x:v>
      </x:c>
      <x:c r="L724" t="n">
        <x:v>-64.99852978</x:v>
      </x:c>
      <x:c r="M724" t="n">
        <x:v>39.619</x:v>
      </x:c>
      <x:c r="N724" t="str">
        <x:v>https://nccospublicstor.blob.core.windows.net/biomapper/usviinsularshelf2017/videos/low/GV2016_064.mp4</x:v>
      </x:c>
      <x:c r="O724" t="n">
        <x:v>0</x:v>
      </x:c>
      <x:c r="P724" t="n">
        <x:v>0</x:v>
      </x:c>
      <x:c r="Q724" t="n">
        <x:v>1</x:v>
      </x:c>
      <x:c r="R724" t="n">
        <x:v>0</x:v>
      </x:c>
      <x:c r="S724" t="n">
        <x:v>0</x:v>
      </x:c>
      <x:c r="T724" t="n">
        <x:v>0</x:v>
      </x:c>
      <x:c r="U724" t="n">
        <x:v>1</x:v>
      </x:c>
      <x:c r="V724" t="n">
        <x:v>1</x:v>
      </x:c>
      <x:c r="W724" t="n">
        <x:v>0</x:v>
      </x:c>
      <x:c r="X724" t="n">
        <x:v>0</x:v>
      </x:c>
      <x:c r="Y724" t="n">
        <x:v>0</x:v>
      </x:c>
      <x:c r="Z724" t="n">
        <x:v>1</x:v>
      </x:c>
      <x:c r="AA724" t="n">
        <x:v>2</x:v>
      </x:c>
      <x:c r="AB724" t="str">
        <x:v>Pass</x:v>
      </x:c>
      <x:c r="AC724" t="str"/>
      <x:c r="AD724" t="str"/>
    </x:row>
    <x:row r="725">
      <x:c r="A725" t="str">
        <x:v>REC0724</x:v>
      </x:c>
      <x:c r="B725" t="n">
        <x:v>723</x:v>
      </x:c>
      <x:c r="C725" t="str">
        <x:v>St. Thomas, USVI</x:v>
      </x:c>
      <x:c r="D725" t="str">
        <x:v>GV</x:v>
      </x:c>
      <x:c r="E725" t="str">
        <x:v>Ground Validation</x:v>
      </x:c>
      <x:c r="F725" t="str">
        <x:v>HD Seaviewer Drop Camera</x:v>
      </x:c>
      <x:c r="G725" t="str">
        <x:v>GV2016_065</x:v>
      </x:c>
      <x:c r="H725" s="28" t="n">
        <x:v>42610</x:v>
      </x:c>
      <x:c r="I725" t="str">
        <x:v>09:04:23</x:v>
      </x:c>
      <x:c r="J725" t="n">
        <x:v>2016</x:v>
      </x:c>
      <x:c r="K725" t="n">
        <x:v>18.19891068</x:v>
      </x:c>
      <x:c r="L725" t="n">
        <x:v>-64.87072751</x:v>
      </x:c>
      <x:c r="M725" t="n">
        <x:v>48.697</x:v>
      </x:c>
      <x:c r="N725" t="str">
        <x:v>https://nccospublicstor.blob.core.windows.net/biomapper/usviinsularshelf2017/videos/low/GV2016_065.mp4</x:v>
      </x:c>
      <x:c r="O725" t="n">
        <x:v>0</x:v>
      </x:c>
      <x:c r="P725" t="n">
        <x:v>1</x:v>
      </x:c>
      <x:c r="Q725" t="n">
        <x:v>1</x:v>
      </x:c>
      <x:c r="R725" t="n">
        <x:v>0</x:v>
      </x:c>
      <x:c r="S725" t="n">
        <x:v>0</x:v>
      </x:c>
      <x:c r="T725" t="n">
        <x:v>0</x:v>
      </x:c>
      <x:c r="U725" t="n">
        <x:v>1</x:v>
      </x:c>
      <x:c r="V725" t="n">
        <x:v>1</x:v>
      </x:c>
      <x:c r="W725" t="n">
        <x:v>0</x:v>
      </x:c>
      <x:c r="X725" t="n">
        <x:v>0</x:v>
      </x:c>
      <x:c r="Y725" t="n">
        <x:v>0</x:v>
      </x:c>
      <x:c r="Z725" t="n">
        <x:v>2</x:v>
      </x:c>
      <x:c r="AA725" t="n">
        <x:v>2</x:v>
      </x:c>
      <x:c r="AB725" t="str">
        <x:v>Pass</x:v>
      </x:c>
      <x:c r="AC725" t="str"/>
      <x:c r="AD725" t="str"/>
    </x:row>
    <x:row r="726">
      <x:c r="A726" t="str">
        <x:v>REC0725</x:v>
      </x:c>
      <x:c r="B726" t="n">
        <x:v>724</x:v>
      </x:c>
      <x:c r="C726" t="str">
        <x:v>Puerto Rico</x:v>
      </x:c>
      <x:c r="D726" t="str">
        <x:v>GV</x:v>
      </x:c>
      <x:c r="E726" t="str">
        <x:v>Ground Validation</x:v>
      </x:c>
      <x:c r="F726" t="str">
        <x:v>HD Seaviewer Drop Camera</x:v>
      </x:c>
      <x:c r="G726" t="str">
        <x:v>GV2016_066</x:v>
      </x:c>
      <x:c r="H726" s="28" t="n">
        <x:v>42604</x:v>
      </x:c>
      <x:c r="I726" t="str">
        <x:v>11:53:59</x:v>
      </x:c>
      <x:c r="J726" t="n">
        <x:v>2016</x:v>
      </x:c>
      <x:c r="K726" t="n">
        <x:v>18.21940226</x:v>
      </x:c>
      <x:c r="L726" t="n">
        <x:v>-65.18788741</x:v>
      </x:c>
      <x:c r="M726" t="n">
        <x:v>31.37</x:v>
      </x:c>
      <x:c r="N726" t="str">
        <x:v>https://nccospublicstor.blob.core.windows.net/biomapper/usviinsularshelf2017/videos/low/GV2016_066.mp4</x:v>
      </x:c>
      <x:c r="O726" t="n">
        <x:v>1</x:v>
      </x:c>
      <x:c r="P726" t="n">
        <x:v>0</x:v>
      </x:c>
      <x:c r="Q726" t="n">
        <x:v>0</x:v>
      </x:c>
      <x:c r="R726" t="n">
        <x:v>0</x:v>
      </x:c>
      <x:c r="S726" t="n">
        <x:v>1</x:v>
      </x:c>
      <x:c r="T726" t="n">
        <x:v>0</x:v>
      </x:c>
      <x:c r="U726" t="n">
        <x:v>1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1</x:v>
      </x:c>
      <x:c r="AA726" t="n">
        <x:v>2</x:v>
      </x:c>
      <x:c r="AB726" t="str">
        <x:v>Pass</x:v>
      </x:c>
      <x:c r="AC726" t="str"/>
      <x:c r="AD726" t="str">
        <x:v>Some coral colonies with coral bleaching</x:v>
      </x:c>
    </x:row>
    <x:row r="727">
      <x:c r="A727" t="str">
        <x:v>REC0726</x:v>
      </x:c>
      <x:c r="B727" t="n">
        <x:v>725</x:v>
      </x:c>
      <x:c r="C727" t="str">
        <x:v>St. John, USVI</x:v>
      </x:c>
      <x:c r="D727" t="str">
        <x:v>GV</x:v>
      </x:c>
      <x:c r="E727" t="str">
        <x:v>Ground Validation</x:v>
      </x:c>
      <x:c r="F727" t="str">
        <x:v>HD Seaviewer Drop Camera</x:v>
      </x:c>
      <x:c r="G727" t="str">
        <x:v>GV2016_067</x:v>
      </x:c>
      <x:c r="H727" s="28" t="n">
        <x:v>42629</x:v>
      </x:c>
      <x:c r="I727" t="str">
        <x:v>11:20:16</x:v>
      </x:c>
      <x:c r="J727" t="n">
        <x:v>2016</x:v>
      </x:c>
      <x:c r="K727" t="n">
        <x:v>18.19177583</x:v>
      </x:c>
      <x:c r="L727" t="n">
        <x:v>-64.79698663</x:v>
      </x:c>
      <x:c r="M727" t="n">
        <x:v>58.409</x:v>
      </x:c>
      <x:c r="N727" t="str">
        <x:v>https://nccospublicstor.blob.core.windows.net/biomapper/usviinsularshelf2017/videos/low/GV2016_067.mp4</x:v>
      </x:c>
      <x:c r="O727" t="n">
        <x:v>0</x:v>
      </x:c>
      <x:c r="P727" t="n">
        <x:v>1</x:v>
      </x:c>
      <x:c r="Q727" t="n">
        <x:v>1</x:v>
      </x:c>
      <x:c r="R727" t="n">
        <x:v>0</x:v>
      </x:c>
      <x:c r="S727" t="n">
        <x:v>1</x:v>
      </x:c>
      <x:c r="T727" t="n">
        <x:v>0</x:v>
      </x:c>
      <x:c r="U727" t="n">
        <x:v>1</x:v>
      </x:c>
      <x:c r="V727" t="n">
        <x:v>1</x:v>
      </x:c>
      <x:c r="W727" t="n">
        <x:v>0</x:v>
      </x:c>
      <x:c r="X727" t="n">
        <x:v>0</x:v>
      </x:c>
      <x:c r="Y727" t="n">
        <x:v>0</x:v>
      </x:c>
      <x:c r="Z727" t="n">
        <x:v>2</x:v>
      </x:c>
      <x:c r="AA727" t="n">
        <x:v>3</x:v>
      </x:c>
      <x:c r="AB727" t="str">
        <x:v>Pass</x:v>
      </x:c>
      <x:c r="AC727" t="str"/>
      <x:c r="AD727" t="str"/>
    </x:row>
    <x:row r="728">
      <x:c r="A728" t="str">
        <x:v>REC0727</x:v>
      </x:c>
      <x:c r="B728" t="n">
        <x:v>726</x:v>
      </x:c>
      <x:c r="C728" t="str">
        <x:v>Puerto Rico</x:v>
      </x:c>
      <x:c r="D728" t="str">
        <x:v>GV</x:v>
      </x:c>
      <x:c r="E728" t="str">
        <x:v>Ground Validation</x:v>
      </x:c>
      <x:c r="F728" t="str">
        <x:v>HD Seaviewer Drop Camera</x:v>
      </x:c>
      <x:c r="G728" t="str">
        <x:v>GV2016_068</x:v>
      </x:c>
      <x:c r="H728" s="28" t="n">
        <x:v>42607</x:v>
      </x:c>
      <x:c r="I728" t="str">
        <x:v>10:52:48</x:v>
      </x:c>
      <x:c r="J728" t="n">
        <x:v>2016</x:v>
      </x:c>
      <x:c r="K728" t="n">
        <x:v>18.23079076</x:v>
      </x:c>
      <x:c r="L728" t="n">
        <x:v>-65.16114703</x:v>
      </x:c>
      <x:c r="M728" t="n">
        <x:v>36.408</x:v>
      </x:c>
      <x:c r="N728" t="str">
        <x:v>https://nccospublicstor.blob.core.windows.net/biomapper/usviinsularshelf2017/videos/low/GV2016_068.mp4</x:v>
      </x:c>
      <x:c r="O728" t="n">
        <x:v>1</x:v>
      </x:c>
      <x:c r="P728" t="n">
        <x:v>0</x:v>
      </x:c>
      <x:c r="Q728" t="n">
        <x:v>0</x:v>
      </x:c>
      <x:c r="R728" t="n">
        <x:v>0</x:v>
      </x:c>
      <x:c r="S728" t="n">
        <x:v>1</x:v>
      </x:c>
      <x:c r="T728" t="n">
        <x:v>1</x:v>
      </x:c>
      <x:c r="U728" t="n">
        <x:v>1</x:v>
      </x:c>
      <x:c r="V728" t="n">
        <x:v>1</x:v>
      </x:c>
      <x:c r="W728" t="n">
        <x:v>0</x:v>
      </x:c>
      <x:c r="X728" t="n">
        <x:v>0</x:v>
      </x:c>
      <x:c r="Y728" t="n">
        <x:v>0</x:v>
      </x:c>
      <x:c r="Z728" t="n">
        <x:v>1</x:v>
      </x:c>
      <x:c r="AA728" t="n">
        <x:v>4</x:v>
      </x:c>
      <x:c r="AB728" t="str">
        <x:v>Pass</x:v>
      </x:c>
      <x:c r="AC728" t="str"/>
      <x:c r="AD728" t="str"/>
    </x:row>
    <x:row r="729">
      <x:c r="A729" t="str">
        <x:v>REC0728</x:v>
      </x:c>
      <x:c r="B729" t="n">
        <x:v>727</x:v>
      </x:c>
      <x:c r="C729" t="str">
        <x:v>St. John, USVI</x:v>
      </x:c>
      <x:c r="D729" t="str">
        <x:v>GV</x:v>
      </x:c>
      <x:c r="E729" t="str">
        <x:v>Ground Validation</x:v>
      </x:c>
      <x:c r="F729" t="str">
        <x:v>HD Seaviewer Drop Camera</x:v>
      </x:c>
      <x:c r="G729" t="str">
        <x:v>GV2016_071</x:v>
      </x:c>
      <x:c r="H729" s="28" t="n">
        <x:v>42614</x:v>
      </x:c>
      <x:c r="I729" t="str">
        <x:v>12:49:52</x:v>
      </x:c>
      <x:c r="J729" t="n">
        <x:v>2016</x:v>
      </x:c>
      <x:c r="K729" t="n">
        <x:v>18.29207754</x:v>
      </x:c>
      <x:c r="L729" t="n">
        <x:v>-64.73464962</x:v>
      </x:c>
      <x:c r="M729" t="n">
        <x:v>31.729</x:v>
      </x:c>
      <x:c r="N729" t="str">
        <x:v>https://nccospublicstor.blob.core.windows.net/biomapper/usviinsularshelf2017/videos/low/GV2016_071.mp4</x:v>
      </x:c>
      <x:c r="O729" t="n">
        <x:v>0</x:v>
      </x:c>
      <x:c r="P729" t="n">
        <x:v>0</x:v>
      </x:c>
      <x:c r="Q729" t="n">
        <x:v>1</x:v>
      </x:c>
      <x:c r="R729" t="n">
        <x:v>1</x:v>
      </x:c>
      <x:c r="S729" t="n">
        <x:v>0</x:v>
      </x:c>
      <x:c r="T729" t="n">
        <x:v>0</x:v>
      </x:c>
      <x:c r="U729" t="n">
        <x:v>1</x:v>
      </x:c>
      <x:c r="V729" t="n">
        <x:v>1</x:v>
      </x:c>
      <x:c r="W729" t="n">
        <x:v>0</x:v>
      </x:c>
      <x:c r="X729" t="n">
        <x:v>0</x:v>
      </x:c>
      <x:c r="Y729" t="n">
        <x:v>0</x:v>
      </x:c>
      <x:c r="Z729" t="n">
        <x:v>2</x:v>
      </x:c>
      <x:c r="AA729" t="n">
        <x:v>2</x:v>
      </x:c>
      <x:c r="AB729" t="str">
        <x:v>Pass</x:v>
      </x:c>
      <x:c r="AC729" t="str"/>
      <x:c r="AD729" t="str"/>
    </x:row>
    <x:row r="730">
      <x:c r="A730" t="str">
        <x:v>REC0729</x:v>
      </x:c>
      <x:c r="B730" t="n">
        <x:v>728</x:v>
      </x:c>
      <x:c r="C730" t="str">
        <x:v>Puerto Rico</x:v>
      </x:c>
      <x:c r="D730" t="str">
        <x:v>GV</x:v>
      </x:c>
      <x:c r="E730" t="str">
        <x:v>Ground Validation</x:v>
      </x:c>
      <x:c r="F730" t="str">
        <x:v>HD Seaviewer Drop Camera</x:v>
      </x:c>
      <x:c r="G730" t="str">
        <x:v>GV2016_072</x:v>
      </x:c>
      <x:c r="H730" s="28" t="n">
        <x:v>42605</x:v>
      </x:c>
      <x:c r="I730" t="str">
        <x:v>12:04:04</x:v>
      </x:c>
      <x:c r="J730" t="n">
        <x:v>2016</x:v>
      </x:c>
      <x:c r="K730" t="n">
        <x:v>18.1836164</x:v>
      </x:c>
      <x:c r="L730" t="n">
        <x:v>-65.15040028</x:v>
      </x:c>
      <x:c r="M730" t="n">
        <x:v>41.228</x:v>
      </x:c>
      <x:c r="N730" t="str">
        <x:v>https://nccospublicstor.blob.core.windows.net/biomapper/usviinsularshelf2017/videos/low/GV2016_072.mp4</x:v>
      </x:c>
      <x:c r="O730" t="n">
        <x:v>1</x:v>
      </x:c>
      <x:c r="P730" t="n">
        <x:v>0</x:v>
      </x:c>
      <x:c r="Q730" t="n">
        <x:v>0</x:v>
      </x:c>
      <x:c r="R730" t="n">
        <x:v>0</x:v>
      </x:c>
      <x:c r="S730" t="n">
        <x:v>1</x:v>
      </x:c>
      <x:c r="T730" t="n">
        <x:v>1</x:v>
      </x:c>
      <x:c r="U730" t="n">
        <x:v>1</x:v>
      </x:c>
      <x:c r="V730" t="n">
        <x:v>1</x:v>
      </x:c>
      <x:c r="W730" t="n">
        <x:v>0</x:v>
      </x:c>
      <x:c r="X730" t="n">
        <x:v>0</x:v>
      </x:c>
      <x:c r="Y730" t="n">
        <x:v>0</x:v>
      </x:c>
      <x:c r="Z730" t="n">
        <x:v>1</x:v>
      </x:c>
      <x:c r="AA730" t="n">
        <x:v>4</x:v>
      </x:c>
      <x:c r="AB730" t="str">
        <x:v>Pass</x:v>
      </x:c>
      <x:c r="AC730" t="str"/>
      <x:c r="AD730" t="str"/>
    </x:row>
    <x:row r="731">
      <x:c r="A731" t="str">
        <x:v>REC0730</x:v>
      </x:c>
      <x:c r="B731" t="n">
        <x:v>729</x:v>
      </x:c>
      <x:c r="C731" t="str">
        <x:v>St. Thomas, USVI</x:v>
      </x:c>
      <x:c r="D731" t="str">
        <x:v>GV</x:v>
      </x:c>
      <x:c r="E731" t="str">
        <x:v>Ground Validation</x:v>
      </x:c>
      <x:c r="F731" t="str">
        <x:v>HD Seaviewer Drop Camera</x:v>
      </x:c>
      <x:c r="G731" t="str">
        <x:v>GV2016_073</x:v>
      </x:c>
      <x:c r="H731" s="28" t="n">
        <x:v>42602</x:v>
      </x:c>
      <x:c r="I731" t="str">
        <x:v>13:39:24</x:v>
      </x:c>
      <x:c r="J731" t="n">
        <x:v>2016</x:v>
      </x:c>
      <x:c r="K731" t="n">
        <x:v>18.27614239</x:v>
      </x:c>
      <x:c r="L731" t="n">
        <x:v>-65.12847632</x:v>
      </x:c>
      <x:c r="M731" t="n">
        <x:v>27.291</x:v>
      </x:c>
      <x:c r="N731" t="str">
        <x:v>https://nccospublicstor.blob.core.windows.net/biomapper/usviinsularshelf2017/videos/low/GV2016_073.mp4</x:v>
      </x:c>
      <x:c r="O731" t="n">
        <x:v>1</x:v>
      </x:c>
      <x:c r="P731" t="n">
        <x:v>0</x:v>
      </x:c>
      <x:c r="Q731" t="n">
        <x:v>0</x:v>
      </x:c>
      <x:c r="R731" t="n">
        <x:v>0</x:v>
      </x:c>
      <x:c r="S731" t="n">
        <x:v>1</x:v>
      </x:c>
      <x:c r="T731" t="n">
        <x:v>0</x:v>
      </x:c>
      <x:c r="U731" t="n">
        <x:v>1</x:v>
      </x:c>
      <x:c r="V731" t="n">
        <x:v>1</x:v>
      </x:c>
      <x:c r="W731" t="n">
        <x:v>0</x:v>
      </x:c>
      <x:c r="X731" t="n">
        <x:v>0</x:v>
      </x:c>
      <x:c r="Y731" t="n">
        <x:v>0</x:v>
      </x:c>
      <x:c r="Z731" t="n">
        <x:v>1</x:v>
      </x:c>
      <x:c r="AA731" t="n">
        <x:v>3</x:v>
      </x:c>
      <x:c r="AB731" t="str">
        <x:v>Pass</x:v>
      </x:c>
      <x:c r="AC731" t="str"/>
      <x:c r="AD731" t="str"/>
    </x:row>
    <x:row r="732">
      <x:c r="A732" t="str">
        <x:v>REC0731</x:v>
      </x:c>
      <x:c r="B732" t="n">
        <x:v>730</x:v>
      </x:c>
      <x:c r="C732" t="str">
        <x:v>St. Thomas, USVI</x:v>
      </x:c>
      <x:c r="D732" t="str">
        <x:v>GV</x:v>
      </x:c>
      <x:c r="E732" t="str">
        <x:v>Ground Validation</x:v>
      </x:c>
      <x:c r="F732" t="str">
        <x:v>HD Seaviewer Drop Camera</x:v>
      </x:c>
      <x:c r="G732" t="str">
        <x:v>GV2016_074</x:v>
      </x:c>
      <x:c r="H732" s="28" t="n">
        <x:v>42608</x:v>
      </x:c>
      <x:c r="I732" t="str">
        <x:v>10:19:02</x:v>
      </x:c>
      <x:c r="J732" t="n">
        <x:v>2016</x:v>
      </x:c>
      <x:c r="K732" t="n">
        <x:v>18.20295324</x:v>
      </x:c>
      <x:c r="L732" t="n">
        <x:v>-64.97483444</x:v>
      </x:c>
      <x:c r="M732" t="n">
        <x:v>49.46</x:v>
      </x:c>
      <x:c r="N732" t="str">
        <x:v>https://nccospublicstor.blob.core.windows.net/biomapper/usviinsularshelf2017/videos/low/GV2016_074.mp4</x:v>
      </x:c>
      <x:c r="O732" t="n">
        <x:v>0</x:v>
      </x:c>
      <x:c r="P732" t="n">
        <x:v>0</x:v>
      </x:c>
      <x:c r="Q732" t="n">
        <x:v>1</x:v>
      </x:c>
      <x:c r="R732" t="n">
        <x:v>1</x:v>
      </x:c>
      <x:c r="S732" t="n">
        <x:v>0</x:v>
      </x:c>
      <x:c r="T732" t="n">
        <x:v>0</x:v>
      </x:c>
      <x:c r="U732" t="n">
        <x:v>1</x:v>
      </x:c>
      <x:c r="V732" t="n">
        <x:v>1</x:v>
      </x:c>
      <x:c r="W732" t="n">
        <x:v>0</x:v>
      </x:c>
      <x:c r="X732" t="n">
        <x:v>0</x:v>
      </x:c>
      <x:c r="Y732" t="n">
        <x:v>0</x:v>
      </x:c>
      <x:c r="Z732" t="n">
        <x:v>2</x:v>
      </x:c>
      <x:c r="AA732" t="n">
        <x:v>2</x:v>
      </x:c>
      <x:c r="AB732" t="str">
        <x:v>Pass</x:v>
      </x:c>
      <x:c r="AC732" t="str"/>
      <x:c r="AD732" t="str"/>
    </x:row>
    <x:row r="733">
      <x:c r="A733" t="str">
        <x:v>REC0732</x:v>
      </x:c>
      <x:c r="B733" t="n">
        <x:v>731</x:v>
      </x:c>
      <x:c r="C733" t="str">
        <x:v>St. Thomas, USVI</x:v>
      </x:c>
      <x:c r="D733" t="str">
        <x:v>GV</x:v>
      </x:c>
      <x:c r="E733" t="str">
        <x:v>Ground Validation</x:v>
      </x:c>
      <x:c r="F733" t="str">
        <x:v>HD Seaviewer Drop Camera</x:v>
      </x:c>
      <x:c r="G733" t="str">
        <x:v>GV2016_075</x:v>
      </x:c>
      <x:c r="H733" s="28" t="n">
        <x:v>42612</x:v>
      </x:c>
      <x:c r="I733" t="str">
        <x:v>12:58:54</x:v>
      </x:c>
      <x:c r="J733" t="n">
        <x:v>2016</x:v>
      </x:c>
      <x:c r="K733" t="n">
        <x:v>18.26402406</x:v>
      </x:c>
      <x:c r="L733" t="n">
        <x:v>-64.85173572</x:v>
      </x:c>
      <x:c r="M733" t="n">
        <x:v>34.642</x:v>
      </x:c>
      <x:c r="N733" t="str">
        <x:v>https://nccospublicstor.blob.core.windows.net/biomapper/usviinsularshelf2017/videos/low/GV2016_075.mp4</x:v>
      </x:c>
      <x:c r="O733" t="n">
        <x:v>0</x:v>
      </x:c>
      <x:c r="P733" t="n">
        <x:v>0</x:v>
      </x:c>
      <x:c r="Q733" t="n">
        <x:v>1</x:v>
      </x:c>
      <x:c r="R733" t="n">
        <x:v>1</x:v>
      </x:c>
      <x:c r="S733" t="n">
        <x:v>0</x:v>
      </x:c>
      <x:c r="T733" t="n">
        <x:v>0</x:v>
      </x:c>
      <x:c r="U733" t="n">
        <x:v>1</x:v>
      </x:c>
      <x:c r="V733" t="n">
        <x:v>1</x:v>
      </x:c>
      <x:c r="W733" t="n">
        <x:v>0</x:v>
      </x:c>
      <x:c r="X733" t="n">
        <x:v>0</x:v>
      </x:c>
      <x:c r="Y733" t="n">
        <x:v>0</x:v>
      </x:c>
      <x:c r="Z733" t="n">
        <x:v>2</x:v>
      </x:c>
      <x:c r="AA733" t="n">
        <x:v>2</x:v>
      </x:c>
      <x:c r="AB733" t="str">
        <x:v>Pass</x:v>
      </x:c>
      <x:c r="AC733" t="str"/>
      <x:c r="AD733" t="str"/>
    </x:row>
    <x:row r="734">
      <x:c r="A734" t="str">
        <x:v>REC0733</x:v>
      </x:c>
      <x:c r="B734" t="n">
        <x:v>732</x:v>
      </x:c>
      <x:c r="C734" t="str">
        <x:v>Puerto Rico</x:v>
      </x:c>
      <x:c r="D734" t="str">
        <x:v>GV</x:v>
      </x:c>
      <x:c r="E734" t="str">
        <x:v>Ground Validation</x:v>
      </x:c>
      <x:c r="F734" t="str">
        <x:v>HD Seaviewer Drop Camera</x:v>
      </x:c>
      <x:c r="G734" t="str">
        <x:v>GV2016_076</x:v>
      </x:c>
      <x:c r="H734" s="28" t="n">
        <x:v>42604</x:v>
      </x:c>
      <x:c r="I734" t="str">
        <x:v>11:19:29</x:v>
      </x:c>
      <x:c r="J734" t="n">
        <x:v>2016</x:v>
      </x:c>
      <x:c r="K734" t="n">
        <x:v>18.20614541</x:v>
      </x:c>
      <x:c r="L734" t="n">
        <x:v>-65.19968529</x:v>
      </x:c>
      <x:c r="M734" t="n">
        <x:v>32.691</x:v>
      </x:c>
      <x:c r="N734" t="str">
        <x:v>https://nccospublicstor.blob.core.windows.net/biomapper/usviinsularshelf2017/videos/low/GV2016_076.mp4</x:v>
      </x:c>
      <x:c r="O734" t="n">
        <x:v>1</x:v>
      </x:c>
      <x:c r="P734" t="n">
        <x:v>0</x:v>
      </x:c>
      <x:c r="Q734" t="n">
        <x:v>0</x:v>
      </x:c>
      <x:c r="R734" t="n">
        <x:v>0</x:v>
      </x:c>
      <x:c r="S734" t="n">
        <x:v>1</x:v>
      </x:c>
      <x:c r="T734" t="n">
        <x:v>1</x:v>
      </x:c>
      <x:c r="U734" t="n">
        <x:v>1</x:v>
      </x:c>
      <x:c r="V734" t="n">
        <x:v>1</x:v>
      </x:c>
      <x:c r="W734" t="n">
        <x:v>0</x:v>
      </x:c>
      <x:c r="X734" t="n">
        <x:v>0</x:v>
      </x:c>
      <x:c r="Y734" t="n">
        <x:v>0</x:v>
      </x:c>
      <x:c r="Z734" t="n">
        <x:v>1</x:v>
      </x:c>
      <x:c r="AA734" t="n">
        <x:v>4</x:v>
      </x:c>
      <x:c r="AB734" t="str">
        <x:v>Pass</x:v>
      </x:c>
      <x:c r="AC734" t="str"/>
      <x:c r="AD734" t="str"/>
    </x:row>
    <x:row r="735">
      <x:c r="A735" t="str">
        <x:v>REC0734</x:v>
      </x:c>
      <x:c r="B735" t="n">
        <x:v>733</x:v>
      </x:c>
      <x:c r="C735" t="str">
        <x:v>St. Thomas, USVI</x:v>
      </x:c>
      <x:c r="D735" t="str">
        <x:v>GV</x:v>
      </x:c>
      <x:c r="E735" t="str">
        <x:v>Ground Validation</x:v>
      </x:c>
      <x:c r="F735" t="str">
        <x:v>HD Seaviewer Drop Camera</x:v>
      </x:c>
      <x:c r="G735" t="str">
        <x:v>GV2016_077</x:v>
      </x:c>
      <x:c r="H735" s="28" t="n">
        <x:v>42609</x:v>
      </x:c>
      <x:c r="I735" t="str">
        <x:v>09:43:06</x:v>
      </x:c>
      <x:c r="J735" t="n">
        <x:v>2016</x:v>
      </x:c>
      <x:c r="K735" t="n">
        <x:v>18.22926666</x:v>
      </x:c>
      <x:c r="L735" t="n">
        <x:v>-65.09773739</x:v>
      </x:c>
      <x:c r="M735" t="n">
        <x:v>31.497</x:v>
      </x:c>
      <x:c r="N735" t="str">
        <x:v>https://nccospublicstor.blob.core.windows.net/biomapper/usviinsularshelf2017/videos/low/GV2016_077.mp4</x:v>
      </x:c>
      <x:c r="O735" t="n">
        <x:v>1</x:v>
      </x:c>
      <x:c r="P735" t="n">
        <x:v>0</x:v>
      </x:c>
      <x:c r="Q735" t="n">
        <x:v>0</x:v>
      </x:c>
      <x:c r="R735" t="n">
        <x:v>0</x:v>
      </x:c>
      <x:c r="S735" t="n">
        <x:v>1</x:v>
      </x:c>
      <x:c r="T735" t="n">
        <x:v>1</x:v>
      </x:c>
      <x:c r="U735" t="n">
        <x:v>1</x:v>
      </x:c>
      <x:c r="V735" t="n">
        <x:v>1</x:v>
      </x:c>
      <x:c r="W735" t="n">
        <x:v>0</x:v>
      </x:c>
      <x:c r="X735" t="n">
        <x:v>0</x:v>
      </x:c>
      <x:c r="Y735" t="n">
        <x:v>0</x:v>
      </x:c>
      <x:c r="Z735" t="n">
        <x:v>1</x:v>
      </x:c>
      <x:c r="AA735" t="n">
        <x:v>4</x:v>
      </x:c>
      <x:c r="AB735" t="str">
        <x:v>Pass</x:v>
      </x:c>
      <x:c r="AC735" t="str"/>
      <x:c r="AD735" t="str"/>
    </x:row>
    <x:row r="736">
      <x:c r="A736" t="str">
        <x:v>REC0735</x:v>
      </x:c>
      <x:c r="B736" t="n">
        <x:v>734</x:v>
      </x:c>
      <x:c r="C736" t="str">
        <x:v>Puerto Rico</x:v>
      </x:c>
      <x:c r="D736" t="str">
        <x:v>GV</x:v>
      </x:c>
      <x:c r="E736" t="str">
        <x:v>Ground Validation</x:v>
      </x:c>
      <x:c r="F736" t="str">
        <x:v>HD Seaviewer Drop Camera</x:v>
      </x:c>
      <x:c r="G736" t="str">
        <x:v>GV2016_078</x:v>
      </x:c>
      <x:c r="H736" s="28" t="n">
        <x:v>42603</x:v>
      </x:c>
      <x:c r="I736" t="str">
        <x:v>08:08:33</x:v>
      </x:c>
      <x:c r="J736" t="n">
        <x:v>2016</x:v>
      </x:c>
      <x:c r="K736" t="n">
        <x:v>18.15735697</x:v>
      </x:c>
      <x:c r="L736" t="n">
        <x:v>-65.21498028</x:v>
      </x:c>
      <x:c r="M736" t="n">
        <x:v>41.422</x:v>
      </x:c>
      <x:c r="N736" t="str">
        <x:v>https://nccospublicstor.blob.core.windows.net/biomapper/usviinsularshelf2017/videos/low/GV2016_078.mp4</x:v>
      </x:c>
      <x:c r="O736" t="n">
        <x:v>0</x:v>
      </x:c>
      <x:c r="P736" t="n">
        <x:v>0</x:v>
      </x:c>
      <x:c r="Q736" t="n">
        <x:v>1</x:v>
      </x:c>
      <x:c r="R736" t="n">
        <x:v>0</x:v>
      </x:c>
      <x:c r="S736" t="n">
        <x:v>0</x:v>
      </x:c>
      <x:c r="T736" t="n">
        <x:v>0</x:v>
      </x:c>
      <x:c r="U736" t="n">
        <x:v>1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1</x:v>
      </x:c>
      <x:c r="AA736" t="n">
        <x:v>1</x:v>
      </x:c>
      <x:c r="AB736" t="str">
        <x:v>Pass</x:v>
      </x:c>
      <x:c r="AC736" t="str"/>
      <x:c r="AD736" t="str"/>
    </x:row>
    <x:row r="737">
      <x:c r="A737" t="str">
        <x:v>REC0736</x:v>
      </x:c>
      <x:c r="B737" t="n">
        <x:v>735</x:v>
      </x:c>
      <x:c r="C737" t="str">
        <x:v>St. Thomas, USVI</x:v>
      </x:c>
      <x:c r="D737" t="str">
        <x:v>GV</x:v>
      </x:c>
      <x:c r="E737" t="str">
        <x:v>Ground Validation</x:v>
      </x:c>
      <x:c r="F737" t="str">
        <x:v>HD Seaviewer Drop Camera</x:v>
      </x:c>
      <x:c r="G737" t="str">
        <x:v>GV2016_079</x:v>
      </x:c>
      <x:c r="H737" s="28" t="n">
        <x:v>42622</x:v>
      </x:c>
      <x:c r="I737" t="str">
        <x:v>14:34:03</x:v>
      </x:c>
      <x:c r="J737" t="n">
        <x:v>2016</x:v>
      </x:c>
      <x:c r="K737" t="n">
        <x:v>18.25714767</x:v>
      </x:c>
      <x:c r="L737" t="n">
        <x:v>-64.82448036</x:v>
      </x:c>
      <x:c r="M737" t="n">
        <x:v>35.617</x:v>
      </x:c>
      <x:c r="N737" t="str">
        <x:v>https://nccospublicstor.blob.core.windows.net/biomapper/usviinsularshelf2017/videos/low/GV2016_079.mp4</x:v>
      </x:c>
      <x:c r="O737" t="n">
        <x:v>0</x:v>
      </x:c>
      <x:c r="P737" t="n">
        <x:v>0</x:v>
      </x:c>
      <x:c r="Q737" t="n">
        <x:v>1</x:v>
      </x:c>
      <x:c r="R737" t="n">
        <x:v>1</x:v>
      </x:c>
      <x:c r="S737" t="n">
        <x:v>0</x:v>
      </x:c>
      <x:c r="T737" t="n">
        <x:v>0</x:v>
      </x:c>
      <x:c r="U737" t="n">
        <x:v>1</x:v>
      </x:c>
      <x:c r="V737" t="n">
        <x:v>1</x:v>
      </x:c>
      <x:c r="W737" t="n">
        <x:v>0</x:v>
      </x:c>
      <x:c r="X737" t="n">
        <x:v>0</x:v>
      </x:c>
      <x:c r="Y737" t="n">
        <x:v>0</x:v>
      </x:c>
      <x:c r="Z737" t="n">
        <x:v>2</x:v>
      </x:c>
      <x:c r="AA737" t="n">
        <x:v>2</x:v>
      </x:c>
      <x:c r="AB737" t="str">
        <x:v>Pass</x:v>
      </x:c>
      <x:c r="AC737" t="str"/>
      <x:c r="AD737" t="str"/>
    </x:row>
    <x:row r="738">
      <x:c r="A738" t="str">
        <x:v>REC0737</x:v>
      </x:c>
      <x:c r="B738" t="n">
        <x:v>736</x:v>
      </x:c>
      <x:c r="C738" t="str">
        <x:v>St. John, USVI</x:v>
      </x:c>
      <x:c r="D738" t="str">
        <x:v>GV</x:v>
      </x:c>
      <x:c r="E738" t="str">
        <x:v>Ground Validation</x:v>
      </x:c>
      <x:c r="F738" t="str">
        <x:v>HD Seaviewer Drop Camera</x:v>
      </x:c>
      <x:c r="G738" t="str">
        <x:v>GV2016_080</x:v>
      </x:c>
      <x:c r="H738" s="28" t="n">
        <x:v>42625</x:v>
      </x:c>
      <x:c r="I738" t="str">
        <x:v>12:30:29</x:v>
      </x:c>
      <x:c r="J738" t="n">
        <x:v>2016</x:v>
      </x:c>
      <x:c r="K738" t="n">
        <x:v>18.23126196</x:v>
      </x:c>
      <x:c r="L738" t="n">
        <x:v>-64.68699192</x:v>
      </x:c>
      <x:c r="M738" t="n">
        <x:v>53.986</x:v>
      </x:c>
      <x:c r="N738" t="str">
        <x:v>https://nccospublicstor.blob.core.windows.net/biomapper/usviinsularshelf2017/videos/low/GV2016_080.mp4</x:v>
      </x:c>
      <x:c r="O738" t="n">
        <x:v>0</x:v>
      </x:c>
      <x:c r="P738" t="n">
        <x:v>0</x:v>
      </x:c>
      <x:c r="Q738" t="n">
        <x:v>1</x:v>
      </x:c>
      <x:c r="R738" t="n">
        <x:v>0</x:v>
      </x:c>
      <x:c r="S738" t="n">
        <x:v>1</x:v>
      </x:c>
      <x:c r="T738" t="n">
        <x:v>0</x:v>
      </x:c>
      <x:c r="U738" t="n">
        <x:v>1</x:v>
      </x:c>
      <x:c r="V738" t="n">
        <x:v>1</x:v>
      </x:c>
      <x:c r="W738" t="n">
        <x:v>0</x:v>
      </x:c>
      <x:c r="X738" t="n">
        <x:v>0</x:v>
      </x:c>
      <x:c r="Y738" t="n">
        <x:v>0</x:v>
      </x:c>
      <x:c r="Z738" t="n">
        <x:v>1</x:v>
      </x:c>
      <x:c r="AA738" t="n">
        <x:v>3</x:v>
      </x:c>
      <x:c r="AB738" t="str">
        <x:v>Pass</x:v>
      </x:c>
      <x:c r="AC738" t="str"/>
      <x:c r="AD738" t="str"/>
    </x:row>
    <x:row r="739">
      <x:c r="A739" t="str">
        <x:v>REC0738</x:v>
      </x:c>
      <x:c r="B739" t="n">
        <x:v>737</x:v>
      </x:c>
      <x:c r="C739" t="str">
        <x:v>Puerto Rico</x:v>
      </x:c>
      <x:c r="D739" t="str">
        <x:v>GV</x:v>
      </x:c>
      <x:c r="E739" t="str">
        <x:v>Ground Validation</x:v>
      </x:c>
      <x:c r="F739" t="str">
        <x:v>HD Seaviewer Drop Camera</x:v>
      </x:c>
      <x:c r="G739" t="str">
        <x:v>GV2016_081</x:v>
      </x:c>
      <x:c r="H739" s="28" t="n">
        <x:v>42604</x:v>
      </x:c>
      <x:c r="I739" t="str">
        <x:v>08:59:57</x:v>
      </x:c>
      <x:c r="J739" t="n">
        <x:v>2016</x:v>
      </x:c>
      <x:c r="K739" t="n">
        <x:v>18.16525182</x:v>
      </x:c>
      <x:c r="L739" t="n">
        <x:v>-65.23450739</x:v>
      </x:c>
      <x:c r="M739" t="n">
        <x:v>37.8</x:v>
      </x:c>
      <x:c r="N739" t="str">
        <x:v>https://nccospublicstor.blob.core.windows.net/biomapper/usviinsularshelf2017/videos/low/GV2016_081.mp4</x:v>
      </x:c>
      <x:c r="O739" t="n">
        <x:v>1</x:v>
      </x:c>
      <x:c r="P739" t="n">
        <x:v>0</x:v>
      </x:c>
      <x:c r="Q739" t="n">
        <x:v>0</x:v>
      </x:c>
      <x:c r="R739" t="n">
        <x:v>1</x:v>
      </x:c>
      <x:c r="S739" t="n">
        <x:v>1</x:v>
      </x:c>
      <x:c r="T739" t="n">
        <x:v>0</x:v>
      </x:c>
      <x:c r="U739" t="n">
        <x:v>1</x:v>
      </x:c>
      <x:c r="V739" t="n">
        <x:v>1</x:v>
      </x:c>
      <x:c r="W739" t="n">
        <x:v>0</x:v>
      </x:c>
      <x:c r="X739" t="n">
        <x:v>0</x:v>
      </x:c>
      <x:c r="Y739" t="n">
        <x:v>0</x:v>
      </x:c>
      <x:c r="Z739" t="n">
        <x:v>2</x:v>
      </x:c>
      <x:c r="AA739" t="n">
        <x:v>3</x:v>
      </x:c>
      <x:c r="AB739" t="str">
        <x:v>Pass</x:v>
      </x:c>
      <x:c r="AC739" t="str"/>
      <x:c r="AD739" t="str"/>
    </x:row>
    <x:row r="740">
      <x:c r="A740" t="str">
        <x:v>REC0739</x:v>
      </x:c>
      <x:c r="B740" t="n">
        <x:v>738</x:v>
      </x:c>
      <x:c r="C740" t="str">
        <x:v>Puerto Rico</x:v>
      </x:c>
      <x:c r="D740" t="str">
        <x:v>GV</x:v>
      </x:c>
      <x:c r="E740" t="str">
        <x:v>Ground Validation</x:v>
      </x:c>
      <x:c r="F740" t="str">
        <x:v>HD Seaviewer Drop Camera</x:v>
      </x:c>
      <x:c r="G740" t="str">
        <x:v>GV2016_082</x:v>
      </x:c>
      <x:c r="H740" s="28" t="n">
        <x:v>42603</x:v>
      </x:c>
      <x:c r="I740" t="str">
        <x:v>08:47:10</x:v>
      </x:c>
      <x:c r="J740" t="n">
        <x:v>2016</x:v>
      </x:c>
      <x:c r="K740" t="n">
        <x:v>18.14608853</x:v>
      </x:c>
      <x:c r="L740" t="n">
        <x:v>-65.19350544</x:v>
      </x:c>
      <x:c r="M740" t="n">
        <x:v>37.34</x:v>
      </x:c>
      <x:c r="N740" t="str">
        <x:v>https://nccospublicstor.blob.core.windows.net/biomapper/usviinsularshelf2017/videos/low/GV2016_082.mp4</x:v>
      </x:c>
      <x:c r="O740" t="n">
        <x:v>1</x:v>
      </x:c>
      <x:c r="P740" t="n">
        <x:v>0</x:v>
      </x:c>
      <x:c r="Q740" t="n">
        <x:v>0</x:v>
      </x:c>
      <x:c r="R740" t="n">
        <x:v>0</x:v>
      </x:c>
      <x:c r="S740" t="n">
        <x:v>1</x:v>
      </x:c>
      <x:c r="T740" t="n">
        <x:v>1</x:v>
      </x:c>
      <x:c r="U740" t="n">
        <x:v>1</x:v>
      </x:c>
      <x:c r="V740" t="n">
        <x:v>1</x:v>
      </x:c>
      <x:c r="W740" t="n">
        <x:v>0</x:v>
      </x:c>
      <x:c r="X740" t="n">
        <x:v>0</x:v>
      </x:c>
      <x:c r="Y740" t="n">
        <x:v>0</x:v>
      </x:c>
      <x:c r="Z740" t="n">
        <x:v>1</x:v>
      </x:c>
      <x:c r="AA740" t="n">
        <x:v>4</x:v>
      </x:c>
      <x:c r="AB740" t="str">
        <x:v>Pass</x:v>
      </x:c>
      <x:c r="AC740" t="str"/>
      <x:c r="AD740" t="str">
        <x:v>Coral Bleaching</x:v>
      </x:c>
    </x:row>
    <x:row r="741">
      <x:c r="A741" t="str">
        <x:v>REC0740</x:v>
      </x:c>
      <x:c r="B741" t="n">
        <x:v>739</x:v>
      </x:c>
      <x:c r="C741" t="str">
        <x:v>Puerto Rico</x:v>
      </x:c>
      <x:c r="D741" t="str">
        <x:v>GV</x:v>
      </x:c>
      <x:c r="E741" t="str">
        <x:v>Ground Validation</x:v>
      </x:c>
      <x:c r="F741" t="str">
        <x:v>HD Seaviewer Drop Camera</x:v>
      </x:c>
      <x:c r="G741" t="str">
        <x:v>GV2016_084</x:v>
      </x:c>
      <x:c r="H741" s="28" t="n">
        <x:v>42604</x:v>
      </x:c>
      <x:c r="I741" t="str">
        <x:v>10:23:34</x:v>
      </x:c>
      <x:c r="J741" t="n">
        <x:v>2016</x:v>
      </x:c>
      <x:c r="K741" t="n">
        <x:v>18.18101834</x:v>
      </x:c>
      <x:c r="L741" t="n">
        <x:v>-65.19725164</x:v>
      </x:c>
      <x:c r="M741" t="n">
        <x:v>38.723</x:v>
      </x:c>
      <x:c r="N741" t="str">
        <x:v>https://nccospublicstor.blob.core.windows.net/biomapper/usviinsularshelf2017/videos/low/GV2016_084.mp4</x:v>
      </x:c>
      <x:c r="O741" t="n">
        <x:v>1</x:v>
      </x:c>
      <x:c r="P741" t="n">
        <x:v>0</x:v>
      </x:c>
      <x:c r="Q741" t="n">
        <x:v>0</x:v>
      </x:c>
      <x:c r="R741" t="n">
        <x:v>0</x:v>
      </x:c>
      <x:c r="S741" t="n">
        <x:v>1</x:v>
      </x:c>
      <x:c r="T741" t="n">
        <x:v>1</x:v>
      </x:c>
      <x:c r="U741" t="n">
        <x:v>1</x:v>
      </x:c>
      <x:c r="V741" t="n">
        <x:v>1</x:v>
      </x:c>
      <x:c r="W741" t="n">
        <x:v>0</x:v>
      </x:c>
      <x:c r="X741" t="n">
        <x:v>0</x:v>
      </x:c>
      <x:c r="Y741" t="n">
        <x:v>0</x:v>
      </x:c>
      <x:c r="Z741" t="n">
        <x:v>1</x:v>
      </x:c>
      <x:c r="AA741" t="n">
        <x:v>4</x:v>
      </x:c>
      <x:c r="AB741" t="str">
        <x:v>Pass</x:v>
      </x:c>
      <x:c r="AC741" t="str"/>
      <x:c r="AD741" t="str">
        <x:v>Some coral colonies with coral bleaching</x:v>
      </x:c>
    </x:row>
    <x:row r="742">
      <x:c r="A742" t="str">
        <x:v>REC0741</x:v>
      </x:c>
      <x:c r="B742" t="n">
        <x:v>740</x:v>
      </x:c>
      <x:c r="C742" t="str">
        <x:v>St. Thomas, USVI</x:v>
      </x:c>
      <x:c r="D742" t="str">
        <x:v>GV</x:v>
      </x:c>
      <x:c r="E742" t="str">
        <x:v>Ground Validation</x:v>
      </x:c>
      <x:c r="F742" t="str">
        <x:v>HD Seaviewer Drop Camera</x:v>
      </x:c>
      <x:c r="G742" t="str">
        <x:v>GV2016_085</x:v>
      </x:c>
      <x:c r="H742" s="28" t="n">
        <x:v>42611</x:v>
      </x:c>
      <x:c r="I742" t="str">
        <x:v>11:00:38</x:v>
      </x:c>
      <x:c r="J742" t="n">
        <x:v>2016</x:v>
      </x:c>
      <x:c r="K742" t="n">
        <x:v>18.23622751</x:v>
      </x:c>
      <x:c r="L742" t="n">
        <x:v>-64.88971962</x:v>
      </x:c>
      <x:c r="M742" t="n">
        <x:v>42.061</x:v>
      </x:c>
      <x:c r="N742" t="str">
        <x:v>https://nccospublicstor.blob.core.windows.net/biomapper/usviinsularshelf2017/videos/low/GV2016_085.mp4</x:v>
      </x:c>
      <x:c r="O742" t="n">
        <x:v>0</x:v>
      </x:c>
      <x:c r="P742" t="n">
        <x:v>0</x:v>
      </x:c>
      <x:c r="Q742" t="n">
        <x:v>1</x:v>
      </x:c>
      <x:c r="R742" t="n">
        <x:v>1</x:v>
      </x:c>
      <x:c r="S742" t="n">
        <x:v>0</x:v>
      </x:c>
      <x:c r="T742" t="n">
        <x:v>0</x:v>
      </x:c>
      <x:c r="U742" t="n">
        <x:v>1</x:v>
      </x:c>
      <x:c r="V742" t="n">
        <x:v>1</x:v>
      </x:c>
      <x:c r="W742" t="n">
        <x:v>0</x:v>
      </x:c>
      <x:c r="X742" t="n">
        <x:v>0</x:v>
      </x:c>
      <x:c r="Y742" t="n">
        <x:v>0</x:v>
      </x:c>
      <x:c r="Z742" t="n">
        <x:v>2</x:v>
      </x:c>
      <x:c r="AA742" t="n">
        <x:v>2</x:v>
      </x:c>
      <x:c r="AB742" t="str">
        <x:v>Pass</x:v>
      </x:c>
      <x:c r="AC742" t="str"/>
      <x:c r="AD742" t="str"/>
    </x:row>
    <x:row r="743">
      <x:c r="A743" t="str">
        <x:v>REC0742</x:v>
      </x:c>
      <x:c r="B743" t="n">
        <x:v>741</x:v>
      </x:c>
      <x:c r="C743" t="str">
        <x:v>St. John, USVI</x:v>
      </x:c>
      <x:c r="D743" t="str">
        <x:v>GV</x:v>
      </x:c>
      <x:c r="E743" t="str">
        <x:v>Ground Validation</x:v>
      </x:c>
      <x:c r="F743" t="str">
        <x:v>HD Seaviewer Drop Camera</x:v>
      </x:c>
      <x:c r="G743" t="str">
        <x:v>GV2016_086</x:v>
      </x:c>
      <x:c r="H743" s="28" t="n">
        <x:v>42626</x:v>
      </x:c>
      <x:c r="I743" t="str">
        <x:v>13:18:31</x:v>
      </x:c>
      <x:c r="J743" t="n">
        <x:v>2016</x:v>
      </x:c>
      <x:c r="K743" t="n">
        <x:v>18.23508224</x:v>
      </x:c>
      <x:c r="L743" t="n">
        <x:v>-64.8114072</x:v>
      </x:c>
      <x:c r="M743" t="n">
        <x:v>49.275</x:v>
      </x:c>
      <x:c r="N743" t="str">
        <x:v>https://nccospublicstor.blob.core.windows.net/biomapper/usviinsularshelf2017/videos/low/GV2016_086.mp4</x:v>
      </x:c>
      <x:c r="O743" t="n">
        <x:v>0</x:v>
      </x:c>
      <x:c r="P743" t="n">
        <x:v>0</x:v>
      </x:c>
      <x:c r="Q743" t="n">
        <x:v>1</x:v>
      </x:c>
      <x:c r="R743" t="n">
        <x:v>0</x:v>
      </x:c>
      <x:c r="S743" t="n">
        <x:v>0</x:v>
      </x:c>
      <x:c r="T743" t="n">
        <x:v>0</x:v>
      </x:c>
      <x:c r="U743" t="n">
        <x:v>1</x:v>
      </x:c>
      <x:c r="V743" t="n">
        <x:v>1</x:v>
      </x:c>
      <x:c r="W743" t="n">
        <x:v>0</x:v>
      </x:c>
      <x:c r="X743" t="n">
        <x:v>0</x:v>
      </x:c>
      <x:c r="Y743" t="n">
        <x:v>0</x:v>
      </x:c>
      <x:c r="Z743" t="n">
        <x:v>1</x:v>
      </x:c>
      <x:c r="AA743" t="n">
        <x:v>2</x:v>
      </x:c>
      <x:c r="AB743" t="str">
        <x:v>Pass</x:v>
      </x:c>
      <x:c r="AC743" t="str"/>
      <x:c r="AD743" t="str"/>
    </x:row>
    <x:row r="744">
      <x:c r="A744" t="str">
        <x:v>REC0743</x:v>
      </x:c>
      <x:c r="B744" t="n">
        <x:v>742</x:v>
      </x:c>
      <x:c r="C744" t="str">
        <x:v>St. Thomas, USVI</x:v>
      </x:c>
      <x:c r="D744" t="str">
        <x:v>GV</x:v>
      </x:c>
      <x:c r="E744" t="str">
        <x:v>Ground Validation</x:v>
      </x:c>
      <x:c r="F744" t="str">
        <x:v>HD Seaviewer Drop Camera</x:v>
      </x:c>
      <x:c r="G744" t="str">
        <x:v>GV2016_087</x:v>
      </x:c>
      <x:c r="H744" s="28" t="n">
        <x:v>42610</x:v>
      </x:c>
      <x:c r="I744" t="str">
        <x:v>10:00:11</x:v>
      </x:c>
      <x:c r="J744" t="n">
        <x:v>2016</x:v>
      </x:c>
      <x:c r="K744" t="n">
        <x:v>18.18027606</x:v>
      </x:c>
      <x:c r="L744" t="n">
        <x:v>-64.89724075</x:v>
      </x:c>
      <x:c r="M744" t="n">
        <x:v>52.895</x:v>
      </x:c>
      <x:c r="N744" t="str">
        <x:v>https://nccospublicstor.blob.core.windows.net/biomapper/usviinsularshelf2017/videos/low/GV2016_087.mp4</x:v>
      </x:c>
      <x:c r="O744" t="n">
        <x:v>0</x:v>
      </x:c>
      <x:c r="P744" t="n">
        <x:v>0</x:v>
      </x:c>
      <x:c r="Q744" t="n">
        <x:v>1</x:v>
      </x:c>
      <x:c r="R744" t="n">
        <x:v>0</x:v>
      </x:c>
      <x:c r="S744" t="n">
        <x:v>1</x:v>
      </x:c>
      <x:c r="T744" t="n">
        <x:v>0</x:v>
      </x:c>
      <x:c r="U744" t="n">
        <x:v>1</x:v>
      </x:c>
      <x:c r="V744" t="n">
        <x:v>1</x:v>
      </x:c>
      <x:c r="W744" t="n">
        <x:v>0</x:v>
      </x:c>
      <x:c r="X744" t="n">
        <x:v>0</x:v>
      </x:c>
      <x:c r="Y744" t="n">
        <x:v>0</x:v>
      </x:c>
      <x:c r="Z744" t="n">
        <x:v>1</x:v>
      </x:c>
      <x:c r="AA744" t="n">
        <x:v>3</x:v>
      </x:c>
      <x:c r="AB744" t="str">
        <x:v>Pass</x:v>
      </x:c>
      <x:c r="AC744" t="str"/>
      <x:c r="AD744" t="str"/>
    </x:row>
    <x:row r="745">
      <x:c r="A745" t="str">
        <x:v>REC0744</x:v>
      </x:c>
      <x:c r="B745" t="n">
        <x:v>743</x:v>
      </x:c>
      <x:c r="C745" t="str">
        <x:v>St. Thomas, USVI</x:v>
      </x:c>
      <x:c r="D745" t="str">
        <x:v>GV</x:v>
      </x:c>
      <x:c r="E745" t="str">
        <x:v>Ground Validation</x:v>
      </x:c>
      <x:c r="F745" t="str">
        <x:v>HD Seaviewer Drop Camera</x:v>
      </x:c>
      <x:c r="G745" t="str">
        <x:v>GV2016_088</x:v>
      </x:c>
      <x:c r="H745" s="28" t="n">
        <x:v>42608</x:v>
      </x:c>
      <x:c r="I745" t="str">
        <x:v>12:25:27</x:v>
      </x:c>
      <x:c r="J745" t="n">
        <x:v>2016</x:v>
      </x:c>
      <x:c r="K745" t="n">
        <x:v>18.21907692</x:v>
      </x:c>
      <x:c r="L745" t="n">
        <x:v>-65.0384688</x:v>
      </x:c>
      <x:c r="M745" t="n">
        <x:v>41.54</x:v>
      </x:c>
      <x:c r="N745" t="str">
        <x:v>https://nccospublicstor.blob.core.windows.net/biomapper/usviinsularshelf2017/videos/low/GV2016_088.mp4</x:v>
      </x:c>
      <x:c r="O745" t="n">
        <x:v>0</x:v>
      </x:c>
      <x:c r="P745" t="n">
        <x:v>0</x:v>
      </x:c>
      <x:c r="Q745" t="n">
        <x:v>1</x:v>
      </x:c>
      <x:c r="R745" t="n">
        <x:v>1</x:v>
      </x:c>
      <x:c r="S745" t="n">
        <x:v>0</x:v>
      </x:c>
      <x:c r="T745" t="n">
        <x:v>0</x:v>
      </x:c>
      <x:c r="U745" t="n">
        <x:v>1</x:v>
      </x:c>
      <x:c r="V745" t="n">
        <x:v>1</x:v>
      </x:c>
      <x:c r="W745" t="n">
        <x:v>0</x:v>
      </x:c>
      <x:c r="X745" t="n">
        <x:v>0</x:v>
      </x:c>
      <x:c r="Y745" t="n">
        <x:v>0</x:v>
      </x:c>
      <x:c r="Z745" t="n">
        <x:v>2</x:v>
      </x:c>
      <x:c r="AA745" t="n">
        <x:v>2</x:v>
      </x:c>
      <x:c r="AB745" t="str">
        <x:v>Pass</x:v>
      </x:c>
      <x:c r="AC745" t="str"/>
      <x:c r="AD745" t="str"/>
    </x:row>
    <x:row r="746">
      <x:c r="A746" t="str">
        <x:v>REC0745</x:v>
      </x:c>
      <x:c r="B746" t="n">
        <x:v>744</x:v>
      </x:c>
      <x:c r="C746" t="str">
        <x:v>St. Thomas, USVI</x:v>
      </x:c>
      <x:c r="D746" t="str">
        <x:v>GV</x:v>
      </x:c>
      <x:c r="E746" t="str">
        <x:v>Ground Validation</x:v>
      </x:c>
      <x:c r="F746" t="str">
        <x:v>HD Seaviewer Drop Camera</x:v>
      </x:c>
      <x:c r="G746" t="str">
        <x:v>GV2016_090</x:v>
      </x:c>
      <x:c r="H746" s="28" t="n">
        <x:v>42608</x:v>
      </x:c>
      <x:c r="I746" t="str">
        <x:v>10:38:41</x:v>
      </x:c>
      <x:c r="J746" t="n">
        <x:v>2016</x:v>
      </x:c>
      <x:c r="K746" t="n">
        <x:v>18.20265556</x:v>
      </x:c>
      <x:c r="L746" t="n">
        <x:v>-64.99690706</x:v>
      </x:c>
      <x:c r="M746" t="n">
        <x:v>42.748</x:v>
      </x:c>
      <x:c r="N746" t="str">
        <x:v>https://nccospublicstor.blob.core.windows.net/biomapper/usviinsularshelf2017/videos/low/GV2016_090.mp4</x:v>
      </x:c>
      <x:c r="O746" t="n">
        <x:v>0</x:v>
      </x:c>
      <x:c r="P746" t="n">
        <x:v>1</x:v>
      </x:c>
      <x:c r="Q746" t="n">
        <x:v>1</x:v>
      </x:c>
      <x:c r="R746" t="n">
        <x:v>1</x:v>
      </x:c>
      <x:c r="S746" t="n">
        <x:v>1</x:v>
      </x:c>
      <x:c r="T746" t="n">
        <x:v>0</x:v>
      </x:c>
      <x:c r="U746" t="n">
        <x:v>1</x:v>
      </x:c>
      <x:c r="V746" t="n">
        <x:v>1</x:v>
      </x:c>
      <x:c r="W746" t="n">
        <x:v>0</x:v>
      </x:c>
      <x:c r="X746" t="n">
        <x:v>0</x:v>
      </x:c>
      <x:c r="Y746" t="n">
        <x:v>0</x:v>
      </x:c>
      <x:c r="Z746" t="n">
        <x:v>3</x:v>
      </x:c>
      <x:c r="AA746" t="n">
        <x:v>3</x:v>
      </x:c>
      <x:c r="AB746" t="str">
        <x:v>Pass</x:v>
      </x:c>
      <x:c r="AC746" t="str"/>
      <x:c r="AD746" t="str"/>
    </x:row>
    <x:row r="747">
      <x:c r="A747" t="str">
        <x:v>REC0746</x:v>
      </x:c>
      <x:c r="B747" t="n">
        <x:v>745</x:v>
      </x:c>
      <x:c r="C747" t="str">
        <x:v>St. John, USVI</x:v>
      </x:c>
      <x:c r="D747" t="str">
        <x:v>GV</x:v>
      </x:c>
      <x:c r="E747" t="str">
        <x:v>Ground Validation</x:v>
      </x:c>
      <x:c r="F747" t="str">
        <x:v>HD Seaviewer Drop Camera</x:v>
      </x:c>
      <x:c r="G747" t="str">
        <x:v>GV2016_091</x:v>
      </x:c>
      <x:c r="H747" s="28" t="n">
        <x:v>42630</x:v>
      </x:c>
      <x:c r="I747" t="str">
        <x:v>07:12:44</x:v>
      </x:c>
      <x:c r="J747" t="n">
        <x:v>2016</x:v>
      </x:c>
      <x:c r="K747" t="n">
        <x:v>18.25918185</x:v>
      </x:c>
      <x:c r="L747" t="n">
        <x:v>-64.76129701</x:v>
      </x:c>
      <x:c r="M747" t="n">
        <x:v>45.222</x:v>
      </x:c>
      <x:c r="N747" t="str">
        <x:v>https://nccospublicstor.blob.core.windows.net/biomapper/usviinsularshelf2017/videos/low/GV2016_091.mp4</x:v>
      </x:c>
      <x:c r="O747" t="n">
        <x:v>0</x:v>
      </x:c>
      <x:c r="P747" t="n">
        <x:v>0</x:v>
      </x:c>
      <x:c r="Q747" t="n">
        <x:v>1</x:v>
      </x:c>
      <x:c r="R747" t="n">
        <x:v>0</x:v>
      </x:c>
      <x:c r="S747" t="n">
        <x:v>0</x:v>
      </x:c>
      <x:c r="T747" t="n">
        <x:v>0</x:v>
      </x:c>
      <x:c r="U747" t="n">
        <x:v>1</x:v>
      </x:c>
      <x:c r="V747" t="n">
        <x:v>1</x:v>
      </x:c>
      <x:c r="W747" t="n">
        <x:v>0</x:v>
      </x:c>
      <x:c r="X747" t="n">
        <x:v>0</x:v>
      </x:c>
      <x:c r="Y747" t="n">
        <x:v>0</x:v>
      </x:c>
      <x:c r="Z747" t="n">
        <x:v>1</x:v>
      </x:c>
      <x:c r="AA747" t="n">
        <x:v>2</x:v>
      </x:c>
      <x:c r="AB747" t="str">
        <x:v>Pass</x:v>
      </x:c>
      <x:c r="AC747" t="str"/>
      <x:c r="AD747" t="str"/>
    </x:row>
    <x:row r="748">
      <x:c r="A748" t="str">
        <x:v>REC0747</x:v>
      </x:c>
      <x:c r="B748" t="n">
        <x:v>746</x:v>
      </x:c>
      <x:c r="C748" t="str">
        <x:v>St. John, USVI</x:v>
      </x:c>
      <x:c r="D748" t="str">
        <x:v>GV</x:v>
      </x:c>
      <x:c r="E748" t="str">
        <x:v>Ground Validation</x:v>
      </x:c>
      <x:c r="F748" t="str">
        <x:v>HD Seaviewer Drop Camera</x:v>
      </x:c>
      <x:c r="G748" t="str">
        <x:v>GV2016_092</x:v>
      </x:c>
      <x:c r="H748" s="28" t="n">
        <x:v>42630</x:v>
      </x:c>
      <x:c r="I748" t="str">
        <x:v>11:02:24</x:v>
      </x:c>
      <x:c r="J748" t="n">
        <x:v>2016</x:v>
      </x:c>
      <x:c r="K748" t="n">
        <x:v>18.20623883</x:v>
      </x:c>
      <x:c r="L748" t="n">
        <x:v>-64.73969352</x:v>
      </x:c>
      <x:c r="M748" t="n">
        <x:v>52.59</x:v>
      </x:c>
      <x:c r="N748" t="str">
        <x:v>https://nccospublicstor.blob.core.windows.net/biomapper/usviinsularshelf2017/videos/low/GV2016_092.mp4</x:v>
      </x:c>
      <x:c r="O748" t="n">
        <x:v>0</x:v>
      </x:c>
      <x:c r="P748" t="n">
        <x:v>1</x:v>
      </x:c>
      <x:c r="Q748" t="n">
        <x:v>1</x:v>
      </x:c>
      <x:c r="R748" t="n">
        <x:v>0</x:v>
      </x:c>
      <x:c r="S748" t="n">
        <x:v>1</x:v>
      </x:c>
      <x:c r="T748" t="n">
        <x:v>0</x:v>
      </x:c>
      <x:c r="U748" t="n">
        <x:v>1</x:v>
      </x:c>
      <x:c r="V748" t="n">
        <x:v>1</x:v>
      </x:c>
      <x:c r="W748" t="n">
        <x:v>0</x:v>
      </x:c>
      <x:c r="X748" t="n">
        <x:v>0</x:v>
      </x:c>
      <x:c r="Y748" t="n">
        <x:v>0</x:v>
      </x:c>
      <x:c r="Z748" t="n">
        <x:v>2</x:v>
      </x:c>
      <x:c r="AA748" t="n">
        <x:v>3</x:v>
      </x:c>
      <x:c r="AB748" t="str">
        <x:v>Pass</x:v>
      </x:c>
      <x:c r="AC748" t="str"/>
      <x:c r="AD748" t="str"/>
    </x:row>
    <x:row r="749">
      <x:c r="A749" t="str">
        <x:v>REC0748</x:v>
      </x:c>
      <x:c r="B749" t="n">
        <x:v>747</x:v>
      </x:c>
      <x:c r="C749" t="str">
        <x:v>Puerto Rico</x:v>
      </x:c>
      <x:c r="D749" t="str">
        <x:v>GV</x:v>
      </x:c>
      <x:c r="E749" t="str">
        <x:v>Ground Validation</x:v>
      </x:c>
      <x:c r="F749" t="str">
        <x:v>HD Seaviewer Drop Camera</x:v>
      </x:c>
      <x:c r="G749" t="str">
        <x:v>GV2016_094</x:v>
      </x:c>
      <x:c r="H749" s="28" t="n">
        <x:v>42605</x:v>
      </x:c>
      <x:c r="I749" t="str">
        <x:v>13:31:40</x:v>
      </x:c>
      <x:c r="J749" t="n">
        <x:v>2016</x:v>
      </x:c>
      <x:c r="K749" t="n">
        <x:v>18.18374434</x:v>
      </x:c>
      <x:c r="L749" t="n">
        <x:v>-65.17260417</x:v>
      </x:c>
      <x:c r="M749" t="n">
        <x:v>37.854</x:v>
      </x:c>
      <x:c r="N749" t="str">
        <x:v>https://nccospublicstor.blob.core.windows.net/biomapper/usviinsularshelf2017/videos/low/GV2016_094.mp4</x:v>
      </x:c>
      <x:c r="O749" t="n">
        <x:v>1</x:v>
      </x:c>
      <x:c r="P749" t="n">
        <x:v>0</x:v>
      </x:c>
      <x:c r="Q749" t="n">
        <x:v>0</x:v>
      </x:c>
      <x:c r="R749" t="n">
        <x:v>0</x:v>
      </x:c>
      <x:c r="S749" t="n">
        <x:v>1</x:v>
      </x:c>
      <x:c r="T749" t="n">
        <x:v>0</x:v>
      </x:c>
      <x:c r="U749" t="n">
        <x:v>1</x:v>
      </x:c>
      <x:c r="V749" t="n">
        <x:v>1</x:v>
      </x:c>
      <x:c r="W749" t="n">
        <x:v>0</x:v>
      </x:c>
      <x:c r="X749" t="n">
        <x:v>0</x:v>
      </x:c>
      <x:c r="Y749" t="n">
        <x:v>0</x:v>
      </x:c>
      <x:c r="Z749" t="n">
        <x:v>1</x:v>
      </x:c>
      <x:c r="AA749" t="n">
        <x:v>3</x:v>
      </x:c>
      <x:c r="AB749" t="str">
        <x:v>Pass</x:v>
      </x:c>
      <x:c r="AC749" t="str"/>
      <x:c r="AD749" t="str"/>
    </x:row>
    <x:row r="750">
      <x:c r="A750" t="str">
        <x:v>REC0749</x:v>
      </x:c>
      <x:c r="B750" t="n">
        <x:v>748</x:v>
      </x:c>
      <x:c r="C750" t="str">
        <x:v>St. Thomas, USVI</x:v>
      </x:c>
      <x:c r="D750" t="str">
        <x:v>GV</x:v>
      </x:c>
      <x:c r="E750" t="str">
        <x:v>Ground Validation</x:v>
      </x:c>
      <x:c r="F750" t="str">
        <x:v>HD Seaviewer Drop Camera</x:v>
      </x:c>
      <x:c r="G750" t="str">
        <x:v>GV2016_095</x:v>
      </x:c>
      <x:c r="H750" s="28" t="n">
        <x:v>42611</x:v>
      </x:c>
      <x:c r="I750" t="str">
        <x:v>13:16:56</x:v>
      </x:c>
      <x:c r="J750" t="n">
        <x:v>2016</x:v>
      </x:c>
      <x:c r="K750" t="n">
        <x:v>18.22474109</x:v>
      </x:c>
      <x:c r="L750" t="n">
        <x:v>-64.94800457</x:v>
      </x:c>
      <x:c r="M750" t="n">
        <x:v>43.397</x:v>
      </x:c>
      <x:c r="N750" t="str">
        <x:v>https://nccospublicstor.blob.core.windows.net/biomapper/usviinsularshelf2017/videos/low/GV2016_095.mp4</x:v>
      </x:c>
      <x:c r="O750" t="n">
        <x:v>0</x:v>
      </x:c>
      <x:c r="P750" t="n">
        <x:v>0</x:v>
      </x:c>
      <x:c r="Q750" t="n">
        <x:v>1</x:v>
      </x:c>
      <x:c r="R750" t="n">
        <x:v>0</x:v>
      </x:c>
      <x:c r="S750" t="n">
        <x:v>1</x:v>
      </x:c>
      <x:c r="T750" t="n">
        <x:v>0</x:v>
      </x:c>
      <x:c r="U750" t="n">
        <x:v>1</x:v>
      </x:c>
      <x:c r="V750" t="n">
        <x:v>1</x:v>
      </x:c>
      <x:c r="W750" t="n">
        <x:v>0</x:v>
      </x:c>
      <x:c r="X750" t="n">
        <x:v>0</x:v>
      </x:c>
      <x:c r="Y750" t="n">
        <x:v>0</x:v>
      </x:c>
      <x:c r="Z750" t="n">
        <x:v>1</x:v>
      </x:c>
      <x:c r="AA750" t="n">
        <x:v>3</x:v>
      </x:c>
      <x:c r="AB750" t="str">
        <x:v>Pass</x:v>
      </x:c>
      <x:c r="AC750" t="str"/>
      <x:c r="AD750" t="str"/>
    </x:row>
    <x:row r="751">
      <x:c r="A751" t="str">
        <x:v>REC0750</x:v>
      </x:c>
      <x:c r="B751" t="n">
        <x:v>749</x:v>
      </x:c>
      <x:c r="C751" t="str">
        <x:v>St. Thomas, USVI</x:v>
      </x:c>
      <x:c r="D751" t="str">
        <x:v>GV</x:v>
      </x:c>
      <x:c r="E751" t="str">
        <x:v>Ground Validation</x:v>
      </x:c>
      <x:c r="F751" t="str">
        <x:v>HD Seaviewer Drop Camera</x:v>
      </x:c>
      <x:c r="G751" t="str">
        <x:v>GV2016_097</x:v>
      </x:c>
      <x:c r="H751" s="28" t="n">
        <x:v>42607</x:v>
      </x:c>
      <x:c r="I751" t="str">
        <x:v>11:38:11</x:v>
      </x:c>
      <x:c r="J751" t="n">
        <x:v>2016</x:v>
      </x:c>
      <x:c r="K751" t="n">
        <x:v>18.22205067</x:v>
      </x:c>
      <x:c r="L751" t="n">
        <x:v>-65.12939207</x:v>
      </x:c>
      <x:c r="M751" t="n">
        <x:v>35.842</x:v>
      </x:c>
      <x:c r="N751" t="str">
        <x:v>https://nccospublicstor.blob.core.windows.net/biomapper/usviinsularshelf2017/videos/low/GV2016_097.mp4</x:v>
      </x:c>
      <x:c r="O751" t="n">
        <x:v>1</x:v>
      </x:c>
      <x:c r="P751" t="n">
        <x:v>0</x:v>
      </x:c>
      <x:c r="Q751" t="n">
        <x:v>0</x:v>
      </x:c>
      <x:c r="R751" t="n">
        <x:v>1</x:v>
      </x:c>
      <x:c r="S751" t="n">
        <x:v>1</x:v>
      </x:c>
      <x:c r="T751" t="n">
        <x:v>0</x:v>
      </x:c>
      <x:c r="U751" t="n">
        <x:v>1</x:v>
      </x:c>
      <x:c r="V751" t="n">
        <x:v>1</x:v>
      </x:c>
      <x:c r="W751" t="n">
        <x:v>0</x:v>
      </x:c>
      <x:c r="X751" t="n">
        <x:v>0</x:v>
      </x:c>
      <x:c r="Y751" t="n">
        <x:v>0</x:v>
      </x:c>
      <x:c r="Z751" t="n">
        <x:v>2</x:v>
      </x:c>
      <x:c r="AA751" t="n">
        <x:v>3</x:v>
      </x:c>
      <x:c r="AB751" t="str">
        <x:v>Pass</x:v>
      </x:c>
      <x:c r="AC751" t="str"/>
      <x:c r="AD751" t="str"/>
    </x:row>
    <x:row r="752">
      <x:c r="A752" t="str">
        <x:v>REC0751</x:v>
      </x:c>
      <x:c r="B752" t="n">
        <x:v>750</x:v>
      </x:c>
      <x:c r="C752" t="str">
        <x:v>St. Thomas, USVI</x:v>
      </x:c>
      <x:c r="D752" t="str">
        <x:v>GV</x:v>
      </x:c>
      <x:c r="E752" t="str">
        <x:v>Ground Validation</x:v>
      </x:c>
      <x:c r="F752" t="str">
        <x:v>HD Seaviewer Drop Camera</x:v>
      </x:c>
      <x:c r="G752" t="str">
        <x:v>GV2016_098</x:v>
      </x:c>
      <x:c r="H752" s="28" t="n">
        <x:v>42611</x:v>
      </x:c>
      <x:c r="I752" t="str">
        <x:v>13:05:57</x:v>
      </x:c>
      <x:c r="J752" t="n">
        <x:v>2016</x:v>
      </x:c>
      <x:c r="K752" t="n">
        <x:v>18.2292157</x:v>
      </x:c>
      <x:c r="L752" t="n">
        <x:v>-64.94132905</x:v>
      </x:c>
      <x:c r="M752" t="n">
        <x:v>42.918</x:v>
      </x:c>
      <x:c r="N752" t="str">
        <x:v>https://nccospublicstor.blob.core.windows.net/biomapper/usviinsularshelf2017/videos/low/GV2016_098.mp4</x:v>
      </x:c>
      <x:c r="O752" t="n">
        <x:v>0</x:v>
      </x:c>
      <x:c r="P752" t="n">
        <x:v>0</x:v>
      </x:c>
      <x:c r="Q752" t="n">
        <x:v>1</x:v>
      </x:c>
      <x:c r="R752" t="n">
        <x:v>1</x:v>
      </x:c>
      <x:c r="S752" t="n">
        <x:v>0</x:v>
      </x:c>
      <x:c r="T752" t="n">
        <x:v>0</x:v>
      </x:c>
      <x:c r="U752" t="n">
        <x:v>1</x:v>
      </x:c>
      <x:c r="V752" t="n">
        <x:v>1</x:v>
      </x:c>
      <x:c r="W752" t="n">
        <x:v>0</x:v>
      </x:c>
      <x:c r="X752" t="n">
        <x:v>0</x:v>
      </x:c>
      <x:c r="Y752" t="n">
        <x:v>0</x:v>
      </x:c>
      <x:c r="Z752" t="n">
        <x:v>2</x:v>
      </x:c>
      <x:c r="AA752" t="n">
        <x:v>2</x:v>
      </x:c>
      <x:c r="AB752" t="str">
        <x:v>Pass</x:v>
      </x:c>
      <x:c r="AC752" t="str"/>
      <x:c r="AD752" t="str"/>
    </x:row>
    <x:row r="753">
      <x:c r="A753" t="str">
        <x:v>REC0752</x:v>
      </x:c>
      <x:c r="B753" t="n">
        <x:v>751</x:v>
      </x:c>
      <x:c r="C753" t="str">
        <x:v>St. Thomas, USVI</x:v>
      </x:c>
      <x:c r="D753" t="str">
        <x:v>GV</x:v>
      </x:c>
      <x:c r="E753" t="str">
        <x:v>Ground Validation</x:v>
      </x:c>
      <x:c r="F753" t="str">
        <x:v>HD Seaviewer Drop Camera</x:v>
      </x:c>
      <x:c r="G753" t="str">
        <x:v>GV2016_099</x:v>
      </x:c>
      <x:c r="H753" s="28" t="n">
        <x:v>42608</x:v>
      </x:c>
      <x:c r="I753" t="str">
        <x:v>08:22:24</x:v>
      </x:c>
      <x:c r="J753" t="n">
        <x:v>2016</x:v>
      </x:c>
      <x:c r="K753" t="n">
        <x:v>18.1926976</x:v>
      </x:c>
      <x:c r="L753" t="n">
        <x:v>-64.92106666</x:v>
      </x:c>
      <x:c r="M753" t="n">
        <x:v>56.152</x:v>
      </x:c>
      <x:c r="N753" t="str">
        <x:v>https://nccospublicstor.blob.core.windows.net/biomapper/usviinsularshelf2017/videos/low/GV2016_099.mp4</x:v>
      </x:c>
      <x:c r="O753" t="n">
        <x:v>0</x:v>
      </x:c>
      <x:c r="P753" t="n">
        <x:v>0</x:v>
      </x:c>
      <x:c r="Q753" t="n">
        <x:v>1</x:v>
      </x:c>
      <x:c r="R753" t="n">
        <x:v>0</x:v>
      </x:c>
      <x:c r="S753" t="n">
        <x:v>0</x:v>
      </x:c>
      <x:c r="T753" t="n">
        <x:v>0</x:v>
      </x:c>
      <x:c r="U753" t="n">
        <x:v>1</x:v>
      </x:c>
      <x:c r="V753" t="n">
        <x:v>1</x:v>
      </x:c>
      <x:c r="W753" t="n">
        <x:v>0</x:v>
      </x:c>
      <x:c r="X753" t="n">
        <x:v>0</x:v>
      </x:c>
      <x:c r="Y753" t="n">
        <x:v>0</x:v>
      </x:c>
      <x:c r="Z753" t="n">
        <x:v>1</x:v>
      </x:c>
      <x:c r="AA753" t="n">
        <x:v>2</x:v>
      </x:c>
      <x:c r="AB753" t="str">
        <x:v>Pass</x:v>
      </x:c>
      <x:c r="AC753" t="str"/>
      <x:c r="AD753" t="str"/>
    </x:row>
    <x:row r="754">
      <x:c r="A754" t="str">
        <x:v>REC0753</x:v>
      </x:c>
      <x:c r="B754" t="n">
        <x:v>752</x:v>
      </x:c>
      <x:c r="C754" t="str">
        <x:v>St. Thomas, USVI</x:v>
      </x:c>
      <x:c r="D754" t="str">
        <x:v>GV</x:v>
      </x:c>
      <x:c r="E754" t="str">
        <x:v>Ground Validation</x:v>
      </x:c>
      <x:c r="F754" t="str">
        <x:v>HD Seaviewer Drop Camera</x:v>
      </x:c>
      <x:c r="G754" t="str">
        <x:v>GV2016_100</x:v>
      </x:c>
      <x:c r="H754" s="28" t="n">
        <x:v>42611</x:v>
      </x:c>
      <x:c r="I754" t="str">
        <x:v>14:21:39</x:v>
      </x:c>
      <x:c r="J754" t="n">
        <x:v>2016</x:v>
      </x:c>
      <x:c r="K754" t="n">
        <x:v>18.22994839</x:v>
      </x:c>
      <x:c r="L754" t="n">
        <x:v>-64.98639903</x:v>
      </x:c>
      <x:c r="M754" t="n">
        <x:v>41.576</x:v>
      </x:c>
      <x:c r="N754" t="str">
        <x:v>https://nccospublicstor.blob.core.windows.net/biomapper/usviinsularshelf2017/videos/low/GV2016_100.mp4</x:v>
      </x:c>
      <x:c r="O754" t="n">
        <x:v>0</x:v>
      </x:c>
      <x:c r="P754" t="n">
        <x:v>0</x:v>
      </x:c>
      <x:c r="Q754" t="n">
        <x:v>1</x:v>
      </x:c>
      <x:c r="R754" t="n">
        <x:v>1</x:v>
      </x:c>
      <x:c r="S754" t="n">
        <x:v>0</x:v>
      </x:c>
      <x:c r="T754" t="n">
        <x:v>0</x:v>
      </x:c>
      <x:c r="U754" t="n">
        <x:v>1</x:v>
      </x:c>
      <x:c r="V754" t="n">
        <x:v>1</x:v>
      </x:c>
      <x:c r="W754" t="n">
        <x:v>0</x:v>
      </x:c>
      <x:c r="X754" t="n">
        <x:v>0</x:v>
      </x:c>
      <x:c r="Y754" t="n">
        <x:v>0</x:v>
      </x:c>
      <x:c r="Z754" t="n">
        <x:v>2</x:v>
      </x:c>
      <x:c r="AA754" t="n">
        <x:v>2</x:v>
      </x:c>
      <x:c r="AB754" t="str">
        <x:v>Pass</x:v>
      </x:c>
      <x:c r="AC754" t="str"/>
      <x:c r="AD754" t="str"/>
    </x:row>
    <x:row r="755">
      <x:c r="A755" t="str">
        <x:v>REC0754</x:v>
      </x:c>
      <x:c r="B755" t="n">
        <x:v>753</x:v>
      </x:c>
      <x:c r="C755" t="str">
        <x:v>Puerto Rico</x:v>
      </x:c>
      <x:c r="D755" t="str">
        <x:v>GV</x:v>
      </x:c>
      <x:c r="E755" t="str">
        <x:v>Ground Validation</x:v>
      </x:c>
      <x:c r="F755" t="str">
        <x:v>HD Seaviewer Drop Camera</x:v>
      </x:c>
      <x:c r="G755" t="str">
        <x:v>GV2016_102</x:v>
      </x:c>
      <x:c r="H755" s="28" t="n">
        <x:v>42603</x:v>
      </x:c>
      <x:c r="I755" t="str">
        <x:v>13:14:10</x:v>
      </x:c>
      <x:c r="J755" t="n">
        <x:v>2016</x:v>
      </x:c>
      <x:c r="K755" t="n">
        <x:v>18.13980891</x:v>
      </x:c>
      <x:c r="L755" t="n">
        <x:v>-65.25825323</x:v>
      </x:c>
      <x:c r="M755" t="n">
        <x:v>32.837</x:v>
      </x:c>
      <x:c r="N755" t="str">
        <x:v>https://nccospublicstor.blob.core.windows.net/biomapper/usviinsularshelf2017/videos/low/GV2016_102.mp4</x:v>
      </x:c>
      <x:c r="O755" t="n">
        <x:v>0</x:v>
      </x:c>
      <x:c r="P755" t="n">
        <x:v>0</x:v>
      </x:c>
      <x:c r="Q755" t="n">
        <x:v>1</x:v>
      </x:c>
      <x:c r="R755" t="n">
        <x:v>0</x:v>
      </x:c>
      <x:c r="S755" t="n">
        <x:v>1</x:v>
      </x:c>
      <x:c r="T755" t="n">
        <x:v>0</x:v>
      </x:c>
      <x:c r="U755" t="n">
        <x:v>1</x:v>
      </x:c>
      <x:c r="V755" t="n">
        <x:v>1</x:v>
      </x:c>
      <x:c r="W755" t="n">
        <x:v>0</x:v>
      </x:c>
      <x:c r="X755" t="n">
        <x:v>0</x:v>
      </x:c>
      <x:c r="Y755" t="n">
        <x:v>0</x:v>
      </x:c>
      <x:c r="Z755" t="n">
        <x:v>1</x:v>
      </x:c>
      <x:c r="AA755" t="n">
        <x:v>3</x:v>
      </x:c>
      <x:c r="AB755" t="str">
        <x:v>Pass</x:v>
      </x:c>
      <x:c r="AC755" t="str"/>
      <x:c r="AD755" t="str"/>
    </x:row>
    <x:row r="756">
      <x:c r="A756" t="str">
        <x:v>REC0755</x:v>
      </x:c>
      <x:c r="B756" t="n">
        <x:v>754</x:v>
      </x:c>
      <x:c r="C756" t="str">
        <x:v>St. John, USVI</x:v>
      </x:c>
      <x:c r="D756" t="str">
        <x:v>GV</x:v>
      </x:c>
      <x:c r="E756" t="str">
        <x:v>Ground Validation</x:v>
      </x:c>
      <x:c r="F756" t="str">
        <x:v>HD Seaviewer Drop Camera</x:v>
      </x:c>
      <x:c r="G756" t="str">
        <x:v>GV2016_103</x:v>
      </x:c>
      <x:c r="H756" s="28" t="n">
        <x:v>42629</x:v>
      </x:c>
      <x:c r="I756" t="str">
        <x:v>12:11:18</x:v>
      </x:c>
      <x:c r="J756" t="n">
        <x:v>2016</x:v>
      </x:c>
      <x:c r="K756" t="n">
        <x:v>18.20101814</x:v>
      </x:c>
      <x:c r="L756" t="n">
        <x:v>-64.79565505</x:v>
      </x:c>
      <x:c r="M756" t="n">
        <x:v>54.142</x:v>
      </x:c>
      <x:c r="N756" t="str">
        <x:v>https://nccospublicstor.blob.core.windows.net/biomapper/usviinsularshelf2017/videos/low/GV2016_103.mp4</x:v>
      </x:c>
      <x:c r="O756" t="n">
        <x:v>0</x:v>
      </x:c>
      <x:c r="P756" t="n">
        <x:v>1</x:v>
      </x:c>
      <x:c r="Q756" t="n">
        <x:v>1</x:v>
      </x:c>
      <x:c r="R756" t="n">
        <x:v>0</x:v>
      </x:c>
      <x:c r="S756" t="n">
        <x:v>1</x:v>
      </x:c>
      <x:c r="T756" t="n">
        <x:v>0</x:v>
      </x:c>
      <x:c r="U756" t="n">
        <x:v>1</x:v>
      </x:c>
      <x:c r="V756" t="n">
        <x:v>1</x:v>
      </x:c>
      <x:c r="W756" t="n">
        <x:v>0</x:v>
      </x:c>
      <x:c r="X756" t="n">
        <x:v>0</x:v>
      </x:c>
      <x:c r="Y756" t="n">
        <x:v>0</x:v>
      </x:c>
      <x:c r="Z756" t="n">
        <x:v>2</x:v>
      </x:c>
      <x:c r="AA756" t="n">
        <x:v>3</x:v>
      </x:c>
      <x:c r="AB756" t="str">
        <x:v>Pass</x:v>
      </x:c>
      <x:c r="AC756" t="str"/>
      <x:c r="AD756" t="str"/>
    </x:row>
    <x:row r="757">
      <x:c r="A757" t="str">
        <x:v>REC0756</x:v>
      </x:c>
      <x:c r="B757" t="n">
        <x:v>755</x:v>
      </x:c>
      <x:c r="C757" t="str">
        <x:v>St. Thomas, USVI</x:v>
      </x:c>
      <x:c r="D757" t="str">
        <x:v>GV</x:v>
      </x:c>
      <x:c r="E757" t="str">
        <x:v>Ground Validation</x:v>
      </x:c>
      <x:c r="F757" t="str">
        <x:v>HD Seaviewer Drop Camera</x:v>
      </x:c>
      <x:c r="G757" t="str">
        <x:v>GV2016_104</x:v>
      </x:c>
      <x:c r="H757" s="28" t="n">
        <x:v>42610</x:v>
      </x:c>
      <x:c r="I757" t="str">
        <x:v>11:03:47</x:v>
      </x:c>
      <x:c r="J757" t="n">
        <x:v>2016</x:v>
      </x:c>
      <x:c r="K757" t="n">
        <x:v>18.20013387</x:v>
      </x:c>
      <x:c r="L757" t="n">
        <x:v>-64.90623445</x:v>
      </x:c>
      <x:c r="M757" t="n">
        <x:v>50.255</x:v>
      </x:c>
      <x:c r="N757" t="str">
        <x:v>https://nccospublicstor.blob.core.windows.net/biomapper/usviinsularshelf2017/videos/low/GV2016_104.mp4</x:v>
      </x:c>
      <x:c r="O757" t="n">
        <x:v>1</x:v>
      </x:c>
      <x:c r="P757" t="n">
        <x:v>1</x:v>
      </x:c>
      <x:c r="Q757" t="n">
        <x:v>1</x:v>
      </x:c>
      <x:c r="R757" t="n">
        <x:v>0</x:v>
      </x:c>
      <x:c r="S757" t="n">
        <x:v>1</x:v>
      </x:c>
      <x:c r="T757" t="n">
        <x:v>0</x:v>
      </x:c>
      <x:c r="U757" t="n">
        <x:v>1</x:v>
      </x:c>
      <x:c r="V757" t="n">
        <x:v>1</x:v>
      </x:c>
      <x:c r="W757" t="n">
        <x:v>0</x:v>
      </x:c>
      <x:c r="X757" t="n">
        <x:v>0</x:v>
      </x:c>
      <x:c r="Y757" t="n">
        <x:v>0</x:v>
      </x:c>
      <x:c r="Z757" t="n">
        <x:v>3</x:v>
      </x:c>
      <x:c r="AA757" t="n">
        <x:v>3</x:v>
      </x:c>
      <x:c r="AB757" t="str">
        <x:v>Pass</x:v>
      </x:c>
      <x:c r="AC757" t="str"/>
      <x:c r="AD757" t="str">
        <x:v>Great Barracuda</x:v>
      </x:c>
    </x:row>
    <x:row r="758">
      <x:c r="A758" t="str">
        <x:v>REC0757</x:v>
      </x:c>
      <x:c r="B758" t="n">
        <x:v>756</x:v>
      </x:c>
      <x:c r="C758" t="str">
        <x:v>St. Thomas, USVI</x:v>
      </x:c>
      <x:c r="D758" t="str">
        <x:v>GV</x:v>
      </x:c>
      <x:c r="E758" t="str">
        <x:v>Ground Validation</x:v>
      </x:c>
      <x:c r="F758" t="str">
        <x:v>HD Seaviewer Drop Camera</x:v>
      </x:c>
      <x:c r="G758" t="str">
        <x:v>GV2016_105</x:v>
      </x:c>
      <x:c r="H758" s="28" t="n">
        <x:v>42611</x:v>
      </x:c>
      <x:c r="I758" t="str">
        <x:v>12:21:11</x:v>
      </x:c>
      <x:c r="J758" t="n">
        <x:v>2016</x:v>
      </x:c>
      <x:c r="K758" t="n">
        <x:v>18.2550998</x:v>
      </x:c>
      <x:c r="L758" t="n">
        <x:v>-64.92960778</x:v>
      </x:c>
      <x:c r="M758" t="n">
        <x:v>39.356</x:v>
      </x:c>
      <x:c r="N758" t="str">
        <x:v>https://nccospublicstor.blob.core.windows.net/biomapper/usviinsularshelf2017/videos/low/GV2016_105.mp4</x:v>
      </x:c>
      <x:c r="O758" t="n">
        <x:v>0</x:v>
      </x:c>
      <x:c r="P758" t="n">
        <x:v>0</x:v>
      </x:c>
      <x:c r="Q758" t="n">
        <x:v>0</x:v>
      </x:c>
      <x:c r="R758" t="n">
        <x:v>1</x:v>
      </x:c>
      <x:c r="S758" t="n">
        <x:v>0</x:v>
      </x:c>
      <x:c r="T758" t="n">
        <x:v>0</x:v>
      </x:c>
      <x:c r="U758" t="n">
        <x:v>1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1</x:v>
      </x:c>
      <x:c r="AA758" t="n">
        <x:v>1</x:v>
      </x:c>
      <x:c r="AB758" t="str">
        <x:v>Pass</x:v>
      </x:c>
      <x:c r="AC758" t="str"/>
      <x:c r="AD758" t="str"/>
    </x:row>
    <x:row r="759">
      <x:c r="A759" t="str">
        <x:v>REC0758</x:v>
      </x:c>
      <x:c r="B759" t="n">
        <x:v>757</x:v>
      </x:c>
      <x:c r="C759" t="str">
        <x:v>Puerto Rico</x:v>
      </x:c>
      <x:c r="D759" t="str">
        <x:v>GV</x:v>
      </x:c>
      <x:c r="E759" t="str">
        <x:v>Ground Validation</x:v>
      </x:c>
      <x:c r="F759" t="str">
        <x:v>HD Seaviewer Drop Camera</x:v>
      </x:c>
      <x:c r="G759" t="str">
        <x:v>GV2016_106</x:v>
      </x:c>
      <x:c r="H759" s="28" t="n">
        <x:v>42603</x:v>
      </x:c>
      <x:c r="I759" t="str">
        <x:v>12:05:07</x:v>
      </x:c>
      <x:c r="J759" t="n">
        <x:v>2016</x:v>
      </x:c>
      <x:c r="K759" t="n">
        <x:v>18.12239759</x:v>
      </x:c>
      <x:c r="L759" t="n">
        <x:v>-65.22610295</x:v>
      </x:c>
      <x:c r="M759" t="n">
        <x:v>48.998</x:v>
      </x:c>
      <x:c r="N759" t="str">
        <x:v>https://nccospublicstor.blob.core.windows.net/biomapper/usviinsularshelf2017/videos/low/GV2016_106.mp4</x:v>
      </x:c>
      <x:c r="O759" t="n">
        <x:v>0</x:v>
      </x:c>
      <x:c r="P759" t="n">
        <x:v>1</x:v>
      </x:c>
      <x:c r="Q759" t="n">
        <x:v>1</x:v>
      </x:c>
      <x:c r="R759" t="n">
        <x:v>0</x:v>
      </x:c>
      <x:c r="S759" t="n">
        <x:v>0</x:v>
      </x:c>
      <x:c r="T759" t="n">
        <x:v>0</x:v>
      </x:c>
      <x:c r="U759" t="n">
        <x:v>1</x:v>
      </x:c>
      <x:c r="V759" t="n">
        <x:v>1</x:v>
      </x:c>
      <x:c r="W759" t="n">
        <x:v>0</x:v>
      </x:c>
      <x:c r="X759" t="n">
        <x:v>0</x:v>
      </x:c>
      <x:c r="Y759" t="n">
        <x:v>0</x:v>
      </x:c>
      <x:c r="Z759" t="n">
        <x:v>2</x:v>
      </x:c>
      <x:c r="AA759" t="n">
        <x:v>2</x:v>
      </x:c>
      <x:c r="AB759" t="str">
        <x:v>Pass</x:v>
      </x:c>
      <x:c r="AC759" t="str"/>
      <x:c r="AD759" t="str"/>
    </x:row>
    <x:row r="760">
      <x:c r="A760" t="str">
        <x:v>REC0759</x:v>
      </x:c>
      <x:c r="B760" t="n">
        <x:v>758</x:v>
      </x:c>
      <x:c r="C760" t="str">
        <x:v>St. John, USVI</x:v>
      </x:c>
      <x:c r="D760" t="str">
        <x:v>GV</x:v>
      </x:c>
      <x:c r="E760" t="str">
        <x:v>Ground Validation</x:v>
      </x:c>
      <x:c r="F760" t="str">
        <x:v>HD Seaviewer Drop Camera</x:v>
      </x:c>
      <x:c r="G760" t="str">
        <x:v>GV2016_107</x:v>
      </x:c>
      <x:c r="H760" s="28" t="n">
        <x:v>42624</x:v>
      </x:c>
      <x:c r="I760" t="str">
        <x:v>09:06:46</x:v>
      </x:c>
      <x:c r="J760" t="n">
        <x:v>2016</x:v>
      </x:c>
      <x:c r="K760" t="n">
        <x:v>18.27313364</x:v>
      </x:c>
      <x:c r="L760" t="n">
        <x:v>-64.71216443</x:v>
      </x:c>
      <x:c r="M760" t="n">
        <x:v>29.574</x:v>
      </x:c>
      <x:c r="N760" t="str">
        <x:v>https://nccospublicstor.blob.core.windows.net/biomapper/usviinsularshelf2017/videos/low/GV2016_107.mp4</x:v>
      </x:c>
      <x:c r="O760" t="n">
        <x:v>0</x:v>
      </x:c>
      <x:c r="P760" t="n">
        <x:v>1</x:v>
      </x:c>
      <x:c r="Q760" t="n">
        <x:v>1</x:v>
      </x:c>
      <x:c r="R760" t="n">
        <x:v>0</x:v>
      </x:c>
      <x:c r="S760" t="n">
        <x:v>1</x:v>
      </x:c>
      <x:c r="T760" t="n">
        <x:v>1</x:v>
      </x:c>
      <x:c r="U760" t="n">
        <x:v>1</x:v>
      </x:c>
      <x:c r="V760" t="n">
        <x:v>1</x:v>
      </x:c>
      <x:c r="W760" t="n">
        <x:v>0</x:v>
      </x:c>
      <x:c r="X760" t="n">
        <x:v>0</x:v>
      </x:c>
      <x:c r="Y760" t="n">
        <x:v>0</x:v>
      </x:c>
      <x:c r="Z760" t="n">
        <x:v>2</x:v>
      </x:c>
      <x:c r="AA760" t="n">
        <x:v>4</x:v>
      </x:c>
      <x:c r="AB760" t="str">
        <x:v>Pass</x:v>
      </x:c>
      <x:c r="AC760" t="str"/>
      <x:c r="AD760" t="str"/>
    </x:row>
    <x:row r="761">
      <x:c r="A761" t="str">
        <x:v>REC0760</x:v>
      </x:c>
      <x:c r="B761" t="n">
        <x:v>759</x:v>
      </x:c>
      <x:c r="C761" t="str">
        <x:v>St. Thomas, USVI</x:v>
      </x:c>
      <x:c r="D761" t="str">
        <x:v>GV</x:v>
      </x:c>
      <x:c r="E761" t="str">
        <x:v>Ground Validation</x:v>
      </x:c>
      <x:c r="F761" t="str">
        <x:v>HD Seaviewer Drop Camera</x:v>
      </x:c>
      <x:c r="G761" t="str">
        <x:v>GV2016_108</x:v>
      </x:c>
      <x:c r="H761" s="28" t="n">
        <x:v>42622</x:v>
      </x:c>
      <x:c r="I761" t="str">
        <x:v>14:17:19</x:v>
      </x:c>
      <x:c r="J761" t="n">
        <x:v>2016</x:v>
      </x:c>
      <x:c r="K761" t="n">
        <x:v>18.25631758</x:v>
      </x:c>
      <x:c r="L761" t="n">
        <x:v>-64.83511912</x:v>
      </x:c>
      <x:c r="M761" t="n">
        <x:v>37.238</x:v>
      </x:c>
      <x:c r="N761" t="str">
        <x:v>https://nccospublicstor.blob.core.windows.net/biomapper/usviinsularshelf2017/videos/low/GV2016_108.mp4</x:v>
      </x:c>
      <x:c r="O761" t="n">
        <x:v>0</x:v>
      </x:c>
      <x:c r="P761" t="n">
        <x:v>0</x:v>
      </x:c>
      <x:c r="Q761" t="n">
        <x:v>1</x:v>
      </x:c>
      <x:c r="R761" t="n">
        <x:v>1</x:v>
      </x:c>
      <x:c r="S761" t="n">
        <x:v>0</x:v>
      </x:c>
      <x:c r="T761" t="n">
        <x:v>0</x:v>
      </x:c>
      <x:c r="U761" t="n">
        <x:v>1</x:v>
      </x:c>
      <x:c r="V761" t="n">
        <x:v>1</x:v>
      </x:c>
      <x:c r="W761" t="n">
        <x:v>0</x:v>
      </x:c>
      <x:c r="X761" t="n">
        <x:v>0</x:v>
      </x:c>
      <x:c r="Y761" t="n">
        <x:v>0</x:v>
      </x:c>
      <x:c r="Z761" t="n">
        <x:v>2</x:v>
      </x:c>
      <x:c r="AA761" t="n">
        <x:v>2</x:v>
      </x:c>
      <x:c r="AB761" t="str">
        <x:v>Pass</x:v>
      </x:c>
      <x:c r="AC761" t="str"/>
      <x:c r="AD761" t="str"/>
    </x:row>
    <x:row r="762">
      <x:c r="A762" t="str">
        <x:v>REC0761</x:v>
      </x:c>
      <x:c r="B762" t="n">
        <x:v>760</x:v>
      </x:c>
      <x:c r="C762" t="str">
        <x:v>St. Thomas, USVI</x:v>
      </x:c>
      <x:c r="D762" t="str">
        <x:v>GV</x:v>
      </x:c>
      <x:c r="E762" t="str">
        <x:v>Ground Validation</x:v>
      </x:c>
      <x:c r="F762" t="str">
        <x:v>HD Seaviewer Drop Camera</x:v>
      </x:c>
      <x:c r="G762" t="str">
        <x:v>GV2016_109</x:v>
      </x:c>
      <x:c r="H762" s="28" t="n">
        <x:v>42610</x:v>
      </x:c>
      <x:c r="I762" t="str">
        <x:v>14:19:22</x:v>
      </x:c>
      <x:c r="J762" t="n">
        <x:v>2016</x:v>
      </x:c>
      <x:c r="K762" t="n">
        <x:v>18.25657325</x:v>
      </x:c>
      <x:c r="L762" t="n">
        <x:v>-64.91127712</x:v>
      </x:c>
      <x:c r="M762" t="n">
        <x:v>38.776</x:v>
      </x:c>
      <x:c r="N762" t="str">
        <x:v>https://nccospublicstor.blob.core.windows.net/biomapper/usviinsularshelf2017/videos/low/GV2016_109.mp4</x:v>
      </x:c>
      <x:c r="O762" t="n">
        <x:v>0</x:v>
      </x:c>
      <x:c r="P762" t="n">
        <x:v>0</x:v>
      </x:c>
      <x:c r="Q762" t="n">
        <x:v>0</x:v>
      </x:c>
      <x:c r="R762" t="n">
        <x:v>1</x:v>
      </x:c>
      <x:c r="S762" t="n">
        <x:v>0</x:v>
      </x:c>
      <x:c r="T762" t="n">
        <x:v>0</x:v>
      </x:c>
      <x:c r="U762" t="n">
        <x:v>1</x:v>
      </x:c>
      <x:c r="V762" t="n">
        <x:v>1</x:v>
      </x:c>
      <x:c r="W762" t="n">
        <x:v>0</x:v>
      </x:c>
      <x:c r="X762" t="n">
        <x:v>0</x:v>
      </x:c>
      <x:c r="Y762" t="n">
        <x:v>0</x:v>
      </x:c>
      <x:c r="Z762" t="n">
        <x:v>1</x:v>
      </x:c>
      <x:c r="AA762" t="n">
        <x:v>2</x:v>
      </x:c>
      <x:c r="AB762" t="str">
        <x:v>Pass</x:v>
      </x:c>
      <x:c r="AC762" t="str"/>
      <x:c r="AD762" t="str"/>
    </x:row>
    <x:row r="763">
      <x:c r="A763" t="str">
        <x:v>REC0762</x:v>
      </x:c>
      <x:c r="B763" t="n">
        <x:v>761</x:v>
      </x:c>
      <x:c r="C763" t="str">
        <x:v>St. John, USVI</x:v>
      </x:c>
      <x:c r="D763" t="str">
        <x:v>GV</x:v>
      </x:c>
      <x:c r="E763" t="str">
        <x:v>Ground Validation</x:v>
      </x:c>
      <x:c r="F763" t="str">
        <x:v>HD Seaviewer Drop Camera</x:v>
      </x:c>
      <x:c r="G763" t="str">
        <x:v>GV2016_111</x:v>
      </x:c>
      <x:c r="H763" s="28" t="n">
        <x:v>42625</x:v>
      </x:c>
      <x:c r="I763" t="str">
        <x:v>13:50:10</x:v>
      </x:c>
      <x:c r="J763" t="n">
        <x:v>2016</x:v>
      </x:c>
      <x:c r="K763" t="n">
        <x:v>18.25694324</x:v>
      </x:c>
      <x:c r="L763" t="n">
        <x:v>-64.68825305</x:v>
      </x:c>
      <x:c r="M763" t="n">
        <x:v>48.58</x:v>
      </x:c>
      <x:c r="N763" t="str">
        <x:v>https://nccospublicstor.blob.core.windows.net/biomapper/usviinsularshelf2017/videos/low/GV2016_111.mp4</x:v>
      </x:c>
      <x:c r="O763" t="n">
        <x:v>0</x:v>
      </x:c>
      <x:c r="P763" t="n">
        <x:v>0</x:v>
      </x:c>
      <x:c r="Q763" t="n">
        <x:v>1</x:v>
      </x:c>
      <x:c r="R763" t="n">
        <x:v>1</x:v>
      </x:c>
      <x:c r="S763" t="n">
        <x:v>1</x:v>
      </x:c>
      <x:c r="T763" t="n">
        <x:v>0</x:v>
      </x:c>
      <x:c r="U763" t="n">
        <x:v>1</x:v>
      </x:c>
      <x:c r="V763" t="n">
        <x:v>1</x:v>
      </x:c>
      <x:c r="W763" t="n">
        <x:v>0</x:v>
      </x:c>
      <x:c r="X763" t="n">
        <x:v>0</x:v>
      </x:c>
      <x:c r="Y763" t="n">
        <x:v>0</x:v>
      </x:c>
      <x:c r="Z763" t="n">
        <x:v>2</x:v>
      </x:c>
      <x:c r="AA763" t="n">
        <x:v>3</x:v>
      </x:c>
      <x:c r="AB763" t="str">
        <x:v>Pass</x:v>
      </x:c>
      <x:c r="AC763" t="str"/>
      <x:c r="AD763" t="str"/>
    </x:row>
    <x:row r="764">
      <x:c r="A764" t="str">
        <x:v>REC0763</x:v>
      </x:c>
      <x:c r="B764" t="n">
        <x:v>762</x:v>
      </x:c>
      <x:c r="C764" t="str">
        <x:v>St. John, USVI</x:v>
      </x:c>
      <x:c r="D764" t="str">
        <x:v>GV</x:v>
      </x:c>
      <x:c r="E764" t="str">
        <x:v>Ground Validation</x:v>
      </x:c>
      <x:c r="F764" t="str">
        <x:v>HD Seaviewer Drop Camera</x:v>
      </x:c>
      <x:c r="G764" t="str">
        <x:v>GV2016_112</x:v>
      </x:c>
      <x:c r="H764" s="28" t="n">
        <x:v>42626</x:v>
      </x:c>
      <x:c r="I764" t="str">
        <x:v>11:58:19</x:v>
      </x:c>
      <x:c r="J764" t="n">
        <x:v>2016</x:v>
      </x:c>
      <x:c r="K764" t="n">
        <x:v>18.21792259</x:v>
      </x:c>
      <x:c r="L764" t="n">
        <x:v>-64.80068114</x:v>
      </x:c>
      <x:c r="M764" t="n">
        <x:v>52.546</x:v>
      </x:c>
      <x:c r="N764" t="str">
        <x:v>https://nccospublicstor.blob.core.windows.net/biomapper/usviinsularshelf2017/videos/low/GV2016_112.mp4</x:v>
      </x:c>
      <x:c r="O764" t="n">
        <x:v>0</x:v>
      </x:c>
      <x:c r="P764" t="n">
        <x:v>1</x:v>
      </x:c>
      <x:c r="Q764" t="n">
        <x:v>1</x:v>
      </x:c>
      <x:c r="R764" t="n">
        <x:v>0</x:v>
      </x:c>
      <x:c r="S764" t="n">
        <x:v>1</x:v>
      </x:c>
      <x:c r="T764" t="n">
        <x:v>0</x:v>
      </x:c>
      <x:c r="U764" t="n">
        <x:v>1</x:v>
      </x:c>
      <x:c r="V764" t="n">
        <x:v>1</x:v>
      </x:c>
      <x:c r="W764" t="n">
        <x:v>0</x:v>
      </x:c>
      <x:c r="X764" t="n">
        <x:v>0</x:v>
      </x:c>
      <x:c r="Y764" t="n">
        <x:v>0</x:v>
      </x:c>
      <x:c r="Z764" t="n">
        <x:v>2</x:v>
      </x:c>
      <x:c r="AA764" t="n">
        <x:v>3</x:v>
      </x:c>
      <x:c r="AB764" t="str">
        <x:v>Pass</x:v>
      </x:c>
      <x:c r="AC764" t="str"/>
      <x:c r="AD764" t="str"/>
    </x:row>
    <x:row r="765">
      <x:c r="A765" t="str">
        <x:v>REC0764</x:v>
      </x:c>
      <x:c r="B765" t="n">
        <x:v>763</x:v>
      </x:c>
      <x:c r="C765" t="str">
        <x:v>St. Thomas, USVI</x:v>
      </x:c>
      <x:c r="D765" t="str">
        <x:v>GV</x:v>
      </x:c>
      <x:c r="E765" t="str">
        <x:v>Ground Validation</x:v>
      </x:c>
      <x:c r="F765" t="str">
        <x:v>HD Seaviewer Drop Camera</x:v>
      </x:c>
      <x:c r="G765" t="str">
        <x:v>GV2016_113</x:v>
      </x:c>
      <x:c r="H765" s="28" t="n">
        <x:v>42607</x:v>
      </x:c>
      <x:c r="I765" t="str">
        <x:v>13:54:44</x:v>
      </x:c>
      <x:c r="J765" t="n">
        <x:v>2016</x:v>
      </x:c>
      <x:c r="K765" t="n">
        <x:v>18.23762582</x:v>
      </x:c>
      <x:c r="L765" t="n">
        <x:v>-65.07340069</x:v>
      </x:c>
      <x:c r="M765" t="n">
        <x:v>31.331</x:v>
      </x:c>
      <x:c r="N765" t="str">
        <x:v>https://nccospublicstor.blob.core.windows.net/biomapper/usviinsularshelf2017/videos/low/GV2016_113.mp4</x:v>
      </x:c>
      <x:c r="O765" t="n">
        <x:v>1</x:v>
      </x:c>
      <x:c r="P765" t="n">
        <x:v>0</x:v>
      </x:c>
      <x:c r="Q765" t="n">
        <x:v>0</x:v>
      </x:c>
      <x:c r="R765" t="n">
        <x:v>0</x:v>
      </x:c>
      <x:c r="S765" t="n">
        <x:v>1</x:v>
      </x:c>
      <x:c r="T765" t="n">
        <x:v>1</x:v>
      </x:c>
      <x:c r="U765" t="n">
        <x:v>1</x:v>
      </x:c>
      <x:c r="V765" t="n">
        <x:v>1</x:v>
      </x:c>
      <x:c r="W765" t="n">
        <x:v>0</x:v>
      </x:c>
      <x:c r="X765" t="n">
        <x:v>0</x:v>
      </x:c>
      <x:c r="Y765" t="n">
        <x:v>0</x:v>
      </x:c>
      <x:c r="Z765" t="n">
        <x:v>1</x:v>
      </x:c>
      <x:c r="AA765" t="n">
        <x:v>4</x:v>
      </x:c>
      <x:c r="AB765" t="str">
        <x:v>Pass</x:v>
      </x:c>
      <x:c r="AC765" t="str"/>
      <x:c r="AD765" t="str"/>
    </x:row>
    <x:row r="766">
      <x:c r="A766" t="str">
        <x:v>REC0765</x:v>
      </x:c>
      <x:c r="B766" t="n">
        <x:v>764</x:v>
      </x:c>
      <x:c r="C766" t="str">
        <x:v>St. Thomas, USVI</x:v>
      </x:c>
      <x:c r="D766" t="str">
        <x:v>GV</x:v>
      </x:c>
      <x:c r="E766" t="str">
        <x:v>Ground Validation</x:v>
      </x:c>
      <x:c r="F766" t="str">
        <x:v>HD Seaviewer Drop Camera</x:v>
      </x:c>
      <x:c r="G766" t="str">
        <x:v>GV2016_114</x:v>
      </x:c>
      <x:c r="H766" s="28" t="n">
        <x:v>42608</x:v>
      </x:c>
      <x:c r="I766" t="str">
        <x:v>10:12:38</x:v>
      </x:c>
      <x:c r="J766" t="n">
        <x:v>2016</x:v>
      </x:c>
      <x:c r="K766" t="n">
        <x:v>18.19644756</x:v>
      </x:c>
      <x:c r="L766" t="n">
        <x:v>-64.97765547</x:v>
      </x:c>
      <x:c r="M766" t="n">
        <x:v>51.76</x:v>
      </x:c>
      <x:c r="N766" t="str">
        <x:v>https://nccospublicstor.blob.core.windows.net/biomapper/usviinsularshelf2017/videos/low/GV2016_114.mp4</x:v>
      </x:c>
      <x:c r="O766" t="n">
        <x:v>0</x:v>
      </x:c>
      <x:c r="P766" t="n">
        <x:v>0</x:v>
      </x:c>
      <x:c r="Q766" t="n">
        <x:v>1</x:v>
      </x:c>
      <x:c r="R766" t="n">
        <x:v>0</x:v>
      </x:c>
      <x:c r="S766" t="n">
        <x:v>0</x:v>
      </x:c>
      <x:c r="T766" t="n">
        <x:v>0</x:v>
      </x:c>
      <x:c r="U766" t="n">
        <x:v>1</x:v>
      </x:c>
      <x:c r="V766" t="n">
        <x:v>1</x:v>
      </x:c>
      <x:c r="W766" t="n">
        <x:v>0</x:v>
      </x:c>
      <x:c r="X766" t="n">
        <x:v>0</x:v>
      </x:c>
      <x:c r="Y766" t="n">
        <x:v>0</x:v>
      </x:c>
      <x:c r="Z766" t="n">
        <x:v>1</x:v>
      </x:c>
      <x:c r="AA766" t="n">
        <x:v>2</x:v>
      </x:c>
      <x:c r="AB766" t="str">
        <x:v>Pass</x:v>
      </x:c>
      <x:c r="AC766" t="str"/>
      <x:c r="AD766" t="str"/>
    </x:row>
    <x:row r="767">
      <x:c r="A767" t="str">
        <x:v>REC0766</x:v>
      </x:c>
      <x:c r="B767" t="n">
        <x:v>765</x:v>
      </x:c>
      <x:c r="C767" t="str">
        <x:v>Puerto Rico</x:v>
      </x:c>
      <x:c r="D767" t="str">
        <x:v>GV</x:v>
      </x:c>
      <x:c r="E767" t="str">
        <x:v>Ground Validation</x:v>
      </x:c>
      <x:c r="F767" t="str">
        <x:v>HD Seaviewer Drop Camera</x:v>
      </x:c>
      <x:c r="G767" t="str">
        <x:v>GV2016_115</x:v>
      </x:c>
      <x:c r="H767" s="28" t="n">
        <x:v>42604</x:v>
      </x:c>
      <x:c r="I767" t="str">
        <x:v>09:33:26</x:v>
      </x:c>
      <x:c r="J767" t="n">
        <x:v>2016</x:v>
      </x:c>
      <x:c r="K767" t="n">
        <x:v>18.18014503</x:v>
      </x:c>
      <x:c r="L767" t="n">
        <x:v>-65.22168123</x:v>
      </x:c>
      <x:c r="M767" t="n">
        <x:v>39.221</x:v>
      </x:c>
      <x:c r="N767" t="str">
        <x:v>https://nccospublicstor.blob.core.windows.net/biomapper/usviinsularshelf2017/videos/low/GV2016_115.mp4</x:v>
      </x:c>
      <x:c r="O767" t="n">
        <x:v>1</x:v>
      </x:c>
      <x:c r="P767" t="n">
        <x:v>0</x:v>
      </x:c>
      <x:c r="Q767" t="n">
        <x:v>0</x:v>
      </x:c>
      <x:c r="R767" t="n">
        <x:v>1</x:v>
      </x:c>
      <x:c r="S767" t="n">
        <x:v>1</x:v>
      </x:c>
      <x:c r="T767" t="n">
        <x:v>0</x:v>
      </x:c>
      <x:c r="U767" t="n">
        <x:v>1</x:v>
      </x:c>
      <x:c r="V767" t="n">
        <x:v>1</x:v>
      </x:c>
      <x:c r="W767" t="n">
        <x:v>0</x:v>
      </x:c>
      <x:c r="X767" t="n">
        <x:v>0</x:v>
      </x:c>
      <x:c r="Y767" t="n">
        <x:v>0</x:v>
      </x:c>
      <x:c r="Z767" t="n">
        <x:v>2</x:v>
      </x:c>
      <x:c r="AA767" t="n">
        <x:v>3</x:v>
      </x:c>
      <x:c r="AB767" t="str">
        <x:v>Pass</x:v>
      </x:c>
      <x:c r="AC767" t="str"/>
      <x:c r="AD767" t="str"/>
    </x:row>
    <x:row r="768">
      <x:c r="A768" t="str">
        <x:v>REC0767</x:v>
      </x:c>
      <x:c r="B768" t="n">
        <x:v>766</x:v>
      </x:c>
      <x:c r="C768" t="str">
        <x:v>St. John, USVI</x:v>
      </x:c>
      <x:c r="D768" t="str">
        <x:v>GV</x:v>
      </x:c>
      <x:c r="E768" t="str">
        <x:v>Ground Validation</x:v>
      </x:c>
      <x:c r="F768" t="str">
        <x:v>HD Seaviewer Drop Camera</x:v>
      </x:c>
      <x:c r="G768" t="str">
        <x:v>GV2016_116</x:v>
      </x:c>
      <x:c r="H768" s="28" t="n">
        <x:v>42626</x:v>
      </x:c>
      <x:c r="I768" t="str">
        <x:v>13:35:02</x:v>
      </x:c>
      <x:c r="J768" t="n">
        <x:v>2016</x:v>
      </x:c>
      <x:c r="K768" t="n">
        <x:v>18.24275087</x:v>
      </x:c>
      <x:c r="L768" t="n">
        <x:v>-64.79991898</x:v>
      </x:c>
      <x:c r="M768" t="n">
        <x:v>46.687</x:v>
      </x:c>
      <x:c r="N768" t="str">
        <x:v>https://nccospublicstor.blob.core.windows.net/biomapper/usviinsularshelf2017/videos/low/GV2016_116.mp4</x:v>
      </x:c>
      <x:c r="O768" t="n">
        <x:v>0</x:v>
      </x:c>
      <x:c r="P768" t="n">
        <x:v>0</x:v>
      </x:c>
      <x:c r="Q768" t="n">
        <x:v>1</x:v>
      </x:c>
      <x:c r="R768" t="n">
        <x:v>1</x:v>
      </x:c>
      <x:c r="S768" t="n">
        <x:v>0</x:v>
      </x:c>
      <x:c r="T768" t="n">
        <x:v>0</x:v>
      </x:c>
      <x:c r="U768" t="n">
        <x:v>1</x:v>
      </x:c>
      <x:c r="V768" t="n">
        <x:v>1</x:v>
      </x:c>
      <x:c r="W768" t="n">
        <x:v>0</x:v>
      </x:c>
      <x:c r="X768" t="n">
        <x:v>0</x:v>
      </x:c>
      <x:c r="Y768" t="n">
        <x:v>0</x:v>
      </x:c>
      <x:c r="Z768" t="n">
        <x:v>2</x:v>
      </x:c>
      <x:c r="AA768" t="n">
        <x:v>2</x:v>
      </x:c>
      <x:c r="AB768" t="str">
        <x:v>Pass</x:v>
      </x:c>
      <x:c r="AC768" t="str"/>
      <x:c r="AD768" t="str"/>
    </x:row>
    <x:row r="769">
      <x:c r="A769" t="str">
        <x:v>REC0768</x:v>
      </x:c>
      <x:c r="B769" t="n">
        <x:v>767</x:v>
      </x:c>
      <x:c r="C769" t="str">
        <x:v>St. John, USVI</x:v>
      </x:c>
      <x:c r="D769" t="str">
        <x:v>GV</x:v>
      </x:c>
      <x:c r="E769" t="str">
        <x:v>Ground Validation</x:v>
      </x:c>
      <x:c r="F769" t="str">
        <x:v>HD Seaviewer Drop Camera</x:v>
      </x:c>
      <x:c r="G769" t="str">
        <x:v>GV2016_117</x:v>
      </x:c>
      <x:c r="H769" s="28" t="n">
        <x:v>42625</x:v>
      </x:c>
      <x:c r="I769" t="str">
        <x:v>08:58:58</x:v>
      </x:c>
      <x:c r="J769" t="n">
        <x:v>2016</x:v>
      </x:c>
      <x:c r="K769" t="n">
        <x:v>18.27593811</x:v>
      </x:c>
      <x:c r="L769" t="n">
        <x:v>-64.68600273</x:v>
      </x:c>
      <x:c r="M769" t="n">
        <x:v>44.193</x:v>
      </x:c>
      <x:c r="N769" t="str">
        <x:v>https://nccospublicstor.blob.core.windows.net/biomapper/usviinsularshelf2017/videos/low/GV2016_117.mp4</x:v>
      </x:c>
      <x:c r="O769" t="n">
        <x:v>0</x:v>
      </x:c>
      <x:c r="P769" t="n">
        <x:v>0</x:v>
      </x:c>
      <x:c r="Q769" t="n">
        <x:v>1</x:v>
      </x:c>
      <x:c r="R769" t="n">
        <x:v>0</x:v>
      </x:c>
      <x:c r="S769" t="n">
        <x:v>0</x:v>
      </x:c>
      <x:c r="T769" t="n">
        <x:v>0</x:v>
      </x:c>
      <x:c r="U769" t="n">
        <x:v>1</x:v>
      </x:c>
      <x:c r="V769" t="n">
        <x:v>1</x:v>
      </x:c>
      <x:c r="W769" t="n">
        <x:v>0</x:v>
      </x:c>
      <x:c r="X769" t="n">
        <x:v>0</x:v>
      </x:c>
      <x:c r="Y769" t="n">
        <x:v>0</x:v>
      </x:c>
      <x:c r="Z769" t="n">
        <x:v>1</x:v>
      </x:c>
      <x:c r="AA769" t="n">
        <x:v>2</x:v>
      </x:c>
      <x:c r="AB769" t="str">
        <x:v>Pass</x:v>
      </x:c>
      <x:c r="AC769" t="str"/>
      <x:c r="AD769" t="str"/>
    </x:row>
    <x:row r="770">
      <x:c r="A770" t="str">
        <x:v>REC0769</x:v>
      </x:c>
      <x:c r="B770" t="n">
        <x:v>768</x:v>
      </x:c>
      <x:c r="C770" t="str">
        <x:v>Puerto Rico</x:v>
      </x:c>
      <x:c r="D770" t="str">
        <x:v>GV</x:v>
      </x:c>
      <x:c r="E770" t="str">
        <x:v>Ground Validation</x:v>
      </x:c>
      <x:c r="F770" t="str">
        <x:v>HD Seaviewer Drop Camera</x:v>
      </x:c>
      <x:c r="G770" t="str">
        <x:v>GV2016_118</x:v>
      </x:c>
      <x:c r="H770" s="28" t="n">
        <x:v>42603</x:v>
      </x:c>
      <x:c r="I770" t="str">
        <x:v>08:00:48</x:v>
      </x:c>
      <x:c r="J770" t="n">
        <x:v>2016</x:v>
      </x:c>
      <x:c r="K770" t="n">
        <x:v>18.16184473</x:v>
      </x:c>
      <x:c r="L770" t="n">
        <x:v>-65.21138264</x:v>
      </x:c>
      <x:c r="M770" t="n">
        <x:v>36.949</x:v>
      </x:c>
      <x:c r="N770" t="str">
        <x:v>https://nccospublicstor.blob.core.windows.net/biomapper/usviinsularshelf2017/videos/low/GV2016_118.mp4</x:v>
      </x:c>
      <x:c r="O770" t="n">
        <x:v>1</x:v>
      </x:c>
      <x:c r="P770" t="n">
        <x:v>0</x:v>
      </x:c>
      <x:c r="Q770" t="n">
        <x:v>0</x:v>
      </x:c>
      <x:c r="R770" t="n">
        <x:v>0</x:v>
      </x:c>
      <x:c r="S770" t="n">
        <x:v>1</x:v>
      </x:c>
      <x:c r="T770" t="n">
        <x:v>1</x:v>
      </x:c>
      <x:c r="U770" t="n">
        <x:v>1</x:v>
      </x:c>
      <x:c r="V770" t="n">
        <x:v>1</x:v>
      </x:c>
      <x:c r="W770" t="n">
        <x:v>0</x:v>
      </x:c>
      <x:c r="X770" t="n">
        <x:v>0</x:v>
      </x:c>
      <x:c r="Y770" t="n">
        <x:v>0</x:v>
      </x:c>
      <x:c r="Z770" t="n">
        <x:v>1</x:v>
      </x:c>
      <x:c r="AA770" t="n">
        <x:v>4</x:v>
      </x:c>
      <x:c r="AB770" t="str">
        <x:v>Pass</x:v>
      </x:c>
      <x:c r="AC770" t="str"/>
      <x:c r="AD770" t="str"/>
    </x:row>
    <x:row r="771">
      <x:c r="A771" t="str">
        <x:v>REC0770</x:v>
      </x:c>
      <x:c r="B771" t="n">
        <x:v>769</x:v>
      </x:c>
      <x:c r="C771" t="str">
        <x:v>St. Thomas, USVI</x:v>
      </x:c>
      <x:c r="D771" t="str">
        <x:v>GV</x:v>
      </x:c>
      <x:c r="E771" t="str">
        <x:v>Ground Validation</x:v>
      </x:c>
      <x:c r="F771" t="str">
        <x:v>HD Seaviewer Drop Camera</x:v>
      </x:c>
      <x:c r="G771" t="str">
        <x:v>GV2016_120</x:v>
      </x:c>
      <x:c r="H771" s="28" t="n">
        <x:v>42612</x:v>
      </x:c>
      <x:c r="I771" t="str">
        <x:v>11:36:45</x:v>
      </x:c>
      <x:c r="J771" t="n">
        <x:v>2016</x:v>
      </x:c>
      <x:c r="K771" t="n">
        <x:v>18.27287908</x:v>
      </x:c>
      <x:c r="L771" t="n">
        <x:v>-64.95906027</x:v>
      </x:c>
      <x:c r="M771" t="n">
        <x:v>33.505</x:v>
      </x:c>
      <x:c r="N771" t="str">
        <x:v>https://nccospublicstor.blob.core.windows.net/biomapper/usviinsularshelf2017/videos/low/GV2016_120.mp4</x:v>
      </x:c>
      <x:c r="O771" t="n">
        <x:v>0</x:v>
      </x:c>
      <x:c r="P771" t="n">
        <x:v>0</x:v>
      </x:c>
      <x:c r="Q771" t="n">
        <x:v>1</x:v>
      </x:c>
      <x:c r="R771" t="n">
        <x:v>1</x:v>
      </x:c>
      <x:c r="S771" t="n">
        <x:v>0</x:v>
      </x:c>
      <x:c r="T771" t="n">
        <x:v>0</x:v>
      </x:c>
      <x:c r="U771" t="n">
        <x:v>1</x:v>
      </x:c>
      <x:c r="V771" t="n">
        <x:v>1</x:v>
      </x:c>
      <x:c r="W771" t="n">
        <x:v>0</x:v>
      </x:c>
      <x:c r="X771" t="n">
        <x:v>0</x:v>
      </x:c>
      <x:c r="Y771" t="n">
        <x:v>0</x:v>
      </x:c>
      <x:c r="Z771" t="n">
        <x:v>2</x:v>
      </x:c>
      <x:c r="AA771" t="n">
        <x:v>2</x:v>
      </x:c>
      <x:c r="AB771" t="str">
        <x:v>Pass</x:v>
      </x:c>
      <x:c r="AC771" t="str"/>
      <x:c r="AD771" t="str">
        <x:v>spur and groove</x:v>
      </x:c>
    </x:row>
    <x:row r="772">
      <x:c r="A772" t="str">
        <x:v>REC0771</x:v>
      </x:c>
      <x:c r="B772" t="n">
        <x:v>770</x:v>
      </x:c>
      <x:c r="C772" t="str">
        <x:v>St. Thomas, USVI</x:v>
      </x:c>
      <x:c r="D772" t="str">
        <x:v>GV</x:v>
      </x:c>
      <x:c r="E772" t="str">
        <x:v>Ground Validation</x:v>
      </x:c>
      <x:c r="F772" t="str">
        <x:v>HD Seaviewer Drop Camera</x:v>
      </x:c>
      <x:c r="G772" t="str">
        <x:v>GV2016_121</x:v>
      </x:c>
      <x:c r="H772" s="28" t="n">
        <x:v>42607</x:v>
      </x:c>
      <x:c r="I772" t="str">
        <x:v>13:48:33</x:v>
      </x:c>
      <x:c r="J772" t="n">
        <x:v>2016</x:v>
      </x:c>
      <x:c r="K772" t="n">
        <x:v>18.23570439</x:v>
      </x:c>
      <x:c r="L772" t="n">
        <x:v>-65.08259661</x:v>
      </x:c>
      <x:c r="M772" t="n">
        <x:v>32.314</x:v>
      </x:c>
      <x:c r="N772" t="str">
        <x:v>https://nccospublicstor.blob.core.windows.net/biomapper/usviinsularshelf2017/videos/low/GV2016_121.mp4</x:v>
      </x:c>
      <x:c r="O772" t="n">
        <x:v>1</x:v>
      </x:c>
      <x:c r="P772" t="n">
        <x:v>0</x:v>
      </x:c>
      <x:c r="Q772" t="n">
        <x:v>0</x:v>
      </x:c>
      <x:c r="R772" t="n">
        <x:v>0</x:v>
      </x:c>
      <x:c r="S772" t="n">
        <x:v>1</x:v>
      </x:c>
      <x:c r="T772" t="n">
        <x:v>0</x:v>
      </x:c>
      <x:c r="U772" t="n">
        <x:v>1</x:v>
      </x:c>
      <x:c r="V772" t="n">
        <x:v>1</x:v>
      </x:c>
      <x:c r="W772" t="n">
        <x:v>0</x:v>
      </x:c>
      <x:c r="X772" t="n">
        <x:v>0</x:v>
      </x:c>
      <x:c r="Y772" t="n">
        <x:v>0</x:v>
      </x:c>
      <x:c r="Z772" t="n">
        <x:v>1</x:v>
      </x:c>
      <x:c r="AA772" t="n">
        <x:v>3</x:v>
      </x:c>
      <x:c r="AB772" t="str">
        <x:v>Pass</x:v>
      </x:c>
      <x:c r="AC772" t="str"/>
      <x:c r="AD772" t="str"/>
    </x:row>
    <x:row r="773">
      <x:c r="A773" t="str">
        <x:v>REC0772</x:v>
      </x:c>
      <x:c r="B773" t="n">
        <x:v>771</x:v>
      </x:c>
      <x:c r="C773" t="str">
        <x:v>St. Thomas, USVI</x:v>
      </x:c>
      <x:c r="D773" t="str">
        <x:v>GV</x:v>
      </x:c>
      <x:c r="E773" t="str">
        <x:v>Ground Validation</x:v>
      </x:c>
      <x:c r="F773" t="str">
        <x:v>HD Seaviewer Drop Camera</x:v>
      </x:c>
      <x:c r="G773" t="str">
        <x:v>GV2016_122</x:v>
      </x:c>
      <x:c r="H773" s="28" t="n">
        <x:v>42608</x:v>
      </x:c>
      <x:c r="I773" t="str">
        <x:v>11:09:06</x:v>
      </x:c>
      <x:c r="J773" t="n">
        <x:v>2016</x:v>
      </x:c>
      <x:c r="K773" t="n">
        <x:v>18.20216038</x:v>
      </x:c>
      <x:c r="L773" t="n">
        <x:v>-65.02266991</x:v>
      </x:c>
      <x:c r="M773" t="n">
        <x:v>43.332</x:v>
      </x:c>
      <x:c r="N773" t="str">
        <x:v>https://nccospublicstor.blob.core.windows.net/biomapper/usviinsularshelf2017/videos/low/GV2016_122.mp4</x:v>
      </x:c>
      <x:c r="O773" t="n">
        <x:v>1</x:v>
      </x:c>
      <x:c r="P773" t="n">
        <x:v>0</x:v>
      </x:c>
      <x:c r="Q773" t="n">
        <x:v>0</x:v>
      </x:c>
      <x:c r="R773" t="n">
        <x:v>0</x:v>
      </x:c>
      <x:c r="S773" t="n">
        <x:v>1</x:v>
      </x:c>
      <x:c r="T773" t="n">
        <x:v>1</x:v>
      </x:c>
      <x:c r="U773" t="n">
        <x:v>1</x:v>
      </x:c>
      <x:c r="V773" t="n">
        <x:v>1</x:v>
      </x:c>
      <x:c r="W773" t="n">
        <x:v>0</x:v>
      </x:c>
      <x:c r="X773" t="n">
        <x:v>0</x:v>
      </x:c>
      <x:c r="Y773" t="n">
        <x:v>0</x:v>
      </x:c>
      <x:c r="Z773" t="n">
        <x:v>1</x:v>
      </x:c>
      <x:c r="AA773" t="n">
        <x:v>4</x:v>
      </x:c>
      <x:c r="AB773" t="str">
        <x:v>Pass</x:v>
      </x:c>
      <x:c r="AC773" t="str"/>
      <x:c r="AD773" t="str"/>
    </x:row>
    <x:row r="774">
      <x:c r="A774" t="str">
        <x:v>REC0773</x:v>
      </x:c>
      <x:c r="B774" t="n">
        <x:v>772</x:v>
      </x:c>
      <x:c r="C774" t="str">
        <x:v>St. Thomas, USVI</x:v>
      </x:c>
      <x:c r="D774" t="str">
        <x:v>GV</x:v>
      </x:c>
      <x:c r="E774" t="str">
        <x:v>Ground Validation</x:v>
      </x:c>
      <x:c r="F774" t="str">
        <x:v>HD Seaviewer Drop Camera</x:v>
      </x:c>
      <x:c r="G774" t="str">
        <x:v>GV2016_123</x:v>
      </x:c>
      <x:c r="H774" s="28" t="n">
        <x:v>42611</x:v>
      </x:c>
      <x:c r="I774" t="str">
        <x:v>12:11:10</x:v>
      </x:c>
      <x:c r="J774" t="n">
        <x:v>2016</x:v>
      </x:c>
      <x:c r="K774" t="n">
        <x:v>18.26503492</x:v>
      </x:c>
      <x:c r="L774" t="n">
        <x:v>-64.92337131</x:v>
      </x:c>
      <x:c r="M774" t="n">
        <x:v>33.55</x:v>
      </x:c>
      <x:c r="N774" t="str">
        <x:v>https://nccospublicstor.blob.core.windows.net/biomapper/usviinsularshelf2017/videos/low/GV2016_123.mp4</x:v>
      </x:c>
      <x:c r="O774" t="n">
        <x:v>0</x:v>
      </x:c>
      <x:c r="P774" t="n">
        <x:v>0</x:v>
      </x:c>
      <x:c r="Q774" t="n">
        <x:v>1</x:v>
      </x:c>
      <x:c r="R774" t="n">
        <x:v>0</x:v>
      </x:c>
      <x:c r="S774" t="n">
        <x:v>0</x:v>
      </x:c>
      <x:c r="T774" t="n">
        <x:v>0</x:v>
      </x:c>
      <x:c r="U774" t="n">
        <x:v>1</x:v>
      </x:c>
      <x:c r="V774" t="n">
        <x:v>1</x:v>
      </x:c>
      <x:c r="W774" t="n">
        <x:v>0</x:v>
      </x:c>
      <x:c r="X774" t="n">
        <x:v>0</x:v>
      </x:c>
      <x:c r="Y774" t="n">
        <x:v>0</x:v>
      </x:c>
      <x:c r="Z774" t="n">
        <x:v>1</x:v>
      </x:c>
      <x:c r="AA774" t="n">
        <x:v>2</x:v>
      </x:c>
      <x:c r="AB774" t="str">
        <x:v>Pass</x:v>
      </x:c>
      <x:c r="AC774" t="str"/>
      <x:c r="AD774" t="str"/>
    </x:row>
    <x:row r="775">
      <x:c r="A775" t="str">
        <x:v>REC0774</x:v>
      </x:c>
      <x:c r="B775" t="n">
        <x:v>773</x:v>
      </x:c>
      <x:c r="C775" t="str">
        <x:v>Puerto Rico</x:v>
      </x:c>
      <x:c r="D775" t="str">
        <x:v>GV</x:v>
      </x:c>
      <x:c r="E775" t="str">
        <x:v>Ground Validation</x:v>
      </x:c>
      <x:c r="F775" t="str">
        <x:v>HD Seaviewer Drop Camera</x:v>
      </x:c>
      <x:c r="G775" t="str">
        <x:v>GV2016_124</x:v>
      </x:c>
      <x:c r="H775" s="28" t="n">
        <x:v>42605</x:v>
      </x:c>
      <x:c r="I775" t="str">
        <x:v>10:02:16</x:v>
      </x:c>
      <x:c r="J775" t="n">
        <x:v>2016</x:v>
      </x:c>
      <x:c r="K775" t="n">
        <x:v>18.19237598</x:v>
      </x:c>
      <x:c r="L775" t="n">
        <x:v>-65.1669612</x:v>
      </x:c>
      <x:c r="M775" t="n">
        <x:v>43.191</x:v>
      </x:c>
      <x:c r="N775" t="str">
        <x:v>https://nccospublicstor.blob.core.windows.net/biomapper/usviinsularshelf2017/videos/low/GV2016_124.mp4</x:v>
      </x:c>
      <x:c r="O775" t="n">
        <x:v>1</x:v>
      </x:c>
      <x:c r="P775" t="n">
        <x:v>0</x:v>
      </x:c>
      <x:c r="Q775" t="n">
        <x:v>0</x:v>
      </x:c>
      <x:c r="R775" t="n">
        <x:v>1</x:v>
      </x:c>
      <x:c r="S775" t="n">
        <x:v>1</x:v>
      </x:c>
      <x:c r="T775" t="n">
        <x:v>1</x:v>
      </x:c>
      <x:c r="U775" t="n">
        <x:v>1</x:v>
      </x:c>
      <x:c r="V775" t="n">
        <x:v>1</x:v>
      </x:c>
      <x:c r="W775" t="n">
        <x:v>0</x:v>
      </x:c>
      <x:c r="X775" t="n">
        <x:v>0</x:v>
      </x:c>
      <x:c r="Y775" t="n">
        <x:v>0</x:v>
      </x:c>
      <x:c r="Z775" t="n">
        <x:v>2</x:v>
      </x:c>
      <x:c r="AA775" t="n">
        <x:v>4</x:v>
      </x:c>
      <x:c r="AB775" t="str">
        <x:v>Pass</x:v>
      </x:c>
      <x:c r="AC775" t="str"/>
      <x:c r="AD775" t="str"/>
    </x:row>
    <x:row r="776">
      <x:c r="A776" t="str">
        <x:v>REC0775</x:v>
      </x:c>
      <x:c r="B776" t="n">
        <x:v>774</x:v>
      </x:c>
      <x:c r="C776" t="str">
        <x:v>Puerto Rico</x:v>
      </x:c>
      <x:c r="D776" t="str">
        <x:v>GV</x:v>
      </x:c>
      <x:c r="E776" t="str">
        <x:v>Ground Validation</x:v>
      </x:c>
      <x:c r="F776" t="str">
        <x:v>HD Seaviewer Drop Camera</x:v>
      </x:c>
      <x:c r="G776" t="str">
        <x:v>GV2016_125</x:v>
      </x:c>
      <x:c r="H776" s="28" t="n">
        <x:v>42605</x:v>
      </x:c>
      <x:c r="I776" t="str">
        <x:v>10:14:20</x:v>
      </x:c>
      <x:c r="J776" t="n">
        <x:v>2016</x:v>
      </x:c>
      <x:c r="K776" t="n">
        <x:v>18.19505944</x:v>
      </x:c>
      <x:c r="L776" t="n">
        <x:v>-65.16015001</x:v>
      </x:c>
      <x:c r="M776" t="n">
        <x:v>41.683</x:v>
      </x:c>
      <x:c r="N776" t="str">
        <x:v>https://nccospublicstor.blob.core.windows.net/biomapper/usviinsularshelf2017/videos/low/GV2016_125.mp4</x:v>
      </x:c>
      <x:c r="O776" t="n">
        <x:v>1</x:v>
      </x:c>
      <x:c r="P776" t="n">
        <x:v>0</x:v>
      </x:c>
      <x:c r="Q776" t="n">
        <x:v>0</x:v>
      </x:c>
      <x:c r="R776" t="n">
        <x:v>0</x:v>
      </x:c>
      <x:c r="S776" t="n">
        <x:v>1</x:v>
      </x:c>
      <x:c r="T776" t="n">
        <x:v>1</x:v>
      </x:c>
      <x:c r="U776" t="n">
        <x:v>1</x:v>
      </x:c>
      <x:c r="V776" t="n">
        <x:v>1</x:v>
      </x:c>
      <x:c r="W776" t="n">
        <x:v>0</x:v>
      </x:c>
      <x:c r="X776" t="n">
        <x:v>0</x:v>
      </x:c>
      <x:c r="Y776" t="n">
        <x:v>0</x:v>
      </x:c>
      <x:c r="Z776" t="n">
        <x:v>1</x:v>
      </x:c>
      <x:c r="AA776" t="n">
        <x:v>4</x:v>
      </x:c>
      <x:c r="AB776" t="str">
        <x:v>Pass</x:v>
      </x:c>
      <x:c r="AC776" t="str"/>
      <x:c r="AD776" t="str"/>
    </x:row>
    <x:row r="777">
      <x:c r="A777" t="str">
        <x:v>REC0776</x:v>
      </x:c>
      <x:c r="B777" t="n">
        <x:v>775</x:v>
      </x:c>
      <x:c r="C777" t="str">
        <x:v>Puerto Rico</x:v>
      </x:c>
      <x:c r="D777" t="str">
        <x:v>GV</x:v>
      </x:c>
      <x:c r="E777" t="str">
        <x:v>Ground Validation</x:v>
      </x:c>
      <x:c r="F777" t="str">
        <x:v>HD Seaviewer Drop Camera</x:v>
      </x:c>
      <x:c r="G777" t="str">
        <x:v>GV2016_126</x:v>
      </x:c>
      <x:c r="H777" s="28" t="n">
        <x:v>42603</x:v>
      </x:c>
      <x:c r="I777" t="str">
        <x:v>07:37:02</x:v>
      </x:c>
      <x:c r="J777" t="n">
        <x:v>2016</x:v>
      </x:c>
      <x:c r="K777" t="n">
        <x:v>18.16079625</x:v>
      </x:c>
      <x:c r="L777" t="n">
        <x:v>-65.18539084</x:v>
      </x:c>
      <x:c r="M777" t="n">
        <x:v>42.382</x:v>
      </x:c>
      <x:c r="N777" t="str">
        <x:v>https://nccospublicstor.blob.core.windows.net/biomapper/usviinsularshelf2017/videos/low/GV2016_126.mp4</x:v>
      </x:c>
      <x:c r="O777" t="n">
        <x:v>1</x:v>
      </x:c>
      <x:c r="P777" t="n">
        <x:v>0</x:v>
      </x:c>
      <x:c r="Q777" t="n">
        <x:v>0</x:v>
      </x:c>
      <x:c r="R777" t="n">
        <x:v>0</x:v>
      </x:c>
      <x:c r="S777" t="n">
        <x:v>1</x:v>
      </x:c>
      <x:c r="T777" t="n">
        <x:v>1</x:v>
      </x:c>
      <x:c r="U777" t="n">
        <x:v>1</x:v>
      </x:c>
      <x:c r="V777" t="n">
        <x:v>1</x:v>
      </x:c>
      <x:c r="W777" t="n">
        <x:v>0</x:v>
      </x:c>
      <x:c r="X777" t="n">
        <x:v>0</x:v>
      </x:c>
      <x:c r="Y777" t="n">
        <x:v>0</x:v>
      </x:c>
      <x:c r="Z777" t="n">
        <x:v>1</x:v>
      </x:c>
      <x:c r="AA777" t="n">
        <x:v>4</x:v>
      </x:c>
      <x:c r="AB777" t="str">
        <x:v>Pass</x:v>
      </x:c>
      <x:c r="AC777" t="str"/>
      <x:c r="AD777" t="str">
        <x:v>Coral Bleaching</x:v>
      </x:c>
    </x:row>
    <x:row r="778">
      <x:c r="A778" t="str">
        <x:v>REC0777</x:v>
      </x:c>
      <x:c r="B778" t="n">
        <x:v>776</x:v>
      </x:c>
      <x:c r="C778" t="str">
        <x:v>St. John, USVI</x:v>
      </x:c>
      <x:c r="D778" t="str">
        <x:v>GV</x:v>
      </x:c>
      <x:c r="E778" t="str">
        <x:v>Ground Validation</x:v>
      </x:c>
      <x:c r="F778" t="str">
        <x:v>HD Seaviewer Drop Camera</x:v>
      </x:c>
      <x:c r="G778" t="str">
        <x:v>GV2016_127</x:v>
      </x:c>
      <x:c r="H778" s="28" t="n">
        <x:v>42630</x:v>
      </x:c>
      <x:c r="I778" t="str">
        <x:v>11:46:44</x:v>
      </x:c>
      <x:c r="J778" t="n">
        <x:v>2016</x:v>
      </x:c>
      <x:c r="K778" t="n">
        <x:v>18.2133457</x:v>
      </x:c>
      <x:c r="L778" t="n">
        <x:v>-64.76197205</x:v>
      </x:c>
      <x:c r="M778" t="n">
        <x:v>51.129</x:v>
      </x:c>
      <x:c r="N778" t="str">
        <x:v>https://nccospublicstor.blob.core.windows.net/biomapper/usviinsularshelf2017/videos/low/GV2016_127.mp4</x:v>
      </x:c>
      <x:c r="O778" t="n">
        <x:v>0</x:v>
      </x:c>
      <x:c r="P778" t="n">
        <x:v>1</x:v>
      </x:c>
      <x:c r="Q778" t="n">
        <x:v>1</x:v>
      </x:c>
      <x:c r="R778" t="n">
        <x:v>0</x:v>
      </x:c>
      <x:c r="S778" t="n">
        <x:v>1</x:v>
      </x:c>
      <x:c r="T778" t="n">
        <x:v>0</x:v>
      </x:c>
      <x:c r="U778" t="n">
        <x:v>1</x:v>
      </x:c>
      <x:c r="V778" t="n">
        <x:v>1</x:v>
      </x:c>
      <x:c r="W778" t="n">
        <x:v>0</x:v>
      </x:c>
      <x:c r="X778" t="n">
        <x:v>0</x:v>
      </x:c>
      <x:c r="Y778" t="n">
        <x:v>0</x:v>
      </x:c>
      <x:c r="Z778" t="n">
        <x:v>2</x:v>
      </x:c>
      <x:c r="AA778" t="n">
        <x:v>3</x:v>
      </x:c>
      <x:c r="AB778" t="str">
        <x:v>Pass</x:v>
      </x:c>
      <x:c r="AC778" t="str"/>
      <x:c r="AD778" t="str"/>
    </x:row>
    <x:row r="779">
      <x:c r="A779" t="str">
        <x:v>REC0778</x:v>
      </x:c>
      <x:c r="B779" t="n">
        <x:v>777</x:v>
      </x:c>
      <x:c r="C779" t="str">
        <x:v>Puerto Rico</x:v>
      </x:c>
      <x:c r="D779" t="str">
        <x:v>GV</x:v>
      </x:c>
      <x:c r="E779" t="str">
        <x:v>Ground Validation</x:v>
      </x:c>
      <x:c r="F779" t="str">
        <x:v>HD Seaviewer Drop Camera</x:v>
      </x:c>
      <x:c r="G779" t="str">
        <x:v>GV2016_128</x:v>
      </x:c>
      <x:c r="H779" s="28" t="n">
        <x:v>42607</x:v>
      </x:c>
      <x:c r="I779" t="str">
        <x:v>10:15:13</x:v>
      </x:c>
      <x:c r="J779" t="n">
        <x:v>2016</x:v>
      </x:c>
      <x:c r="K779" t="n">
        <x:v>18.23363645</x:v>
      </x:c>
      <x:c r="L779" t="n">
        <x:v>-65.18827592</x:v>
      </x:c>
      <x:c r="M779" t="n">
        <x:v>31.646</x:v>
      </x:c>
      <x:c r="N779" t="str">
        <x:v>https://nccospublicstor.blob.core.windows.net/biomapper/usviinsularshelf2017/videos/low/GV2016_128.mp4</x:v>
      </x:c>
      <x:c r="O779" t="n">
        <x:v>1</x:v>
      </x:c>
      <x:c r="P779" t="n">
        <x:v>0</x:v>
      </x:c>
      <x:c r="Q779" t="n">
        <x:v>0</x:v>
      </x:c>
      <x:c r="R779" t="n">
        <x:v>1</x:v>
      </x:c>
      <x:c r="S779" t="n">
        <x:v>1</x:v>
      </x:c>
      <x:c r="T779" t="n">
        <x:v>1</x:v>
      </x:c>
      <x:c r="U779" t="n">
        <x:v>1</x:v>
      </x:c>
      <x:c r="V779" t="n">
        <x:v>1</x:v>
      </x:c>
      <x:c r="W779" t="n">
        <x:v>0</x:v>
      </x:c>
      <x:c r="X779" t="n">
        <x:v>0</x:v>
      </x:c>
      <x:c r="Y779" t="n">
        <x:v>0</x:v>
      </x:c>
      <x:c r="Z779" t="n">
        <x:v>2</x:v>
      </x:c>
      <x:c r="AA779" t="n">
        <x:v>4</x:v>
      </x:c>
      <x:c r="AB779" t="str">
        <x:v>Pass</x:v>
      </x:c>
      <x:c r="AC779" t="str"/>
      <x:c r="AD779" t="str"/>
    </x:row>
    <x:row r="780">
      <x:c r="A780" t="str">
        <x:v>REC0779</x:v>
      </x:c>
      <x:c r="B780" t="n">
        <x:v>778</x:v>
      </x:c>
      <x:c r="C780" t="str">
        <x:v>St. Thomas, USVI</x:v>
      </x:c>
      <x:c r="D780" t="str">
        <x:v>GV</x:v>
      </x:c>
      <x:c r="E780" t="str">
        <x:v>Ground Validation</x:v>
      </x:c>
      <x:c r="F780" t="str">
        <x:v>HD Seaviewer Drop Camera</x:v>
      </x:c>
      <x:c r="G780" t="str">
        <x:v>GV2016_129</x:v>
      </x:c>
      <x:c r="H780" s="28" t="n">
        <x:v>42609</x:v>
      </x:c>
      <x:c r="I780" t="str">
        <x:v>08:35:53</x:v>
      </x:c>
      <x:c r="J780" t="n">
        <x:v>2016</x:v>
      </x:c>
      <x:c r="K780" t="n">
        <x:v>18.19528694</x:v>
      </x:c>
      <x:c r="L780" t="n">
        <x:v>-65.09600727</x:v>
      </x:c>
      <x:c r="M780" t="n">
        <x:v>43.484</x:v>
      </x:c>
      <x:c r="N780" t="str">
        <x:v>https://nccospublicstor.blob.core.windows.net/biomapper/usviinsularshelf2017/videos/low/GV2016_129.mp4</x:v>
      </x:c>
      <x:c r="O780" t="n">
        <x:v>1</x:v>
      </x:c>
      <x:c r="P780" t="n">
        <x:v>0</x:v>
      </x:c>
      <x:c r="Q780" t="n">
        <x:v>0</x:v>
      </x:c>
      <x:c r="R780" t="n">
        <x:v>1</x:v>
      </x:c>
      <x:c r="S780" t="n">
        <x:v>1</x:v>
      </x:c>
      <x:c r="T780" t="n">
        <x:v>1</x:v>
      </x:c>
      <x:c r="U780" t="n">
        <x:v>1</x:v>
      </x:c>
      <x:c r="V780" t="n">
        <x:v>1</x:v>
      </x:c>
      <x:c r="W780" t="n">
        <x:v>0</x:v>
      </x:c>
      <x:c r="X780" t="n">
        <x:v>0</x:v>
      </x:c>
      <x:c r="Y780" t="n">
        <x:v>0</x:v>
      </x:c>
      <x:c r="Z780" t="n">
        <x:v>2</x:v>
      </x:c>
      <x:c r="AA780" t="n">
        <x:v>4</x:v>
      </x:c>
      <x:c r="AB780" t="str">
        <x:v>Pass</x:v>
      </x:c>
      <x:c r="AC780" t="str"/>
      <x:c r="AD780" t="str"/>
    </x:row>
    <x:row r="781">
      <x:c r="A781" t="str">
        <x:v>REC0780</x:v>
      </x:c>
      <x:c r="B781" t="n">
        <x:v>779</x:v>
      </x:c>
      <x:c r="C781" t="str">
        <x:v>St. Thomas, USVI</x:v>
      </x:c>
      <x:c r="D781" t="str">
        <x:v>GV</x:v>
      </x:c>
      <x:c r="E781" t="str">
        <x:v>Ground Validation</x:v>
      </x:c>
      <x:c r="F781" t="str">
        <x:v>HD Seaviewer Drop Camera</x:v>
      </x:c>
      <x:c r="G781" t="str">
        <x:v>GV2016_130</x:v>
      </x:c>
      <x:c r="H781" s="28" t="n">
        <x:v>42611</x:v>
      </x:c>
      <x:c r="I781" t="str">
        <x:v>09:28:06</x:v>
      </x:c>
      <x:c r="J781" t="n">
        <x:v>2016</x:v>
      </x:c>
      <x:c r="K781" t="n">
        <x:v>18.22950588</x:v>
      </x:c>
      <x:c r="L781" t="n">
        <x:v>-64.86714379</x:v>
      </x:c>
      <x:c r="M781" t="n">
        <x:v>42.5</x:v>
      </x:c>
      <x:c r="N781" t="str">
        <x:v>https://nccospublicstor.blob.core.windows.net/biomapper/usviinsularshelf2017/videos/low/GV2016_130.mp4</x:v>
      </x:c>
      <x:c r="O781" t="n">
        <x:v>0</x:v>
      </x:c>
      <x:c r="P781" t="n">
        <x:v>0</x:v>
      </x:c>
      <x:c r="Q781" t="n">
        <x:v>1</x:v>
      </x:c>
      <x:c r="R781" t="n">
        <x:v>0</x:v>
      </x:c>
      <x:c r="S781" t="n">
        <x:v>0</x:v>
      </x:c>
      <x:c r="T781" t="n">
        <x:v>0</x:v>
      </x:c>
      <x:c r="U781" t="n">
        <x:v>1</x:v>
      </x:c>
      <x:c r="V781" t="n">
        <x:v>1</x:v>
      </x:c>
      <x:c r="W781" t="n">
        <x:v>0</x:v>
      </x:c>
      <x:c r="X781" t="n">
        <x:v>0</x:v>
      </x:c>
      <x:c r="Y781" t="n">
        <x:v>0</x:v>
      </x:c>
      <x:c r="Z781" t="n">
        <x:v>1</x:v>
      </x:c>
      <x:c r="AA781" t="n">
        <x:v>2</x:v>
      </x:c>
      <x:c r="AB781" t="str">
        <x:v>Pass</x:v>
      </x:c>
      <x:c r="AC781" t="str"/>
      <x:c r="AD781" t="str"/>
    </x:row>
    <x:row r="782">
      <x:c r="A782" t="str">
        <x:v>REC0781</x:v>
      </x:c>
      <x:c r="B782" t="n">
        <x:v>780</x:v>
      </x:c>
      <x:c r="C782" t="str">
        <x:v>St. Thomas, USVI</x:v>
      </x:c>
      <x:c r="D782" t="str">
        <x:v>GV</x:v>
      </x:c>
      <x:c r="E782" t="str">
        <x:v>Ground Validation</x:v>
      </x:c>
      <x:c r="F782" t="str">
        <x:v>HD Seaviewer Drop Camera</x:v>
      </x:c>
      <x:c r="G782" t="str">
        <x:v>GV2016_131</x:v>
      </x:c>
      <x:c r="H782" s="28" t="n">
        <x:v>42610</x:v>
      </x:c>
      <x:c r="I782" t="str">
        <x:v>14:01:24</x:v>
      </x:c>
      <x:c r="J782" t="n">
        <x:v>2016</x:v>
      </x:c>
      <x:c r="K782" t="n">
        <x:v>18.25378144</x:v>
      </x:c>
      <x:c r="L782" t="n">
        <x:v>-64.91806199</x:v>
      </x:c>
      <x:c r="M782" t="n">
        <x:v>39.92</x:v>
      </x:c>
      <x:c r="N782" t="str">
        <x:v>https://nccospublicstor.blob.core.windows.net/biomapper/usviinsularshelf2017/videos/low/GV2016_131.mp4</x:v>
      </x:c>
      <x:c r="O782" t="n">
        <x:v>0</x:v>
      </x:c>
      <x:c r="P782" t="n">
        <x:v>0</x:v>
      </x:c>
      <x:c r="Q782" t="n">
        <x:v>1</x:v>
      </x:c>
      <x:c r="R782" t="n">
        <x:v>1</x:v>
      </x:c>
      <x:c r="S782" t="n">
        <x:v>0</x:v>
      </x:c>
      <x:c r="T782" t="n">
        <x:v>0</x:v>
      </x:c>
      <x:c r="U782" t="n">
        <x:v>1</x:v>
      </x:c>
      <x:c r="V782" t="n">
        <x:v>1</x:v>
      </x:c>
      <x:c r="W782" t="n">
        <x:v>0</x:v>
      </x:c>
      <x:c r="X782" t="n">
        <x:v>0</x:v>
      </x:c>
      <x:c r="Y782" t="n">
        <x:v>0</x:v>
      </x:c>
      <x:c r="Z782" t="n">
        <x:v>2</x:v>
      </x:c>
      <x:c r="AA782" t="n">
        <x:v>2</x:v>
      </x:c>
      <x:c r="AB782" t="str">
        <x:v>Pass</x:v>
      </x:c>
      <x:c r="AC782" t="str"/>
      <x:c r="AD782" t="str"/>
    </x:row>
    <x:row r="783">
      <x:c r="A783" t="str">
        <x:v>REC0782</x:v>
      </x:c>
      <x:c r="B783" t="n">
        <x:v>781</x:v>
      </x:c>
      <x:c r="C783" t="str">
        <x:v>St. John, USVI</x:v>
      </x:c>
      <x:c r="D783" t="str">
        <x:v>GV</x:v>
      </x:c>
      <x:c r="E783" t="str">
        <x:v>Ground Validation</x:v>
      </x:c>
      <x:c r="F783" t="str">
        <x:v>HD Seaviewer Drop Camera</x:v>
      </x:c>
      <x:c r="G783" t="str">
        <x:v>GV2016_132</x:v>
      </x:c>
      <x:c r="H783" s="28" t="n">
        <x:v>42630</x:v>
      </x:c>
      <x:c r="I783" t="str">
        <x:v>10:21:55</x:v>
      </x:c>
      <x:c r="J783" t="n">
        <x:v>2016</x:v>
      </x:c>
      <x:c r="K783" t="n">
        <x:v>18.21392775</x:v>
      </x:c>
      <x:c r="L783" t="n">
        <x:v>-64.72970579</x:v>
      </x:c>
      <x:c r="M783" t="n">
        <x:v>51.744</x:v>
      </x:c>
      <x:c r="N783" t="str">
        <x:v>https://nccospublicstor.blob.core.windows.net/biomapper/usviinsularshelf2017/videos/low/GV2016_132.mp4</x:v>
      </x:c>
      <x:c r="O783" t="n">
        <x:v>0</x:v>
      </x:c>
      <x:c r="P783" t="n">
        <x:v>0</x:v>
      </x:c>
      <x:c r="Q783" t="n">
        <x:v>1</x:v>
      </x:c>
      <x:c r="R783" t="n">
        <x:v>0</x:v>
      </x:c>
      <x:c r="S783" t="n">
        <x:v>0</x:v>
      </x:c>
      <x:c r="T783" t="n">
        <x:v>0</x:v>
      </x:c>
      <x:c r="U783" t="n">
        <x:v>1</x:v>
      </x:c>
      <x:c r="V783" t="n">
        <x:v>1</x:v>
      </x:c>
      <x:c r="W783" t="n">
        <x:v>0</x:v>
      </x:c>
      <x:c r="X783" t="n">
        <x:v>0</x:v>
      </x:c>
      <x:c r="Y783" t="n">
        <x:v>0</x:v>
      </x:c>
      <x:c r="Z783" t="n">
        <x:v>1</x:v>
      </x:c>
      <x:c r="AA783" t="n">
        <x:v>2</x:v>
      </x:c>
      <x:c r="AB783" t="str">
        <x:v>Pass</x:v>
      </x:c>
      <x:c r="AC783" t="str"/>
      <x:c r="AD783" t="str"/>
    </x:row>
    <x:row r="784">
      <x:c r="A784" t="str">
        <x:v>REC0783</x:v>
      </x:c>
      <x:c r="B784" t="n">
        <x:v>782</x:v>
      </x:c>
      <x:c r="C784" t="str">
        <x:v>St. Thomas, USVI</x:v>
      </x:c>
      <x:c r="D784" t="str">
        <x:v>GV</x:v>
      </x:c>
      <x:c r="E784" t="str">
        <x:v>Ground Validation</x:v>
      </x:c>
      <x:c r="F784" t="str">
        <x:v>HD Seaviewer Drop Camera</x:v>
      </x:c>
      <x:c r="G784" t="str">
        <x:v>GV2016_133</x:v>
      </x:c>
      <x:c r="H784" s="28" t="n">
        <x:v>42611</x:v>
      </x:c>
      <x:c r="I784" t="str">
        <x:v>10:17:46</x:v>
      </x:c>
      <x:c r="J784" t="n">
        <x:v>2016</x:v>
      </x:c>
      <x:c r="K784" t="n">
        <x:v>18.24353155</x:v>
      </x:c>
      <x:c r="L784" t="n">
        <x:v>-64.87331495</x:v>
      </x:c>
      <x:c r="M784" t="n">
        <x:v>41.742</x:v>
      </x:c>
      <x:c r="N784" t="str">
        <x:v>https://nccospublicstor.blob.core.windows.net/biomapper/usviinsularshelf2017/videos/low/GV2016_133.mp4</x:v>
      </x:c>
      <x:c r="O784" t="n">
        <x:v>0</x:v>
      </x:c>
      <x:c r="P784" t="n">
        <x:v>0</x:v>
      </x:c>
      <x:c r="Q784" t="n">
        <x:v>1</x:v>
      </x:c>
      <x:c r="R784" t="n">
        <x:v>0</x:v>
      </x:c>
      <x:c r="S784" t="n">
        <x:v>0</x:v>
      </x:c>
      <x:c r="T784" t="n">
        <x:v>0</x:v>
      </x:c>
      <x:c r="U784" t="n">
        <x:v>1</x:v>
      </x:c>
      <x:c r="V784" t="n">
        <x:v>1</x:v>
      </x:c>
      <x:c r="W784" t="n">
        <x:v>0</x:v>
      </x:c>
      <x:c r="X784" t="n">
        <x:v>0</x:v>
      </x:c>
      <x:c r="Y784" t="n">
        <x:v>0</x:v>
      </x:c>
      <x:c r="Z784" t="n">
        <x:v>1</x:v>
      </x:c>
      <x:c r="AA784" t="n">
        <x:v>2</x:v>
      </x:c>
      <x:c r="AB784" t="str">
        <x:v>Pass</x:v>
      </x:c>
      <x:c r="AC784" t="str"/>
      <x:c r="AD784" t="str"/>
    </x:row>
    <x:row r="785">
      <x:c r="A785" t="str">
        <x:v>REC0784</x:v>
      </x:c>
      <x:c r="B785" t="n">
        <x:v>783</x:v>
      </x:c>
      <x:c r="C785" t="str">
        <x:v>St. John, USVI</x:v>
      </x:c>
      <x:c r="D785" t="str">
        <x:v>GV</x:v>
      </x:c>
      <x:c r="E785" t="str">
        <x:v>Ground Validation</x:v>
      </x:c>
      <x:c r="F785" t="str">
        <x:v>HD Seaviewer Drop Camera</x:v>
      </x:c>
      <x:c r="G785" t="str">
        <x:v>GV2016_134</x:v>
      </x:c>
      <x:c r="H785" s="28" t="n">
        <x:v>42624</x:v>
      </x:c>
      <x:c r="I785" t="str">
        <x:v>10:15:17</x:v>
      </x:c>
      <x:c r="J785" t="n">
        <x:v>2016</x:v>
      </x:c>
      <x:c r="K785" t="n">
        <x:v>18.29000774</x:v>
      </x:c>
      <x:c r="L785" t="n">
        <x:v>-64.67661037</x:v>
      </x:c>
      <x:c r="M785" t="n">
        <x:v>32.018</x:v>
      </x:c>
      <x:c r="N785" t="str">
        <x:v>https://nccospublicstor.blob.core.windows.net/biomapper/usviinsularshelf2017/videos/low/GV2016_134.mp4</x:v>
      </x:c>
      <x:c r="O785" t="n">
        <x:v>0</x:v>
      </x:c>
      <x:c r="P785" t="n">
        <x:v>0</x:v>
      </x:c>
      <x:c r="Q785" t="n">
        <x:v>1</x:v>
      </x:c>
      <x:c r="R785" t="n">
        <x:v>1</x:v>
      </x:c>
      <x:c r="S785" t="n">
        <x:v>0</x:v>
      </x:c>
      <x:c r="T785" t="n">
        <x:v>0</x:v>
      </x:c>
      <x:c r="U785" t="n">
        <x:v>1</x:v>
      </x:c>
      <x:c r="V785" t="n">
        <x:v>1</x:v>
      </x:c>
      <x:c r="W785" t="n">
        <x:v>0</x:v>
      </x:c>
      <x:c r="X785" t="n">
        <x:v>0</x:v>
      </x:c>
      <x:c r="Y785" t="n">
        <x:v>0</x:v>
      </x:c>
      <x:c r="Z785" t="n">
        <x:v>2</x:v>
      </x:c>
      <x:c r="AA785" t="n">
        <x:v>2</x:v>
      </x:c>
      <x:c r="AB785" t="str">
        <x:v>Pass</x:v>
      </x:c>
      <x:c r="AC785" t="str"/>
      <x:c r="AD785" t="str"/>
    </x:row>
    <x:row r="786">
      <x:c r="A786" t="str">
        <x:v>REC0785</x:v>
      </x:c>
      <x:c r="B786" t="n">
        <x:v>784</x:v>
      </x:c>
      <x:c r="C786" t="str">
        <x:v>St. John, USVI</x:v>
      </x:c>
      <x:c r="D786" t="str">
        <x:v>GV</x:v>
      </x:c>
      <x:c r="E786" t="str">
        <x:v>Ground Validation</x:v>
      </x:c>
      <x:c r="F786" t="str">
        <x:v>HD Seaviewer Drop Camera</x:v>
      </x:c>
      <x:c r="G786" t="str">
        <x:v>GV2016_135</x:v>
      </x:c>
      <x:c r="H786" s="28" t="n">
        <x:v>42614</x:v>
      </x:c>
      <x:c r="I786" t="str">
        <x:v>11:57:48</x:v>
      </x:c>
      <x:c r="J786" t="n">
        <x:v>2016</x:v>
      </x:c>
      <x:c r="K786" t="n">
        <x:v>18.30490257</x:v>
      </x:c>
      <x:c r="L786" t="n">
        <x:v>-64.76756893</x:v>
      </x:c>
      <x:c r="M786" t="n">
        <x:v>23.301</x:v>
      </x:c>
      <x:c r="N786" t="str">
        <x:v>https://nccospublicstor.blob.core.windows.net/biomapper/usviinsularshelf2017/videos/low/GV2016_135.mp4</x:v>
      </x:c>
      <x:c r="O786" t="n">
        <x:v>0</x:v>
      </x:c>
      <x:c r="P786" t="n">
        <x:v>0</x:v>
      </x:c>
      <x:c r="Q786" t="n">
        <x:v>1</x:v>
      </x:c>
      <x:c r="R786" t="n">
        <x:v>0</x:v>
      </x:c>
      <x:c r="S786" t="n">
        <x:v>0</x:v>
      </x:c>
      <x:c r="T786" t="n">
        <x:v>0</x:v>
      </x:c>
      <x:c r="U786" t="n">
        <x:v>1</x:v>
      </x:c>
      <x:c r="V786" t="n">
        <x:v>1</x:v>
      </x:c>
      <x:c r="W786" t="n">
        <x:v>0</x:v>
      </x:c>
      <x:c r="X786" t="n">
        <x:v>0</x:v>
      </x:c>
      <x:c r="Y786" t="n">
        <x:v>0</x:v>
      </x:c>
      <x:c r="Z786" t="n">
        <x:v>1</x:v>
      </x:c>
      <x:c r="AA786" t="n">
        <x:v>2</x:v>
      </x:c>
      <x:c r="AB786" t="str">
        <x:v>Pass</x:v>
      </x:c>
      <x:c r="AC786" t="str"/>
      <x:c r="AD786" t="str"/>
    </x:row>
    <x:row r="787">
      <x:c r="A787" t="str">
        <x:v>REC0786</x:v>
      </x:c>
      <x:c r="B787" t="n">
        <x:v>785</x:v>
      </x:c>
      <x:c r="C787" t="str">
        <x:v>Puerto Rico</x:v>
      </x:c>
      <x:c r="D787" t="str">
        <x:v>GV</x:v>
      </x:c>
      <x:c r="E787" t="str">
        <x:v>Ground Validation</x:v>
      </x:c>
      <x:c r="F787" t="str">
        <x:v>HD Seaviewer Drop Camera</x:v>
      </x:c>
      <x:c r="G787" t="str">
        <x:v>GV2016_136</x:v>
      </x:c>
      <x:c r="H787" s="28" t="n">
        <x:v>42604</x:v>
      </x:c>
      <x:c r="I787" t="str">
        <x:v>11:02:20</x:v>
      </x:c>
      <x:c r="J787" t="n">
        <x:v>2016</x:v>
      </x:c>
      <x:c r="K787" t="n">
        <x:v>18.20066774</x:v>
      </x:c>
      <x:c r="L787" t="n">
        <x:v>-65.20701791</x:v>
      </x:c>
      <x:c r="M787" t="n">
        <x:v>35.128</x:v>
      </x:c>
      <x:c r="N787" t="str">
        <x:v>https://nccospublicstor.blob.core.windows.net/biomapper/usviinsularshelf2017/videos/low/GV2016_136.mp4</x:v>
      </x:c>
      <x:c r="O787" t="n">
        <x:v>1</x:v>
      </x:c>
      <x:c r="P787" t="n">
        <x:v>0</x:v>
      </x:c>
      <x:c r="Q787" t="n">
        <x:v>0</x:v>
      </x:c>
      <x:c r="R787" t="n">
        <x:v>0</x:v>
      </x:c>
      <x:c r="S787" t="n">
        <x:v>1</x:v>
      </x:c>
      <x:c r="T787" t="n">
        <x:v>1</x:v>
      </x:c>
      <x:c r="U787" t="n">
        <x:v>1</x:v>
      </x:c>
      <x:c r="V787" t="n">
        <x:v>1</x:v>
      </x:c>
      <x:c r="W787" t="n">
        <x:v>0</x:v>
      </x:c>
      <x:c r="X787" t="n">
        <x:v>0</x:v>
      </x:c>
      <x:c r="Y787" t="n">
        <x:v>0</x:v>
      </x:c>
      <x:c r="Z787" t="n">
        <x:v>1</x:v>
      </x:c>
      <x:c r="AA787" t="n">
        <x:v>4</x:v>
      </x:c>
      <x:c r="AB787" t="str">
        <x:v>Pass</x:v>
      </x:c>
      <x:c r="AC787" t="str"/>
      <x:c r="AD787" t="str"/>
    </x:row>
    <x:row r="788">
      <x:c r="A788" t="str">
        <x:v>REC0787</x:v>
      </x:c>
      <x:c r="B788" t="n">
        <x:v>786</x:v>
      </x:c>
      <x:c r="C788" t="str">
        <x:v>St. Thomas, USVI</x:v>
      </x:c>
      <x:c r="D788" t="str">
        <x:v>GV</x:v>
      </x:c>
      <x:c r="E788" t="str">
        <x:v>Ground Validation</x:v>
      </x:c>
      <x:c r="F788" t="str">
        <x:v>HD Seaviewer Drop Camera</x:v>
      </x:c>
      <x:c r="G788" t="str">
        <x:v>GV2016_137</x:v>
      </x:c>
      <x:c r="H788" s="28" t="n">
        <x:v>42629</x:v>
      </x:c>
      <x:c r="I788" t="str">
        <x:v>10:08:12</x:v>
      </x:c>
      <x:c r="J788" t="n">
        <x:v>2016</x:v>
      </x:c>
      <x:c r="K788" t="n">
        <x:v>18.2086465</x:v>
      </x:c>
      <x:c r="L788" t="n">
        <x:v>-64.81748544</x:v>
      </x:c>
      <x:c r="M788" t="n">
        <x:v>54.661</x:v>
      </x:c>
      <x:c r="N788" t="str">
        <x:v>https://nccospublicstor.blob.core.windows.net/biomapper/usviinsularshelf2017/videos/low/GV2016_137.mp4</x:v>
      </x:c>
      <x:c r="O788" t="n">
        <x:v>0</x:v>
      </x:c>
      <x:c r="P788" t="n">
        <x:v>0</x:v>
      </x:c>
      <x:c r="Q788" t="n">
        <x:v>1</x:v>
      </x:c>
      <x:c r="R788" t="n">
        <x:v>1</x:v>
      </x:c>
      <x:c r="S788" t="n">
        <x:v>0</x:v>
      </x:c>
      <x:c r="T788" t="n">
        <x:v>0</x:v>
      </x:c>
      <x:c r="U788" t="n">
        <x:v>1</x:v>
      </x:c>
      <x:c r="V788" t="n">
        <x:v>1</x:v>
      </x:c>
      <x:c r="W788" t="n">
        <x:v>0</x:v>
      </x:c>
      <x:c r="X788" t="n">
        <x:v>0</x:v>
      </x:c>
      <x:c r="Y788" t="n">
        <x:v>0</x:v>
      </x:c>
      <x:c r="Z788" t="n">
        <x:v>2</x:v>
      </x:c>
      <x:c r="AA788" t="n">
        <x:v>2</x:v>
      </x:c>
      <x:c r="AB788" t="str">
        <x:v>Pass</x:v>
      </x:c>
      <x:c r="AC788" t="str"/>
      <x:c r="AD788" t="str"/>
    </x:row>
    <x:row r="789">
      <x:c r="A789" t="str">
        <x:v>REC0788</x:v>
      </x:c>
      <x:c r="B789" t="n">
        <x:v>787</x:v>
      </x:c>
      <x:c r="C789" t="str">
        <x:v>Puerto Rico</x:v>
      </x:c>
      <x:c r="D789" t="str">
        <x:v>GV</x:v>
      </x:c>
      <x:c r="E789" t="str">
        <x:v>Ground Validation</x:v>
      </x:c>
      <x:c r="F789" t="str">
        <x:v>HD Seaviewer Drop Camera</x:v>
      </x:c>
      <x:c r="G789" t="str">
        <x:v>GV2016_138</x:v>
      </x:c>
      <x:c r="H789" s="28" t="n">
        <x:v>42605</x:v>
      </x:c>
      <x:c r="I789" t="str">
        <x:v>13:46:47</x:v>
      </x:c>
      <x:c r="J789" t="n">
        <x:v>2016</x:v>
      </x:c>
      <x:c r="K789" t="n">
        <x:v>18.17587845</x:v>
      </x:c>
      <x:c r="L789" t="n">
        <x:v>-65.18043173</x:v>
      </x:c>
      <x:c r="M789" t="n">
        <x:v>40.64</x:v>
      </x:c>
      <x:c r="N789" t="str">
        <x:v>https://nccospublicstor.blob.core.windows.net/biomapper/usviinsularshelf2017/videos/low/GV2016_138.mp4</x:v>
      </x:c>
      <x:c r="O789" t="n">
        <x:v>1</x:v>
      </x:c>
      <x:c r="P789" t="n">
        <x:v>0</x:v>
      </x:c>
      <x:c r="Q789" t="n">
        <x:v>0</x:v>
      </x:c>
      <x:c r="R789" t="n">
        <x:v>0</x:v>
      </x:c>
      <x:c r="S789" t="n">
        <x:v>1</x:v>
      </x:c>
      <x:c r="T789" t="n">
        <x:v>0</x:v>
      </x:c>
      <x:c r="U789" t="n">
        <x:v>1</x:v>
      </x:c>
      <x:c r="V789" t="n">
        <x:v>1</x:v>
      </x:c>
      <x:c r="W789" t="n">
        <x:v>0</x:v>
      </x:c>
      <x:c r="X789" t="n">
        <x:v>0</x:v>
      </x:c>
      <x:c r="Y789" t="n">
        <x:v>0</x:v>
      </x:c>
      <x:c r="Z789" t="n">
        <x:v>1</x:v>
      </x:c>
      <x:c r="AA789" t="n">
        <x:v>3</x:v>
      </x:c>
      <x:c r="AB789" t="str">
        <x:v>Pass</x:v>
      </x:c>
      <x:c r="AC789" t="str"/>
      <x:c r="AD789" t="str"/>
    </x:row>
    <x:row r="790">
      <x:c r="A790" t="str">
        <x:v>REC0789</x:v>
      </x:c>
      <x:c r="B790" t="n">
        <x:v>788</x:v>
      </x:c>
      <x:c r="C790" t="str">
        <x:v>Puerto Rico</x:v>
      </x:c>
      <x:c r="D790" t="str">
        <x:v>GV</x:v>
      </x:c>
      <x:c r="E790" t="str">
        <x:v>Ground Validation</x:v>
      </x:c>
      <x:c r="F790" t="str">
        <x:v>HD Seaviewer Drop Camera</x:v>
      </x:c>
      <x:c r="G790" t="str">
        <x:v>GV2016_139</x:v>
      </x:c>
      <x:c r="H790" s="28" t="n">
        <x:v>42604</x:v>
      </x:c>
      <x:c r="I790" t="str">
        <x:v>09:48:38</x:v>
      </x:c>
      <x:c r="J790" t="n">
        <x:v>2016</x:v>
      </x:c>
      <x:c r="K790" t="n">
        <x:v>18.17250866</x:v>
      </x:c>
      <x:c r="L790" t="n">
        <x:v>-65.21831653</x:v>
      </x:c>
      <x:c r="M790" t="n">
        <x:v>40.509</x:v>
      </x:c>
      <x:c r="N790" t="str">
        <x:v>https://nccospublicstor.blob.core.windows.net/biomapper/usviinsularshelf2017/videos/low/GV2016_139.mp4</x:v>
      </x:c>
      <x:c r="O790" t="n">
        <x:v>0</x:v>
      </x:c>
      <x:c r="P790" t="n">
        <x:v>0</x:v>
      </x:c>
      <x:c r="Q790" t="n">
        <x:v>1</x:v>
      </x:c>
      <x:c r="R790" t="n">
        <x:v>0</x:v>
      </x:c>
      <x:c r="S790" t="n">
        <x:v>0</x:v>
      </x:c>
      <x:c r="T790" t="n">
        <x:v>0</x:v>
      </x:c>
      <x:c r="U790" t="n">
        <x:v>1</x:v>
      </x:c>
      <x:c r="V790" t="n">
        <x:v>1</x:v>
      </x:c>
      <x:c r="W790" t="n">
        <x:v>0</x:v>
      </x:c>
      <x:c r="X790" t="n">
        <x:v>0</x:v>
      </x:c>
      <x:c r="Y790" t="n">
        <x:v>0</x:v>
      </x:c>
      <x:c r="Z790" t="n">
        <x:v>1</x:v>
      </x:c>
      <x:c r="AA790" t="n">
        <x:v>2</x:v>
      </x:c>
      <x:c r="AB790" t="str">
        <x:v>Pass</x:v>
      </x:c>
      <x:c r="AC790" t="str"/>
      <x:c r="AD790" t="str"/>
    </x:row>
    <x:row r="791">
      <x:c r="A791" t="str">
        <x:v>REC0790</x:v>
      </x:c>
      <x:c r="B791" t="n">
        <x:v>789</x:v>
      </x:c>
      <x:c r="C791" t="str">
        <x:v>St. John, USVI</x:v>
      </x:c>
      <x:c r="D791" t="str">
        <x:v>GV</x:v>
      </x:c>
      <x:c r="E791" t="str">
        <x:v>Ground Validation</x:v>
      </x:c>
      <x:c r="F791" t="str">
        <x:v>HD Seaviewer Drop Camera</x:v>
      </x:c>
      <x:c r="G791" t="str">
        <x:v>GV2016_140</x:v>
      </x:c>
      <x:c r="H791" s="28" t="n">
        <x:v>42626</x:v>
      </x:c>
      <x:c r="I791" t="str">
        <x:v>11:10:19</x:v>
      </x:c>
      <x:c r="J791" t="n">
        <x:v>2016</x:v>
      </x:c>
      <x:c r="K791" t="n">
        <x:v>18.23333434</x:v>
      </x:c>
      <x:c r="L791" t="n">
        <x:v>-64.7834089</x:v>
      </x:c>
      <x:c r="M791" t="n">
        <x:v>53.26</x:v>
      </x:c>
      <x:c r="N791" t="str">
        <x:v>https://nccospublicstor.blob.core.windows.net/biomapper/usviinsularshelf2017/videos/low/GV2016_140.mp4</x:v>
      </x:c>
      <x:c r="O791" t="n">
        <x:v>0</x:v>
      </x:c>
      <x:c r="P791" t="n">
        <x:v>0</x:v>
      </x:c>
      <x:c r="Q791" t="n">
        <x:v>1</x:v>
      </x:c>
      <x:c r="R791" t="n">
        <x:v>0</x:v>
      </x:c>
      <x:c r="S791" t="n">
        <x:v>1</x:v>
      </x:c>
      <x:c r="T791" t="n">
        <x:v>0</x:v>
      </x:c>
      <x:c r="U791" t="n">
        <x:v>1</x:v>
      </x:c>
      <x:c r="V791" t="n">
        <x:v>1</x:v>
      </x:c>
      <x:c r="W791" t="n">
        <x:v>0</x:v>
      </x:c>
      <x:c r="X791" t="n">
        <x:v>0</x:v>
      </x:c>
      <x:c r="Y791" t="n">
        <x:v>0</x:v>
      </x:c>
      <x:c r="Z791" t="n">
        <x:v>1</x:v>
      </x:c>
      <x:c r="AA791" t="n">
        <x:v>3</x:v>
      </x:c>
      <x:c r="AB791" t="str">
        <x:v>Pass</x:v>
      </x:c>
      <x:c r="AC791" t="str"/>
      <x:c r="AD791" t="str"/>
    </x:row>
    <x:row r="792">
      <x:c r="A792" t="str">
        <x:v>REC0791</x:v>
      </x:c>
      <x:c r="B792" t="n">
        <x:v>790</x:v>
      </x:c>
      <x:c r="C792" t="str">
        <x:v>St. John, USVI</x:v>
      </x:c>
      <x:c r="D792" t="str">
        <x:v>GV</x:v>
      </x:c>
      <x:c r="E792" t="str">
        <x:v>Ground Validation</x:v>
      </x:c>
      <x:c r="F792" t="str">
        <x:v>HD Seaviewer Drop Camera</x:v>
      </x:c>
      <x:c r="G792" t="str">
        <x:v>GV2016_141</x:v>
      </x:c>
      <x:c r="H792" s="28" t="n">
        <x:v>42624</x:v>
      </x:c>
      <x:c r="I792" t="str">
        <x:v>10:50:39</x:v>
      </x:c>
      <x:c r="J792" t="n">
        <x:v>2016</x:v>
      </x:c>
      <x:c r="K792" t="n">
        <x:v>18.27592161</x:v>
      </x:c>
      <x:c r="L792" t="n">
        <x:v>-64.7278662</x:v>
      </x:c>
      <x:c r="M792" t="n">
        <x:v>35.926</x:v>
      </x:c>
      <x:c r="N792" t="str">
        <x:v>https://nccospublicstor.blob.core.windows.net/biomapper/usviinsularshelf2017/videos/low/GV2016_141.mp4</x:v>
      </x:c>
      <x:c r="O792" t="n">
        <x:v>0</x:v>
      </x:c>
      <x:c r="P792" t="n">
        <x:v>0</x:v>
      </x:c>
      <x:c r="Q792" t="n">
        <x:v>1</x:v>
      </x:c>
      <x:c r="R792" t="n">
        <x:v>1</x:v>
      </x:c>
      <x:c r="S792" t="n">
        <x:v>0</x:v>
      </x:c>
      <x:c r="T792" t="n">
        <x:v>0</x:v>
      </x:c>
      <x:c r="U792" t="n">
        <x:v>1</x:v>
      </x:c>
      <x:c r="V792" t="n">
        <x:v>1</x:v>
      </x:c>
      <x:c r="W792" t="n">
        <x:v>0</x:v>
      </x:c>
      <x:c r="X792" t="n">
        <x:v>0</x:v>
      </x:c>
      <x:c r="Y792" t="n">
        <x:v>0</x:v>
      </x:c>
      <x:c r="Z792" t="n">
        <x:v>2</x:v>
      </x:c>
      <x:c r="AA792" t="n">
        <x:v>2</x:v>
      </x:c>
      <x:c r="AB792" t="str">
        <x:v>Pass</x:v>
      </x:c>
      <x:c r="AC792" t="str"/>
      <x:c r="AD792" t="str"/>
    </x:row>
    <x:row r="793">
      <x:c r="A793" t="str">
        <x:v>REC0792</x:v>
      </x:c>
      <x:c r="B793" t="n">
        <x:v>791</x:v>
      </x:c>
      <x:c r="C793" t="str">
        <x:v>St. Thomas, USVI</x:v>
      </x:c>
      <x:c r="D793" t="str">
        <x:v>GV</x:v>
      </x:c>
      <x:c r="E793" t="str">
        <x:v>Ground Validation</x:v>
      </x:c>
      <x:c r="F793" t="str">
        <x:v>HD Seaviewer Drop Camera</x:v>
      </x:c>
      <x:c r="G793" t="str">
        <x:v>GV2016_142</x:v>
      </x:c>
      <x:c r="H793" s="28" t="n">
        <x:v>42611</x:v>
      </x:c>
      <x:c r="I793" t="str">
        <x:v>11:07:20</x:v>
      </x:c>
      <x:c r="J793" t="n">
        <x:v>2016</x:v>
      </x:c>
      <x:c r="K793" t="n">
        <x:v>18.23277916</x:v>
      </x:c>
      <x:c r="L793" t="n">
        <x:v>-64.88471856</x:v>
      </x:c>
      <x:c r="M793" t="n">
        <x:v>43.353</x:v>
      </x:c>
      <x:c r="N793" t="str">
        <x:v>https://nccospublicstor.blob.core.windows.net/biomapper/usviinsularshelf2017/videos/low/GV2016_142.mp4</x:v>
      </x:c>
      <x:c r="O793" t="n">
        <x:v>0</x:v>
      </x:c>
      <x:c r="P793" t="n">
        <x:v>0</x:v>
      </x:c>
      <x:c r="Q793" t="n">
        <x:v>0</x:v>
      </x:c>
      <x:c r="R793" t="n">
        <x:v>1</x:v>
      </x:c>
      <x:c r="S793" t="n">
        <x:v>0</x:v>
      </x:c>
      <x:c r="T793" t="n">
        <x:v>0</x:v>
      </x:c>
      <x:c r="U793" t="n">
        <x:v>1</x:v>
      </x:c>
      <x:c r="V793" t="n">
        <x:v>1</x:v>
      </x:c>
      <x:c r="W793" t="n">
        <x:v>0</x:v>
      </x:c>
      <x:c r="X793" t="n">
        <x:v>0</x:v>
      </x:c>
      <x:c r="Y793" t="n">
        <x:v>0</x:v>
      </x:c>
      <x:c r="Z793" t="n">
        <x:v>1</x:v>
      </x:c>
      <x:c r="AA793" t="n">
        <x:v>2</x:v>
      </x:c>
      <x:c r="AB793" t="str">
        <x:v>Pass</x:v>
      </x:c>
      <x:c r="AC793" t="str"/>
      <x:c r="AD793" t="str"/>
    </x:row>
    <x:row r="794">
      <x:c r="A794" t="str">
        <x:v>REC0793</x:v>
      </x:c>
      <x:c r="B794" t="n">
        <x:v>792</x:v>
      </x:c>
      <x:c r="C794" t="str">
        <x:v>St. John, USVI</x:v>
      </x:c>
      <x:c r="D794" t="str">
        <x:v>GV</x:v>
      </x:c>
      <x:c r="E794" t="str">
        <x:v>Ground Validation</x:v>
      </x:c>
      <x:c r="F794" t="str">
        <x:v>HD Seaviewer Drop Camera</x:v>
      </x:c>
      <x:c r="G794" t="str">
        <x:v>GV2016_143</x:v>
      </x:c>
      <x:c r="H794" s="28" t="n">
        <x:v>42615</x:v>
      </x:c>
      <x:c r="I794" t="str">
        <x:v>11:06:52</x:v>
      </x:c>
      <x:c r="J794" t="n">
        <x:v>2016</x:v>
      </x:c>
      <x:c r="K794" t="n">
        <x:v>18.30414949</x:v>
      </x:c>
      <x:c r="L794" t="n">
        <x:v>-64.72942532</x:v>
      </x:c>
      <x:c r="M794" t="n">
        <x:v>25.303</x:v>
      </x:c>
      <x:c r="N794" t="str">
        <x:v>https://nccospublicstor.blob.core.windows.net/biomapper/usviinsularshelf2017/videos/low/GV2016_143.mp4</x:v>
      </x:c>
      <x:c r="O794" t="n">
        <x:v>0</x:v>
      </x:c>
      <x:c r="P794" t="n">
        <x:v>0</x:v>
      </x:c>
      <x:c r="Q794" t="n">
        <x:v>0</x:v>
      </x:c>
      <x:c r="R794" t="n">
        <x:v>1</x:v>
      </x:c>
      <x:c r="S794" t="n">
        <x:v>0</x:v>
      </x:c>
      <x:c r="T794" t="n">
        <x:v>0</x:v>
      </x:c>
      <x:c r="U794" t="n">
        <x:v>1</x:v>
      </x:c>
      <x:c r="V794" t="n">
        <x:v>1</x:v>
      </x:c>
      <x:c r="W794" t="n">
        <x:v>1</x:v>
      </x:c>
      <x:c r="X794" t="n">
        <x:v>0</x:v>
      </x:c>
      <x:c r="Y794" t="n">
        <x:v>0</x:v>
      </x:c>
      <x:c r="Z794" t="n">
        <x:v>1</x:v>
      </x:c>
      <x:c r="AA794" t="n">
        <x:v>2</x:v>
      </x:c>
      <x:c r="AB794" t="str">
        <x:v>Pass</x:v>
      </x:c>
      <x:c r="AC794" t="str"/>
      <x:c r="AD794" t="str"/>
    </x:row>
    <x:row r="795">
      <x:c r="A795" t="str">
        <x:v>REC0794</x:v>
      </x:c>
      <x:c r="B795" t="n">
        <x:v>793</x:v>
      </x:c>
      <x:c r="C795" t="str">
        <x:v>Puerto Rico</x:v>
      </x:c>
      <x:c r="D795" t="str">
        <x:v>GV</x:v>
      </x:c>
      <x:c r="E795" t="str">
        <x:v>Ground Validation</x:v>
      </x:c>
      <x:c r="F795" t="str">
        <x:v>HD Seaviewer Drop Camera</x:v>
      </x:c>
      <x:c r="G795" t="str">
        <x:v>GV2016_144</x:v>
      </x:c>
      <x:c r="H795" s="28" t="n">
        <x:v>42604</x:v>
      </x:c>
      <x:c r="I795" t="str">
        <x:v>09:14:52</x:v>
      </x:c>
      <x:c r="J795" t="n">
        <x:v>2016</x:v>
      </x:c>
      <x:c r="K795" t="n">
        <x:v>18.17399763</x:v>
      </x:c>
      <x:c r="L795" t="n">
        <x:v>-65.23156152</x:v>
      </x:c>
      <x:c r="M795" t="n">
        <x:v>36.346</x:v>
      </x:c>
      <x:c r="N795" t="str">
        <x:v>https://nccospublicstor.blob.core.windows.net/biomapper/usviinsularshelf2017/videos/low/GV2016_144.mp4</x:v>
      </x:c>
      <x:c r="O795" t="n">
        <x:v>1</x:v>
      </x:c>
      <x:c r="P795" t="n">
        <x:v>0</x:v>
      </x:c>
      <x:c r="Q795" t="n">
        <x:v>0</x:v>
      </x:c>
      <x:c r="R795" t="n">
        <x:v>1</x:v>
      </x:c>
      <x:c r="S795" t="n">
        <x:v>1</x:v>
      </x:c>
      <x:c r="T795" t="n">
        <x:v>0</x:v>
      </x:c>
      <x:c r="U795" t="n">
        <x:v>1</x:v>
      </x:c>
      <x:c r="V795" t="n">
        <x:v>1</x:v>
      </x:c>
      <x:c r="W795" t="n">
        <x:v>0</x:v>
      </x:c>
      <x:c r="X795" t="n">
        <x:v>0</x:v>
      </x:c>
      <x:c r="Y795" t="n">
        <x:v>0</x:v>
      </x:c>
      <x:c r="Z795" t="n">
        <x:v>2</x:v>
      </x:c>
      <x:c r="AA795" t="n">
        <x:v>3</x:v>
      </x:c>
      <x:c r="AB795" t="str">
        <x:v>Pass</x:v>
      </x:c>
      <x:c r="AC795" t="str"/>
      <x:c r="AD795" t="str"/>
    </x:row>
    <x:row r="796">
      <x:c r="A796" t="str">
        <x:v>REC0795</x:v>
      </x:c>
      <x:c r="B796" t="n">
        <x:v>794</x:v>
      </x:c>
      <x:c r="C796" t="str">
        <x:v>St. Thomas, USVI</x:v>
      </x:c>
      <x:c r="D796" t="str">
        <x:v>GV</x:v>
      </x:c>
      <x:c r="E796" t="str">
        <x:v>Ground Validation</x:v>
      </x:c>
      <x:c r="F796" t="str">
        <x:v>HD Seaviewer Drop Camera</x:v>
      </x:c>
      <x:c r="G796" t="str">
        <x:v>GV2016_145</x:v>
      </x:c>
      <x:c r="H796" s="28" t="n">
        <x:v>42602</x:v>
      </x:c>
      <x:c r="I796" t="str">
        <x:v>13:04:20</x:v>
      </x:c>
      <x:c r="J796" t="n">
        <x:v>2016</x:v>
      </x:c>
      <x:c r="K796" t="n">
        <x:v>18.27985728</x:v>
      </x:c>
      <x:c r="L796" t="n">
        <x:v>-65.10956014</x:v>
      </x:c>
      <x:c r="M796" t="n">
        <x:v>27.978</x:v>
      </x:c>
      <x:c r="N796" t="str">
        <x:v>https://nccospublicstor.blob.core.windows.net/biomapper/usviinsularshelf2017/videos/low/GV2016_145.mp4</x:v>
      </x:c>
      <x:c r="O796" t="n">
        <x:v>1</x:v>
      </x:c>
      <x:c r="P796" t="n">
        <x:v>0</x:v>
      </x:c>
      <x:c r="Q796" t="n">
        <x:v>0</x:v>
      </x:c>
      <x:c r="R796" t="n">
        <x:v>0</x:v>
      </x:c>
      <x:c r="S796" t="n">
        <x:v>1</x:v>
      </x:c>
      <x:c r="T796" t="n">
        <x:v>0</x:v>
      </x:c>
      <x:c r="U796" t="n">
        <x:v>1</x:v>
      </x:c>
      <x:c r="V796" t="n">
        <x:v>1</x:v>
      </x:c>
      <x:c r="W796" t="n">
        <x:v>0</x:v>
      </x:c>
      <x:c r="X796" t="n">
        <x:v>0</x:v>
      </x:c>
      <x:c r="Y796" t="n">
        <x:v>0</x:v>
      </x:c>
      <x:c r="Z796" t="n">
        <x:v>1</x:v>
      </x:c>
      <x:c r="AA796" t="n">
        <x:v>3</x:v>
      </x:c>
      <x:c r="AB796" t="str">
        <x:v>Pass</x:v>
      </x:c>
      <x:c r="AC796" t="str"/>
      <x:c r="AD796" t="str"/>
    </x:row>
    <x:row r="797">
      <x:c r="A797" t="str">
        <x:v>REC0796</x:v>
      </x:c>
      <x:c r="B797" t="n">
        <x:v>795</x:v>
      </x:c>
      <x:c r="C797" t="str">
        <x:v>Puerto Rico</x:v>
      </x:c>
      <x:c r="D797" t="str">
        <x:v>GV</x:v>
      </x:c>
      <x:c r="E797" t="str">
        <x:v>Ground Validation</x:v>
      </x:c>
      <x:c r="F797" t="str">
        <x:v>HD Seaviewer Drop Camera</x:v>
      </x:c>
      <x:c r="G797" t="str">
        <x:v>GV2016_146</x:v>
      </x:c>
      <x:c r="H797" s="28" t="n">
        <x:v>42605</x:v>
      </x:c>
      <x:c r="I797" t="str">
        <x:v>09:20:03</x:v>
      </x:c>
      <x:c r="J797" t="n">
        <x:v>2016</x:v>
      </x:c>
      <x:c r="K797" t="n">
        <x:v>18.19318109</x:v>
      </x:c>
      <x:c r="L797" t="n">
        <x:v>-65.19352866</x:v>
      </x:c>
      <x:c r="M797" t="n">
        <x:v>37.682</x:v>
      </x:c>
      <x:c r="N797" t="str">
        <x:v>https://nccospublicstor.blob.core.windows.net/biomapper/usviinsularshelf2017/videos/low/GV2016_146.mp4</x:v>
      </x:c>
      <x:c r="O797" t="n">
        <x:v>1</x:v>
      </x:c>
      <x:c r="P797" t="n">
        <x:v>0</x:v>
      </x:c>
      <x:c r="Q797" t="n">
        <x:v>0</x:v>
      </x:c>
      <x:c r="R797" t="n">
        <x:v>0</x:v>
      </x:c>
      <x:c r="S797" t="n">
        <x:v>1</x:v>
      </x:c>
      <x:c r="T797" t="n">
        <x:v>1</x:v>
      </x:c>
      <x:c r="U797" t="n">
        <x:v>1</x:v>
      </x:c>
      <x:c r="V797" t="n">
        <x:v>1</x:v>
      </x:c>
      <x:c r="W797" t="n">
        <x:v>0</x:v>
      </x:c>
      <x:c r="X797" t="n">
        <x:v>0</x:v>
      </x:c>
      <x:c r="Y797" t="n">
        <x:v>0</x:v>
      </x:c>
      <x:c r="Z797" t="n">
        <x:v>1</x:v>
      </x:c>
      <x:c r="AA797" t="n">
        <x:v>4</x:v>
      </x:c>
      <x:c r="AB797" t="str">
        <x:v>Pass</x:v>
      </x:c>
      <x:c r="AC797" t="str"/>
      <x:c r="AD797" t="str">
        <x:v>amazing site</x:v>
      </x:c>
    </x:row>
    <x:row r="798">
      <x:c r="A798" t="str">
        <x:v>REC0797</x:v>
      </x:c>
      <x:c r="B798" t="n">
        <x:v>796</x:v>
      </x:c>
      <x:c r="C798" t="str">
        <x:v>Puerto Rico</x:v>
      </x:c>
      <x:c r="D798" t="str">
        <x:v>GV</x:v>
      </x:c>
      <x:c r="E798" t="str">
        <x:v>Ground Validation</x:v>
      </x:c>
      <x:c r="F798" t="str">
        <x:v>HD Seaviewer Drop Camera</x:v>
      </x:c>
      <x:c r="G798" t="str">
        <x:v>GV2016_147</x:v>
      </x:c>
      <x:c r="H798" s="28" t="n">
        <x:v>42603</x:v>
      </x:c>
      <x:c r="I798" t="str">
        <x:v>13:54:25</x:v>
      </x:c>
      <x:c r="J798" t="n">
        <x:v>2016</x:v>
      </x:c>
      <x:c r="K798" t="n">
        <x:v>18.1738617</x:v>
      </x:c>
      <x:c r="L798" t="n">
        <x:v>-65.25034403</x:v>
      </x:c>
      <x:c r="M798" t="n">
        <x:v>30.304</x:v>
      </x:c>
      <x:c r="N798" t="str">
        <x:v>https://nccospublicstor.blob.core.windows.net/biomapper/usviinsularshelf2017/videos/low/GV2016_147.mp4</x:v>
      </x:c>
      <x:c r="O798" t="n">
        <x:v>0</x:v>
      </x:c>
      <x:c r="P798" t="n">
        <x:v>1</x:v>
      </x:c>
      <x:c r="Q798" t="n">
        <x:v>1</x:v>
      </x:c>
      <x:c r="R798" t="n">
        <x:v>0</x:v>
      </x:c>
      <x:c r="S798" t="n">
        <x:v>1</x:v>
      </x:c>
      <x:c r="T798" t="n">
        <x:v>0</x:v>
      </x:c>
      <x:c r="U798" t="n">
        <x:v>1</x:v>
      </x:c>
      <x:c r="V798" t="n">
        <x:v>1</x:v>
      </x:c>
      <x:c r="W798" t="n">
        <x:v>0</x:v>
      </x:c>
      <x:c r="X798" t="n">
        <x:v>0</x:v>
      </x:c>
      <x:c r="Y798" t="n">
        <x:v>0</x:v>
      </x:c>
      <x:c r="Z798" t="n">
        <x:v>2</x:v>
      </x:c>
      <x:c r="AA798" t="n">
        <x:v>3</x:v>
      </x:c>
      <x:c r="AB798" t="str">
        <x:v>Pass</x:v>
      </x:c>
      <x:c r="AC798" t="str"/>
      <x:c r="AD798" t="str"/>
    </x:row>
    <x:row r="799">
      <x:c r="A799" t="str">
        <x:v>REC0798</x:v>
      </x:c>
      <x:c r="B799" t="n">
        <x:v>797</x:v>
      </x:c>
      <x:c r="C799" t="str">
        <x:v>St. Thomas, USVI</x:v>
      </x:c>
      <x:c r="D799" t="str">
        <x:v>GV</x:v>
      </x:c>
      <x:c r="E799" t="str">
        <x:v>Ground Validation</x:v>
      </x:c>
      <x:c r="F799" t="str">
        <x:v>HD Seaviewer Drop Camera</x:v>
      </x:c>
      <x:c r="G799" t="str">
        <x:v>GV2016_148</x:v>
      </x:c>
      <x:c r="H799" s="28" t="n">
        <x:v>42622</x:v>
      </x:c>
      <x:c r="I799" t="str">
        <x:v>13:48:48</x:v>
      </x:c>
      <x:c r="J799" t="n">
        <x:v>2016</x:v>
      </x:c>
      <x:c r="K799" t="n">
        <x:v>18.22390567</x:v>
      </x:c>
      <x:c r="L799" t="n">
        <x:v>-64.83692804</x:v>
      </x:c>
      <x:c r="M799" t="n">
        <x:v>39.051</x:v>
      </x:c>
      <x:c r="N799" t="str">
        <x:v>https://nccospublicstor.blob.core.windows.net/biomapper/usviinsularshelf2017/videos/low/GV2016_148.mp4</x:v>
      </x:c>
      <x:c r="O799" t="n">
        <x:v>1</x:v>
      </x:c>
      <x:c r="P799" t="n">
        <x:v>0</x:v>
      </x:c>
      <x:c r="Q799" t="n">
        <x:v>0</x:v>
      </x:c>
      <x:c r="R799" t="n">
        <x:v>1</x:v>
      </x:c>
      <x:c r="S799" t="n">
        <x:v>1</x:v>
      </x:c>
      <x:c r="T799" t="n">
        <x:v>0</x:v>
      </x:c>
      <x:c r="U799" t="n">
        <x:v>1</x:v>
      </x:c>
      <x:c r="V799" t="n">
        <x:v>1</x:v>
      </x:c>
      <x:c r="W799" t="n">
        <x:v>0</x:v>
      </x:c>
      <x:c r="X799" t="n">
        <x:v>0</x:v>
      </x:c>
      <x:c r="Y799" t="n">
        <x:v>0</x:v>
      </x:c>
      <x:c r="Z799" t="n">
        <x:v>2</x:v>
      </x:c>
      <x:c r="AA799" t="n">
        <x:v>3</x:v>
      </x:c>
      <x:c r="AB799" t="str">
        <x:v>Pass</x:v>
      </x:c>
      <x:c r="AC799" t="str"/>
      <x:c r="AD799" t="str"/>
    </x:row>
    <x:row r="800">
      <x:c r="A800" t="str">
        <x:v>REC0799</x:v>
      </x:c>
      <x:c r="B800" t="n">
        <x:v>798</x:v>
      </x:c>
      <x:c r="C800" t="str">
        <x:v>St. John, USVI</x:v>
      </x:c>
      <x:c r="D800" t="str">
        <x:v>GV</x:v>
      </x:c>
      <x:c r="E800" t="str">
        <x:v>Ground Validation</x:v>
      </x:c>
      <x:c r="F800" t="str">
        <x:v>HD Seaviewer Drop Camera</x:v>
      </x:c>
      <x:c r="G800" t="str">
        <x:v>GV2016_149</x:v>
      </x:c>
      <x:c r="H800" s="28" t="n">
        <x:v>42625</x:v>
      </x:c>
      <x:c r="I800" t="str">
        <x:v>13:17:49</x:v>
      </x:c>
      <x:c r="J800" t="n">
        <x:v>2016</x:v>
      </x:c>
      <x:c r="K800" t="n">
        <x:v>18.24101189</x:v>
      </x:c>
      <x:c r="L800" t="n">
        <x:v>-64.67176126</x:v>
      </x:c>
      <x:c r="M800" t="n">
        <x:v>51.701</x:v>
      </x:c>
      <x:c r="N800" t="str">
        <x:v>https://nccospublicstor.blob.core.windows.net/biomapper/usviinsularshelf2017/videos/low/GV2016_149.mp4</x:v>
      </x:c>
      <x:c r="O800" t="n">
        <x:v>0</x:v>
      </x:c>
      <x:c r="P800" t="n">
        <x:v>1</x:v>
      </x:c>
      <x:c r="Q800" t="n">
        <x:v>1</x:v>
      </x:c>
      <x:c r="R800" t="n">
        <x:v>0</x:v>
      </x:c>
      <x:c r="S800" t="n">
        <x:v>1</x:v>
      </x:c>
      <x:c r="T800" t="n">
        <x:v>0</x:v>
      </x:c>
      <x:c r="U800" t="n">
        <x:v>1</x:v>
      </x:c>
      <x:c r="V800" t="n">
        <x:v>1</x:v>
      </x:c>
      <x:c r="W800" t="n">
        <x:v>0</x:v>
      </x:c>
      <x:c r="X800" t="n">
        <x:v>0</x:v>
      </x:c>
      <x:c r="Y800" t="n">
        <x:v>0</x:v>
      </x:c>
      <x:c r="Z800" t="n">
        <x:v>2</x:v>
      </x:c>
      <x:c r="AA800" t="n">
        <x:v>3</x:v>
      </x:c>
      <x:c r="AB800" t="str">
        <x:v>Pass</x:v>
      </x:c>
      <x:c r="AC800" t="str"/>
      <x:c r="AD800" t="str"/>
    </x:row>
    <x:row r="801">
      <x:c r="A801" t="str">
        <x:v>REC0800</x:v>
      </x:c>
      <x:c r="B801" t="n">
        <x:v>799</x:v>
      </x:c>
      <x:c r="C801" t="str">
        <x:v>St. Thomas, USVI</x:v>
      </x:c>
      <x:c r="D801" t="str">
        <x:v>GV</x:v>
      </x:c>
      <x:c r="E801" t="str">
        <x:v>Ground Validation</x:v>
      </x:c>
      <x:c r="F801" t="str">
        <x:v>HD Seaviewer Drop Camera</x:v>
      </x:c>
      <x:c r="G801" t="str">
        <x:v>GV2016_150</x:v>
      </x:c>
      <x:c r="H801" s="28" t="n">
        <x:v>42609</x:v>
      </x:c>
      <x:c r="I801" t="str">
        <x:v>12:58:19</x:v>
      </x:c>
      <x:c r="J801" t="n">
        <x:v>2016</x:v>
      </x:c>
      <x:c r="K801" t="n">
        <x:v>18.25122559</x:v>
      </x:c>
      <x:c r="L801" t="n">
        <x:v>-65.00090877</x:v>
      </x:c>
      <x:c r="M801" t="n">
        <x:v>38.888</x:v>
      </x:c>
      <x:c r="N801" t="str">
        <x:v>https://nccospublicstor.blob.core.windows.net/biomapper/usviinsularshelf2017/videos/low/GV2016_150.mp4</x:v>
      </x:c>
      <x:c r="O801" t="n">
        <x:v>0</x:v>
      </x:c>
      <x:c r="P801" t="n">
        <x:v>0</x:v>
      </x:c>
      <x:c r="Q801" t="n">
        <x:v>1</x:v>
      </x:c>
      <x:c r="R801" t="n">
        <x:v>0</x:v>
      </x:c>
      <x:c r="S801" t="n">
        <x:v>0</x:v>
      </x:c>
      <x:c r="T801" t="n">
        <x:v>0</x:v>
      </x:c>
      <x:c r="U801" t="n">
        <x:v>1</x:v>
      </x:c>
      <x:c r="V801" t="n">
        <x:v>1</x:v>
      </x:c>
      <x:c r="W801" t="n">
        <x:v>0</x:v>
      </x:c>
      <x:c r="X801" t="n">
        <x:v>0</x:v>
      </x:c>
      <x:c r="Y801" t="n">
        <x:v>0</x:v>
      </x:c>
      <x:c r="Z801" t="n">
        <x:v>1</x:v>
      </x:c>
      <x:c r="AA801" t="n">
        <x:v>2</x:v>
      </x:c>
      <x:c r="AB801" t="str">
        <x:v>Pass</x:v>
      </x:c>
      <x:c r="AC801" t="str"/>
      <x:c r="AD801" t="str"/>
    </x:row>
    <x:row r="802">
      <x:c r="A802" t="str">
        <x:v>REC0801</x:v>
      </x:c>
      <x:c r="B802" t="n">
        <x:v>800</x:v>
      </x:c>
      <x:c r="C802" t="str">
        <x:v>St. John, USVI</x:v>
      </x:c>
      <x:c r="D802" t="str">
        <x:v>GV</x:v>
      </x:c>
      <x:c r="E802" t="str">
        <x:v>Ground Validation</x:v>
      </x:c>
      <x:c r="F802" t="str">
        <x:v>HD Seaviewer Drop Camera</x:v>
      </x:c>
      <x:c r="G802" t="str">
        <x:v>GV2016_151</x:v>
      </x:c>
      <x:c r="H802" s="28" t="n">
        <x:v>42625</x:v>
      </x:c>
      <x:c r="I802" t="str">
        <x:v>08:52:37</x:v>
      </x:c>
      <x:c r="J802" t="n">
        <x:v>2016</x:v>
      </x:c>
      <x:c r="K802" t="n">
        <x:v>18.2703575</x:v>
      </x:c>
      <x:c r="L802" t="n">
        <x:v>-64.68713325</x:v>
      </x:c>
      <x:c r="M802" t="n">
        <x:v>46.513</x:v>
      </x:c>
      <x:c r="N802" t="str">
        <x:v>https://nccospublicstor.blob.core.windows.net/biomapper/usviinsularshelf2017/videos/low/GV2016_151.mp4</x:v>
      </x:c>
      <x:c r="O802" t="n">
        <x:v>0</x:v>
      </x:c>
      <x:c r="P802" t="n">
        <x:v>0</x:v>
      </x:c>
      <x:c r="Q802" t="n">
        <x:v>1</x:v>
      </x:c>
      <x:c r="R802" t="n">
        <x:v>0</x:v>
      </x:c>
      <x:c r="S802" t="n">
        <x:v>0</x:v>
      </x:c>
      <x:c r="T802" t="n">
        <x:v>0</x:v>
      </x:c>
      <x:c r="U802" t="n">
        <x:v>1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1</x:v>
      </x:c>
      <x:c r="AA802" t="n">
        <x:v>1</x:v>
      </x:c>
      <x:c r="AB802" t="str">
        <x:v>Pass</x:v>
      </x:c>
      <x:c r="AC802" t="str"/>
      <x:c r="AD802" t="str"/>
    </x:row>
    <x:row r="803">
      <x:c r="A803" t="str">
        <x:v>REC0802</x:v>
      </x:c>
      <x:c r="B803" t="n">
        <x:v>801</x:v>
      </x:c>
      <x:c r="C803" t="str">
        <x:v>St. John, USVI</x:v>
      </x:c>
      <x:c r="D803" t="str">
        <x:v>GV</x:v>
      </x:c>
      <x:c r="E803" t="str">
        <x:v>Ground Validation</x:v>
      </x:c>
      <x:c r="F803" t="str">
        <x:v>HD Seaviewer Drop Camera</x:v>
      </x:c>
      <x:c r="G803" t="str">
        <x:v>GV2016_153</x:v>
      </x:c>
      <x:c r="H803" s="28" t="n">
        <x:v>42613</x:v>
      </x:c>
      <x:c r="I803" t="str">
        <x:v>12:00:43</x:v>
      </x:c>
      <x:c r="J803" t="n">
        <x:v>2016</x:v>
      </x:c>
      <x:c r="K803" t="n">
        <x:v>18.27475034</x:v>
      </x:c>
      <x:c r="L803" t="n">
        <x:v>-64.80828218</x:v>
      </x:c>
      <x:c r="M803" t="n">
        <x:v>34.461</x:v>
      </x:c>
      <x:c r="N803" t="str">
        <x:v>https://nccospublicstor.blob.core.windows.net/biomapper/usviinsularshelf2017/videos/low/GV2016_153.mp4</x:v>
      </x:c>
      <x:c r="O803" t="n">
        <x:v>0</x:v>
      </x:c>
      <x:c r="P803" t="n">
        <x:v>1</x:v>
      </x:c>
      <x:c r="Q803" t="n">
        <x:v>1</x:v>
      </x:c>
      <x:c r="R803" t="n">
        <x:v>0</x:v>
      </x:c>
      <x:c r="S803" t="n">
        <x:v>0</x:v>
      </x:c>
      <x:c r="T803" t="n">
        <x:v>0</x:v>
      </x:c>
      <x:c r="U803" t="n">
        <x:v>1</x:v>
      </x:c>
      <x:c r="V803" t="n">
        <x:v>1</x:v>
      </x:c>
      <x:c r="W803" t="n">
        <x:v>0</x:v>
      </x:c>
      <x:c r="X803" t="n">
        <x:v>0</x:v>
      </x:c>
      <x:c r="Y803" t="n">
        <x:v>0</x:v>
      </x:c>
      <x:c r="Z803" t="n">
        <x:v>2</x:v>
      </x:c>
      <x:c r="AA803" t="n">
        <x:v>2</x:v>
      </x:c>
      <x:c r="AB803" t="str">
        <x:v>Pass</x:v>
      </x:c>
      <x:c r="AC803" t="str"/>
      <x:c r="AD803" t="str"/>
    </x:row>
    <x:row r="804">
      <x:c r="A804" t="str">
        <x:v>REC0803</x:v>
      </x:c>
      <x:c r="B804" t="n">
        <x:v>802</x:v>
      </x:c>
      <x:c r="C804" t="str">
        <x:v>St. Thomas, USVI</x:v>
      </x:c>
      <x:c r="D804" t="str">
        <x:v>GV</x:v>
      </x:c>
      <x:c r="E804" t="str">
        <x:v>Ground Validation</x:v>
      </x:c>
      <x:c r="F804" t="str">
        <x:v>HD Seaviewer Drop Camera</x:v>
      </x:c>
      <x:c r="G804" t="str">
        <x:v>GV2016_154</x:v>
      </x:c>
      <x:c r="H804" s="28" t="n">
        <x:v>42608</x:v>
      </x:c>
      <x:c r="I804" t="str">
        <x:v>14:35:38</x:v>
      </x:c>
      <x:c r="J804" t="n">
        <x:v>2016</x:v>
      </x:c>
      <x:c r="K804" t="n">
        <x:v>18.21172192</x:v>
      </x:c>
      <x:c r="L804" t="n">
        <x:v>-65.12555695</x:v>
      </x:c>
      <x:c r="M804" t="n">
        <x:v>40.97</x:v>
      </x:c>
      <x:c r="N804" t="str">
        <x:v>https://nccospublicstor.blob.core.windows.net/biomapper/usviinsularshelf2017/videos/low/GV2016_154.mp4</x:v>
      </x:c>
      <x:c r="O804" t="n">
        <x:v>1</x:v>
      </x:c>
      <x:c r="P804" t="n">
        <x:v>0</x:v>
      </x:c>
      <x:c r="Q804" t="n">
        <x:v>0</x:v>
      </x:c>
      <x:c r="R804" t="n">
        <x:v>1</x:v>
      </x:c>
      <x:c r="S804" t="n">
        <x:v>1</x:v>
      </x:c>
      <x:c r="T804" t="n">
        <x:v>0</x:v>
      </x:c>
      <x:c r="U804" t="n">
        <x:v>1</x:v>
      </x:c>
      <x:c r="V804" t="n">
        <x:v>1</x:v>
      </x:c>
      <x:c r="W804" t="n">
        <x:v>0</x:v>
      </x:c>
      <x:c r="X804" t="n">
        <x:v>0</x:v>
      </x:c>
      <x:c r="Y804" t="n">
        <x:v>0</x:v>
      </x:c>
      <x:c r="Z804" t="n">
        <x:v>2</x:v>
      </x:c>
      <x:c r="AA804" t="n">
        <x:v>3</x:v>
      </x:c>
      <x:c r="AB804" t="str">
        <x:v>Pass</x:v>
      </x:c>
      <x:c r="AC804" t="str"/>
      <x:c r="AD804" t="str"/>
    </x:row>
    <x:row r="805">
      <x:c r="A805" t="str">
        <x:v>REC0804</x:v>
      </x:c>
      <x:c r="B805" t="n">
        <x:v>803</x:v>
      </x:c>
      <x:c r="C805" t="str">
        <x:v>St. Thomas, USVI</x:v>
      </x:c>
      <x:c r="D805" t="str">
        <x:v>GV</x:v>
      </x:c>
      <x:c r="E805" t="str">
        <x:v>Ground Validation</x:v>
      </x:c>
      <x:c r="F805" t="str">
        <x:v>HD Seaviewer Drop Camera</x:v>
      </x:c>
      <x:c r="G805" t="str">
        <x:v>GV2016_155</x:v>
      </x:c>
      <x:c r="H805" s="28" t="n">
        <x:v>42610</x:v>
      </x:c>
      <x:c r="I805" t="str">
        <x:v>13:51:33</x:v>
      </x:c>
      <x:c r="J805" t="n">
        <x:v>2016</x:v>
      </x:c>
      <x:c r="K805" t="n">
        <x:v>18.24377139</x:v>
      </x:c>
      <x:c r="L805" t="n">
        <x:v>-64.91559427</x:v>
      </x:c>
      <x:c r="M805" t="n">
        <x:v>41.496</x:v>
      </x:c>
      <x:c r="N805" t="str">
        <x:v>https://nccospublicstor.blob.core.windows.net/biomapper/usviinsularshelf2017/videos/low/GV2016_155.mp4</x:v>
      </x:c>
      <x:c r="O805" t="n">
        <x:v>0</x:v>
      </x:c>
      <x:c r="P805" t="n">
        <x:v>0</x:v>
      </x:c>
      <x:c r="Q805" t="n">
        <x:v>0</x:v>
      </x:c>
      <x:c r="R805" t="n">
        <x:v>1</x:v>
      </x:c>
      <x:c r="S805" t="n">
        <x:v>0</x:v>
      </x:c>
      <x:c r="T805" t="n">
        <x:v>0</x:v>
      </x:c>
      <x:c r="U805" t="n">
        <x:v>1</x:v>
      </x:c>
      <x:c r="V805" t="n">
        <x:v>1</x:v>
      </x:c>
      <x:c r="W805" t="n">
        <x:v>0</x:v>
      </x:c>
      <x:c r="X805" t="n">
        <x:v>0</x:v>
      </x:c>
      <x:c r="Y805" t="n">
        <x:v>0</x:v>
      </x:c>
      <x:c r="Z805" t="n">
        <x:v>1</x:v>
      </x:c>
      <x:c r="AA805" t="n">
        <x:v>2</x:v>
      </x:c>
      <x:c r="AB805" t="str">
        <x:v>Pass</x:v>
      </x:c>
      <x:c r="AC805" t="str"/>
      <x:c r="AD805" t="str"/>
    </x:row>
    <x:row r="806">
      <x:c r="A806" t="str">
        <x:v>REC0805</x:v>
      </x:c>
      <x:c r="B806" t="n">
        <x:v>804</x:v>
      </x:c>
      <x:c r="C806" t="str">
        <x:v>St. Thomas, USVI</x:v>
      </x:c>
      <x:c r="D806" t="str">
        <x:v>GV</x:v>
      </x:c>
      <x:c r="E806" t="str">
        <x:v>Ground Validation</x:v>
      </x:c>
      <x:c r="F806" t="str">
        <x:v>HD Seaviewer Drop Camera</x:v>
      </x:c>
      <x:c r="G806" t="str">
        <x:v>GV2016_156</x:v>
      </x:c>
      <x:c r="H806" s="28" t="n">
        <x:v>42608</x:v>
      </x:c>
      <x:c r="I806" t="str">
        <x:v>12:14:08</x:v>
      </x:c>
      <x:c r="J806" t="n">
        <x:v>2016</x:v>
      </x:c>
      <x:c r="K806" t="n">
        <x:v>18.22592279</x:v>
      </x:c>
      <x:c r="L806" t="n">
        <x:v>-65.0348574</x:v>
      </x:c>
      <x:c r="M806" t="n">
        <x:v>41.71</x:v>
      </x:c>
      <x:c r="N806" t="str">
        <x:v>https://nccospublicstor.blob.core.windows.net/biomapper/usviinsularshelf2017/videos/low/GV2016_156.mp4</x:v>
      </x:c>
      <x:c r="O806" t="n">
        <x:v>0</x:v>
      </x:c>
      <x:c r="P806" t="n">
        <x:v>0</x:v>
      </x:c>
      <x:c r="Q806" t="n">
        <x:v>0</x:v>
      </x:c>
      <x:c r="R806" t="n">
        <x:v>1</x:v>
      </x:c>
      <x:c r="S806" t="n">
        <x:v>0</x:v>
      </x:c>
      <x:c r="T806" t="n">
        <x:v>0</x:v>
      </x:c>
      <x:c r="U806" t="n">
        <x:v>1</x:v>
      </x:c>
      <x:c r="V806" t="n">
        <x:v>1</x:v>
      </x:c>
      <x:c r="W806" t="n">
        <x:v>0</x:v>
      </x:c>
      <x:c r="X806" t="n">
        <x:v>0</x:v>
      </x:c>
      <x:c r="Y806" t="n">
        <x:v>0</x:v>
      </x:c>
      <x:c r="Z806" t="n">
        <x:v>1</x:v>
      </x:c>
      <x:c r="AA806" t="n">
        <x:v>2</x:v>
      </x:c>
      <x:c r="AB806" t="str">
        <x:v>Pass</x:v>
      </x:c>
      <x:c r="AC806" t="str"/>
      <x:c r="AD806" t="str"/>
    </x:row>
    <x:row r="807">
      <x:c r="A807" t="str">
        <x:v>REC0806</x:v>
      </x:c>
      <x:c r="B807" t="n">
        <x:v>805</x:v>
      </x:c>
      <x:c r="C807" t="str">
        <x:v>St. John, USVI</x:v>
      </x:c>
      <x:c r="D807" t="str">
        <x:v>GV</x:v>
      </x:c>
      <x:c r="E807" t="str">
        <x:v>Ground Validation</x:v>
      </x:c>
      <x:c r="F807" t="str">
        <x:v>HD Seaviewer Drop Camera</x:v>
      </x:c>
      <x:c r="G807" t="str">
        <x:v>GV2016_157</x:v>
      </x:c>
      <x:c r="H807" s="28" t="n">
        <x:v>42624</x:v>
      </x:c>
      <x:c r="I807" t="str">
        <x:v>12:35:24</x:v>
      </x:c>
      <x:c r="J807" t="n">
        <x:v>2016</x:v>
      </x:c>
      <x:c r="K807" t="n">
        <x:v>18.2941644</x:v>
      </x:c>
      <x:c r="L807" t="n">
        <x:v>-64.77379783</x:v>
      </x:c>
      <x:c r="M807" t="n">
        <x:v>30.114</x:v>
      </x:c>
      <x:c r="N807" t="str">
        <x:v>https://nccospublicstor.blob.core.windows.net/biomapper/usviinsularshelf2017/videos/low/GV2016_157.mp4</x:v>
      </x:c>
      <x:c r="O807" t="n">
        <x:v>0</x:v>
      </x:c>
      <x:c r="P807" t="n">
        <x:v>0</x:v>
      </x:c>
      <x:c r="Q807" t="n">
        <x:v>0</x:v>
      </x:c>
      <x:c r="R807" t="n">
        <x:v>1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1</x:v>
      </x:c>
      <x:c r="AA807" t="n">
        <x:v>0</x:v>
      </x:c>
      <x:c r="AB807" t="str">
        <x:v>Pass</x:v>
      </x:c>
      <x:c r="AC807" t="str"/>
      <x:c r="AD807" t="str"/>
    </x:row>
    <x:row r="808">
      <x:c r="A808" t="str">
        <x:v>REC0807</x:v>
      </x:c>
      <x:c r="B808" t="n">
        <x:v>806</x:v>
      </x:c>
      <x:c r="C808" t="str">
        <x:v>Puerto Rico</x:v>
      </x:c>
      <x:c r="D808" t="str">
        <x:v>GV</x:v>
      </x:c>
      <x:c r="E808" t="str">
        <x:v>Ground Validation</x:v>
      </x:c>
      <x:c r="F808" t="str">
        <x:v>HD Seaviewer Drop Camera</x:v>
      </x:c>
      <x:c r="G808" t="str">
        <x:v>GV2016_158</x:v>
      </x:c>
      <x:c r="H808" s="28" t="n">
        <x:v>42603</x:v>
      </x:c>
      <x:c r="I808" t="str">
        <x:v>12:52:20</x:v>
      </x:c>
      <x:c r="J808" t="n">
        <x:v>2016</x:v>
      </x:c>
      <x:c r="K808" t="n">
        <x:v>18.15380542</x:v>
      </x:c>
      <x:c r="L808" t="n">
        <x:v>-65.23949929</x:v>
      </x:c>
      <x:c r="M808" t="n">
        <x:v>35.034</x:v>
      </x:c>
      <x:c r="N808" t="str">
        <x:v>https://nccospublicstor.blob.core.windows.net/biomapper/usviinsularshelf2017/videos/low/GV2016_158.mp4</x:v>
      </x:c>
      <x:c r="O808" t="n">
        <x:v>0</x:v>
      </x:c>
      <x:c r="P808" t="n">
        <x:v>0</x:v>
      </x:c>
      <x:c r="Q808" t="n">
        <x:v>1</x:v>
      </x:c>
      <x:c r="R808" t="n">
        <x:v>0</x:v>
      </x:c>
      <x:c r="S808" t="n">
        <x:v>0</x:v>
      </x:c>
      <x:c r="T808" t="n">
        <x:v>0</x:v>
      </x:c>
      <x:c r="U808" t="n">
        <x:v>1</x:v>
      </x:c>
      <x:c r="V808" t="n">
        <x:v>1</x:v>
      </x:c>
      <x:c r="W808" t="n">
        <x:v>0</x:v>
      </x:c>
      <x:c r="X808" t="n">
        <x:v>0</x:v>
      </x:c>
      <x:c r="Y808" t="n">
        <x:v>0</x:v>
      </x:c>
      <x:c r="Z808" t="n">
        <x:v>1</x:v>
      </x:c>
      <x:c r="AA808" t="n">
        <x:v>2</x:v>
      </x:c>
      <x:c r="AB808" t="str">
        <x:v>Pass</x:v>
      </x:c>
      <x:c r="AC808" t="str"/>
      <x:c r="AD808" t="str">
        <x:v>derelict trap</x:v>
      </x:c>
    </x:row>
    <x:row r="809">
      <x:c r="A809" t="str">
        <x:v>REC0808</x:v>
      </x:c>
      <x:c r="B809" t="n">
        <x:v>807</x:v>
      </x:c>
      <x:c r="C809" t="str">
        <x:v>Puerto Rico</x:v>
      </x:c>
      <x:c r="D809" t="str">
        <x:v>GV</x:v>
      </x:c>
      <x:c r="E809" t="str">
        <x:v>Ground Validation</x:v>
      </x:c>
      <x:c r="F809" t="str">
        <x:v>HD Seaviewer Drop Camera</x:v>
      </x:c>
      <x:c r="G809" t="str">
        <x:v>GV2016_159</x:v>
      </x:c>
      <x:c r="H809" s="28" t="n">
        <x:v>42607</x:v>
      </x:c>
      <x:c r="I809" t="str">
        <x:v>11:25:08</x:v>
      </x:c>
      <x:c r="J809" t="n">
        <x:v>2016</x:v>
      </x:c>
      <x:c r="K809" t="n">
        <x:v>18.21233892</x:v>
      </x:c>
      <x:c r="L809" t="n">
        <x:v>-65.13761172</x:v>
      </x:c>
      <x:c r="M809" t="n">
        <x:v>40.667</x:v>
      </x:c>
      <x:c r="N809" t="str">
        <x:v>https://nccospublicstor.blob.core.windows.net/biomapper/usviinsularshelf2017/videos/low/GV2016_159.mp4</x:v>
      </x:c>
      <x:c r="O809" t="n">
        <x:v>1</x:v>
      </x:c>
      <x:c r="P809" t="n">
        <x:v>0</x:v>
      </x:c>
      <x:c r="Q809" t="n">
        <x:v>1</x:v>
      </x:c>
      <x:c r="R809" t="n">
        <x:v>1</x:v>
      </x:c>
      <x:c r="S809" t="n">
        <x:v>1</x:v>
      </x:c>
      <x:c r="T809" t="n">
        <x:v>0</x:v>
      </x:c>
      <x:c r="U809" t="n">
        <x:v>1</x:v>
      </x:c>
      <x:c r="V809" t="n">
        <x:v>1</x:v>
      </x:c>
      <x:c r="W809" t="n">
        <x:v>0</x:v>
      </x:c>
      <x:c r="X809" t="n">
        <x:v>0</x:v>
      </x:c>
      <x:c r="Y809" t="n">
        <x:v>0</x:v>
      </x:c>
      <x:c r="Z809" t="n">
        <x:v>3</x:v>
      </x:c>
      <x:c r="AA809" t="n">
        <x:v>3</x:v>
      </x:c>
      <x:c r="AB809" t="str">
        <x:v>Pass</x:v>
      </x:c>
      <x:c r="AC809" t="str"/>
      <x:c r="AD809" t="str"/>
    </x:row>
    <x:row r="810">
      <x:c r="A810" t="str">
        <x:v>REC0809</x:v>
      </x:c>
      <x:c r="B810" t="n">
        <x:v>808</x:v>
      </x:c>
      <x:c r="C810" t="str">
        <x:v>St. John, USVI</x:v>
      </x:c>
      <x:c r="D810" t="str">
        <x:v>GV</x:v>
      </x:c>
      <x:c r="E810" t="str">
        <x:v>Ground Validation</x:v>
      </x:c>
      <x:c r="F810" t="str">
        <x:v>HD Seaviewer Drop Camera</x:v>
      </x:c>
      <x:c r="G810" t="str">
        <x:v>GV2016_160</x:v>
      </x:c>
      <x:c r="H810" s="28" t="n">
        <x:v>42615</x:v>
      </x:c>
      <x:c r="I810" t="str">
        <x:v>11:18:43</x:v>
      </x:c>
      <x:c r="J810" t="n">
        <x:v>2016</x:v>
      </x:c>
      <x:c r="K810" t="n">
        <x:v>18.29583875</x:v>
      </x:c>
      <x:c r="L810" t="n">
        <x:v>-64.71959364</x:v>
      </x:c>
      <x:c r="M810" t="n">
        <x:v>28.851</x:v>
      </x:c>
      <x:c r="N810" t="str">
        <x:v>https://nccospublicstor.blob.core.windows.net/biomapper/usviinsularshelf2017/videos/low/GV2016_160.mp4</x:v>
      </x:c>
      <x:c r="O810" t="n">
        <x:v>0</x:v>
      </x:c>
      <x:c r="P810" t="n">
        <x:v>0</x:v>
      </x:c>
      <x:c r="Q810" t="n">
        <x:v>1</x:v>
      </x:c>
      <x:c r="R810" t="n">
        <x:v>1</x:v>
      </x:c>
      <x:c r="S810" t="n">
        <x:v>0</x:v>
      </x:c>
      <x:c r="T810" t="n">
        <x:v>0</x:v>
      </x:c>
      <x:c r="U810" t="n">
        <x:v>1</x:v>
      </x:c>
      <x:c r="V810" t="n">
        <x:v>1</x:v>
      </x:c>
      <x:c r="W810" t="n">
        <x:v>0</x:v>
      </x:c>
      <x:c r="X810" t="n">
        <x:v>0</x:v>
      </x:c>
      <x:c r="Y810" t="n">
        <x:v>0</x:v>
      </x:c>
      <x:c r="Z810" t="n">
        <x:v>2</x:v>
      </x:c>
      <x:c r="AA810" t="n">
        <x:v>2</x:v>
      </x:c>
      <x:c r="AB810" t="str">
        <x:v>Pass</x:v>
      </x:c>
      <x:c r="AC810" t="str"/>
      <x:c r="AD810" t="str"/>
    </x:row>
    <x:row r="811">
      <x:c r="A811" t="str">
        <x:v>REC0810</x:v>
      </x:c>
      <x:c r="B811" t="n">
        <x:v>809</x:v>
      </x:c>
      <x:c r="C811" t="str">
        <x:v>St. Thomas, USVI</x:v>
      </x:c>
      <x:c r="D811" t="str">
        <x:v>GV</x:v>
      </x:c>
      <x:c r="E811" t="str">
        <x:v>Ground Validation</x:v>
      </x:c>
      <x:c r="F811" t="str">
        <x:v>HD Seaviewer Drop Camera</x:v>
      </x:c>
      <x:c r="G811" t="str">
        <x:v>GV2016_161</x:v>
      </x:c>
      <x:c r="H811" s="28" t="n">
        <x:v>42609</x:v>
      </x:c>
      <x:c r="I811" t="str">
        <x:v>10:45:45</x:v>
      </x:c>
      <x:c r="J811" t="n">
        <x:v>2016</x:v>
      </x:c>
      <x:c r="K811" t="n">
        <x:v>18.25493584</x:v>
      </x:c>
      <x:c r="L811" t="n">
        <x:v>-65.03837381</x:v>
      </x:c>
      <x:c r="M811" t="n">
        <x:v>32.83</x:v>
      </x:c>
      <x:c r="N811" t="str">
        <x:v>https://nccospublicstor.blob.core.windows.net/biomapper/usviinsularshelf2017/videos/low/GV2016_161.mp4</x:v>
      </x:c>
      <x:c r="O811" t="n">
        <x:v>1</x:v>
      </x:c>
      <x:c r="P811" t="n">
        <x:v>0</x:v>
      </x:c>
      <x:c r="Q811" t="n">
        <x:v>0</x:v>
      </x:c>
      <x:c r="R811" t="n">
        <x:v>1</x:v>
      </x:c>
      <x:c r="S811" t="n">
        <x:v>1</x:v>
      </x:c>
      <x:c r="T811" t="n">
        <x:v>1</x:v>
      </x:c>
      <x:c r="U811" t="n">
        <x:v>1</x:v>
      </x:c>
      <x:c r="V811" t="n">
        <x:v>1</x:v>
      </x:c>
      <x:c r="W811" t="n">
        <x:v>0</x:v>
      </x:c>
      <x:c r="X811" t="n">
        <x:v>0</x:v>
      </x:c>
      <x:c r="Y811" t="n">
        <x:v>0</x:v>
      </x:c>
      <x:c r="Z811" t="n">
        <x:v>2</x:v>
      </x:c>
      <x:c r="AA811" t="n">
        <x:v>4</x:v>
      </x:c>
      <x:c r="AB811" t="str">
        <x:v>Pass</x:v>
      </x:c>
      <x:c r="AC811" t="str"/>
      <x:c r="AD811" t="str"/>
    </x:row>
    <x:row r="812">
      <x:c r="A812" t="str">
        <x:v>REC0811</x:v>
      </x:c>
      <x:c r="B812" t="n">
        <x:v>810</x:v>
      </x:c>
      <x:c r="C812" t="str">
        <x:v>St. John, USVI</x:v>
      </x:c>
      <x:c r="D812" t="str">
        <x:v>GV</x:v>
      </x:c>
      <x:c r="E812" t="str">
        <x:v>Ground Validation</x:v>
      </x:c>
      <x:c r="F812" t="str">
        <x:v>HD Seaviewer Drop Camera</x:v>
      </x:c>
      <x:c r="G812" t="str">
        <x:v>GV2016_163</x:v>
      </x:c>
      <x:c r="H812" s="28" t="n">
        <x:v>42625</x:v>
      </x:c>
      <x:c r="I812" t="str">
        <x:v>09:10:47</x:v>
      </x:c>
      <x:c r="J812" t="n">
        <x:v>2016</x:v>
      </x:c>
      <x:c r="K812" t="n">
        <x:v>18.26940484</x:v>
      </x:c>
      <x:c r="L812" t="n">
        <x:v>-64.66285676</x:v>
      </x:c>
      <x:c r="M812" t="n">
        <x:v>44.375</x:v>
      </x:c>
      <x:c r="N812" t="str">
        <x:v>https://nccospublicstor.blob.core.windows.net/biomapper/usviinsularshelf2017/videos/low/GV2016_163.mp4</x:v>
      </x:c>
      <x:c r="O812" t="n">
        <x:v>0</x:v>
      </x:c>
      <x:c r="P812" t="n">
        <x:v>0</x:v>
      </x:c>
      <x:c r="Q812" t="n">
        <x:v>1</x:v>
      </x:c>
      <x:c r="R812" t="n">
        <x:v>1</x:v>
      </x:c>
      <x:c r="S812" t="n">
        <x:v>0</x:v>
      </x:c>
      <x:c r="T812" t="n">
        <x:v>0</x:v>
      </x:c>
      <x:c r="U812" t="n">
        <x:v>1</x:v>
      </x:c>
      <x:c r="V812" t="n">
        <x:v>1</x:v>
      </x:c>
      <x:c r="W812" t="n">
        <x:v>0</x:v>
      </x:c>
      <x:c r="X812" t="n">
        <x:v>0</x:v>
      </x:c>
      <x:c r="Y812" t="n">
        <x:v>0</x:v>
      </x:c>
      <x:c r="Z812" t="n">
        <x:v>2</x:v>
      </x:c>
      <x:c r="AA812" t="n">
        <x:v>2</x:v>
      </x:c>
      <x:c r="AB812" t="str">
        <x:v>Pass</x:v>
      </x:c>
      <x:c r="AC812" t="str"/>
      <x:c r="AD812" t="str"/>
    </x:row>
    <x:row r="813">
      <x:c r="A813" t="str">
        <x:v>REC0812</x:v>
      </x:c>
      <x:c r="B813" t="n">
        <x:v>811</x:v>
      </x:c>
      <x:c r="C813" t="str">
        <x:v>St. Thomas, USVI</x:v>
      </x:c>
      <x:c r="D813" t="str">
        <x:v>GV</x:v>
      </x:c>
      <x:c r="E813" t="str">
        <x:v>Ground Validation</x:v>
      </x:c>
      <x:c r="F813" t="str">
        <x:v>HD Seaviewer Drop Camera</x:v>
      </x:c>
      <x:c r="G813" t="str">
        <x:v>GV2016_164</x:v>
      </x:c>
      <x:c r="H813" s="28" t="n">
        <x:v>42609</x:v>
      </x:c>
      <x:c r="I813" t="str">
        <x:v>09:01:20</x:v>
      </x:c>
      <x:c r="J813" t="n">
        <x:v>2016</x:v>
      </x:c>
      <x:c r="K813" t="n">
        <x:v>18.21369507</x:v>
      </x:c>
      <x:c r="L813" t="n">
        <x:v>-65.09408663</x:v>
      </x:c>
      <x:c r="M813" t="n">
        <x:v>34.877</x:v>
      </x:c>
      <x:c r="N813" t="str">
        <x:v>https://nccospublicstor.blob.core.windows.net/biomapper/usviinsularshelf2017/videos/low/GV2016_164.mp4</x:v>
      </x:c>
      <x:c r="O813" t="n">
        <x:v>1</x:v>
      </x:c>
      <x:c r="P813" t="n">
        <x:v>0</x:v>
      </x:c>
      <x:c r="Q813" t="n">
        <x:v>0</x:v>
      </x:c>
      <x:c r="R813" t="n">
        <x:v>0</x:v>
      </x:c>
      <x:c r="S813" t="n">
        <x:v>1</x:v>
      </x:c>
      <x:c r="T813" t="n">
        <x:v>1</x:v>
      </x:c>
      <x:c r="U813" t="n">
        <x:v>1</x:v>
      </x:c>
      <x:c r="V813" t="n">
        <x:v>1</x:v>
      </x:c>
      <x:c r="W813" t="n">
        <x:v>0</x:v>
      </x:c>
      <x:c r="X813" t="n">
        <x:v>0</x:v>
      </x:c>
      <x:c r="Y813" t="n">
        <x:v>0</x:v>
      </x:c>
      <x:c r="Z813" t="n">
        <x:v>1</x:v>
      </x:c>
      <x:c r="AA813" t="n">
        <x:v>4</x:v>
      </x:c>
      <x:c r="AB813" t="str">
        <x:v>Pass</x:v>
      </x:c>
      <x:c r="AC813" t="str"/>
      <x:c r="AD813" t="str"/>
    </x:row>
    <x:row r="814">
      <x:c r="A814" t="str">
        <x:v>REC0813</x:v>
      </x:c>
      <x:c r="B814" t="n">
        <x:v>812</x:v>
      </x:c>
      <x:c r="C814" t="str">
        <x:v>St. Thomas, USVI</x:v>
      </x:c>
      <x:c r="D814" t="str">
        <x:v>GV</x:v>
      </x:c>
      <x:c r="E814" t="str">
        <x:v>Ground Validation</x:v>
      </x:c>
      <x:c r="F814" t="str">
        <x:v>HD Seaviewer Drop Camera</x:v>
      </x:c>
      <x:c r="G814" t="str">
        <x:v>GV2016_165</x:v>
      </x:c>
      <x:c r="H814" s="28" t="n">
        <x:v>42602</x:v>
      </x:c>
      <x:c r="I814" t="str">
        <x:v>12:56:10</x:v>
      </x:c>
      <x:c r="J814" t="n">
        <x:v>2016</x:v>
      </x:c>
      <x:c r="K814" t="n">
        <x:v>18.2731653</x:v>
      </x:c>
      <x:c r="L814" t="n">
        <x:v>-65.09946644</x:v>
      </x:c>
      <x:c r="M814" t="n">
        <x:v>26.562</x:v>
      </x:c>
      <x:c r="N814" t="str">
        <x:v>https://nccospublicstor.blob.core.windows.net/biomapper/usviinsularshelf2017/videos/low/GV2016_165.mp4</x:v>
      </x:c>
      <x:c r="O814" t="n">
        <x:v>1</x:v>
      </x:c>
      <x:c r="P814" t="n">
        <x:v>0</x:v>
      </x:c>
      <x:c r="Q814" t="n">
        <x:v>0</x:v>
      </x:c>
      <x:c r="R814" t="n">
        <x:v>0</x:v>
      </x:c>
      <x:c r="S814" t="n">
        <x:v>1</x:v>
      </x:c>
      <x:c r="T814" t="n">
        <x:v>1</x:v>
      </x:c>
      <x:c r="U814" t="n">
        <x:v>1</x:v>
      </x:c>
      <x:c r="V814" t="n">
        <x:v>1</x:v>
      </x:c>
      <x:c r="W814" t="n">
        <x:v>0</x:v>
      </x:c>
      <x:c r="X814" t="n">
        <x:v>0</x:v>
      </x:c>
      <x:c r="Y814" t="n">
        <x:v>0</x:v>
      </x:c>
      <x:c r="Z814" t="n">
        <x:v>1</x:v>
      </x:c>
      <x:c r="AA814" t="n">
        <x:v>4</x:v>
      </x:c>
      <x:c r="AB814" t="str">
        <x:v>Pass</x:v>
      </x:c>
      <x:c r="AC814" t="str"/>
      <x:c r="AD814" t="str"/>
    </x:row>
    <x:row r="815">
      <x:c r="A815" t="str">
        <x:v>REC0814</x:v>
      </x:c>
      <x:c r="B815" t="n">
        <x:v>813</x:v>
      </x:c>
      <x:c r="C815" t="str">
        <x:v>St. Thomas, USVI</x:v>
      </x:c>
      <x:c r="D815" t="str">
        <x:v>GV</x:v>
      </x:c>
      <x:c r="E815" t="str">
        <x:v>Ground Validation</x:v>
      </x:c>
      <x:c r="F815" t="str">
        <x:v>HD Seaviewer Drop Camera</x:v>
      </x:c>
      <x:c r="G815" t="str">
        <x:v>GV2016_166</x:v>
      </x:c>
      <x:c r="H815" s="28" t="n">
        <x:v>42611</x:v>
      </x:c>
      <x:c r="I815" t="str">
        <x:v>13:29:10</x:v>
      </x:c>
      <x:c r="J815" t="n">
        <x:v>2016</x:v>
      </x:c>
      <x:c r="K815" t="n">
        <x:v>18.2256488</x:v>
      </x:c>
      <x:c r="L815" t="n">
        <x:v>-64.96139026</x:v>
      </x:c>
      <x:c r="M815" t="n">
        <x:v>41.954</x:v>
      </x:c>
      <x:c r="N815" t="str">
        <x:v>https://nccospublicstor.blob.core.windows.net/biomapper/usviinsularshelf2017/videos/low/GV2016_166.mp4</x:v>
      </x:c>
      <x:c r="O815" t="n">
        <x:v>0</x:v>
      </x:c>
      <x:c r="P815" t="n">
        <x:v>0</x:v>
      </x:c>
      <x:c r="Q815" t="n">
        <x:v>1</x:v>
      </x:c>
      <x:c r="R815" t="n">
        <x:v>1</x:v>
      </x:c>
      <x:c r="S815" t="n">
        <x:v>0</x:v>
      </x:c>
      <x:c r="T815" t="n">
        <x:v>0</x:v>
      </x:c>
      <x:c r="U815" t="n">
        <x:v>1</x:v>
      </x:c>
      <x:c r="V815" t="n">
        <x:v>1</x:v>
      </x:c>
      <x:c r="W815" t="n">
        <x:v>0</x:v>
      </x:c>
      <x:c r="X815" t="n">
        <x:v>0</x:v>
      </x:c>
      <x:c r="Y815" t="n">
        <x:v>0</x:v>
      </x:c>
      <x:c r="Z815" t="n">
        <x:v>2</x:v>
      </x:c>
      <x:c r="AA815" t="n">
        <x:v>2</x:v>
      </x:c>
      <x:c r="AB815" t="str">
        <x:v>Pass</x:v>
      </x:c>
      <x:c r="AC815" t="str"/>
      <x:c r="AD815" t="str"/>
    </x:row>
    <x:row r="816">
      <x:c r="A816" t="str">
        <x:v>REC0815</x:v>
      </x:c>
      <x:c r="B816" t="n">
        <x:v>814</x:v>
      </x:c>
      <x:c r="C816" t="str">
        <x:v>St. Thomas, USVI</x:v>
      </x:c>
      <x:c r="D816" t="str">
        <x:v>GV</x:v>
      </x:c>
      <x:c r="E816" t="str">
        <x:v>Ground Validation</x:v>
      </x:c>
      <x:c r="F816" t="str">
        <x:v>HD Seaviewer Drop Camera</x:v>
      </x:c>
      <x:c r="G816" t="str">
        <x:v>GV2016_167</x:v>
      </x:c>
      <x:c r="H816" s="28" t="n">
        <x:v>42608</x:v>
      </x:c>
      <x:c r="I816" t="str">
        <x:v>14:46:44</x:v>
      </x:c>
      <x:c r="J816" t="n">
        <x:v>2016</x:v>
      </x:c>
      <x:c r="K816" t="n">
        <x:v>18.20604522</x:v>
      </x:c>
      <x:c r="L816" t="n">
        <x:v>-65.11839386</x:v>
      </x:c>
      <x:c r="M816" t="n">
        <x:v>35.85</x:v>
      </x:c>
      <x:c r="N816" t="str">
        <x:v>https://nccospublicstor.blob.core.windows.net/biomapper/usviinsularshelf2017/videos/low/GV2016_167.mp4</x:v>
      </x:c>
      <x:c r="O816" t="n">
        <x:v>1</x:v>
      </x:c>
      <x:c r="P816" t="n">
        <x:v>0</x:v>
      </x:c>
      <x:c r="Q816" t="n">
        <x:v>0</x:v>
      </x:c>
      <x:c r="R816" t="n">
        <x:v>0</x:v>
      </x:c>
      <x:c r="S816" t="n">
        <x:v>1</x:v>
      </x:c>
      <x:c r="T816" t="n">
        <x:v>0</x:v>
      </x:c>
      <x:c r="U816" t="n">
        <x:v>1</x:v>
      </x:c>
      <x:c r="V816" t="n">
        <x:v>1</x:v>
      </x:c>
      <x:c r="W816" t="n">
        <x:v>0</x:v>
      </x:c>
      <x:c r="X816" t="n">
        <x:v>0</x:v>
      </x:c>
      <x:c r="Y816" t="n">
        <x:v>0</x:v>
      </x:c>
      <x:c r="Z816" t="n">
        <x:v>1</x:v>
      </x:c>
      <x:c r="AA816" t="n">
        <x:v>3</x:v>
      </x:c>
      <x:c r="AB816" t="str">
        <x:v>Pass</x:v>
      </x:c>
      <x:c r="AC816" t="str"/>
      <x:c r="AD816" t="str">
        <x:v>High Coral cover &gt;70%</x:v>
      </x:c>
    </x:row>
    <x:row r="817">
      <x:c r="A817" t="str">
        <x:v>REC0816</x:v>
      </x:c>
      <x:c r="B817" t="n">
        <x:v>815</x:v>
      </x:c>
      <x:c r="C817" t="str">
        <x:v>St. Thomas, USVI</x:v>
      </x:c>
      <x:c r="D817" t="str">
        <x:v>GV</x:v>
      </x:c>
      <x:c r="E817" t="str">
        <x:v>Ground Validation</x:v>
      </x:c>
      <x:c r="F817" t="str">
        <x:v>HD Seaviewer Drop Camera</x:v>
      </x:c>
      <x:c r="G817" t="str">
        <x:v>GV2016_168</x:v>
      </x:c>
      <x:c r="H817" s="28" t="n">
        <x:v>42608</x:v>
      </x:c>
      <x:c r="I817" t="str">
        <x:v>12:50:31</x:v>
      </x:c>
      <x:c r="J817" t="n">
        <x:v>2016</x:v>
      </x:c>
      <x:c r="K817" t="n">
        <x:v>18.20029923</x:v>
      </x:c>
      <x:c r="L817" t="n">
        <x:v>-65.06203301</x:v>
      </x:c>
      <x:c r="M817" t="n">
        <x:v>37.404</x:v>
      </x:c>
      <x:c r="N817" t="str">
        <x:v>https://nccospublicstor.blob.core.windows.net/biomapper/usviinsularshelf2017/videos/low/GV2016_168.mp4</x:v>
      </x:c>
      <x:c r="O817" t="n">
        <x:v>1</x:v>
      </x:c>
      <x:c r="P817" t="n">
        <x:v>0</x:v>
      </x:c>
      <x:c r="Q817" t="n">
        <x:v>0</x:v>
      </x:c>
      <x:c r="R817" t="n">
        <x:v>0</x:v>
      </x:c>
      <x:c r="S817" t="n">
        <x:v>1</x:v>
      </x:c>
      <x:c r="T817" t="n">
        <x:v>1</x:v>
      </x:c>
      <x:c r="U817" t="n">
        <x:v>1</x:v>
      </x:c>
      <x:c r="V817" t="n">
        <x:v>1</x:v>
      </x:c>
      <x:c r="W817" t="n">
        <x:v>0</x:v>
      </x:c>
      <x:c r="X817" t="n">
        <x:v>0</x:v>
      </x:c>
      <x:c r="Y817" t="n">
        <x:v>0</x:v>
      </x:c>
      <x:c r="Z817" t="n">
        <x:v>1</x:v>
      </x:c>
      <x:c r="AA817" t="n">
        <x:v>4</x:v>
      </x:c>
      <x:c r="AB817" t="str">
        <x:v>Pass</x:v>
      </x:c>
      <x:c r="AC817" t="str"/>
      <x:c r="AD817" t="str">
        <x:v>Line and Snapper</x:v>
      </x:c>
    </x:row>
    <x:row r="818">
      <x:c r="A818" t="str">
        <x:v>REC0817</x:v>
      </x:c>
      <x:c r="B818" t="n">
        <x:v>816</x:v>
      </x:c>
      <x:c r="C818" t="str">
        <x:v>Puerto Rico</x:v>
      </x:c>
      <x:c r="D818" t="str">
        <x:v>GV</x:v>
      </x:c>
      <x:c r="E818" t="str">
        <x:v>Ground Validation</x:v>
      </x:c>
      <x:c r="F818" t="str">
        <x:v>HD Seaviewer Drop Camera</x:v>
      </x:c>
      <x:c r="G818" t="str">
        <x:v>GV2016_169</x:v>
      </x:c>
      <x:c r="H818" s="28" t="n">
        <x:v>42605</x:v>
      </x:c>
      <x:c r="I818" t="str">
        <x:v>13:57:10</x:v>
      </x:c>
      <x:c r="J818" t="n">
        <x:v>2016</x:v>
      </x:c>
      <x:c r="K818" t="n">
        <x:v>18.16523683</x:v>
      </x:c>
      <x:c r="L818" t="n">
        <x:v>-65.18344519</x:v>
      </x:c>
      <x:c r="M818" t="n">
        <x:v>40.658</x:v>
      </x:c>
      <x:c r="N818" t="str">
        <x:v>https://nccospublicstor.blob.core.windows.net/biomapper/usviinsularshelf2017/videos/low/GV2016_169.mp4</x:v>
      </x:c>
      <x:c r="O818" t="n">
        <x:v>1</x:v>
      </x:c>
      <x:c r="P818" t="n">
        <x:v>0</x:v>
      </x:c>
      <x:c r="Q818" t="n">
        <x:v>0</x:v>
      </x:c>
      <x:c r="R818" t="n">
        <x:v>0</x:v>
      </x:c>
      <x:c r="S818" t="n">
        <x:v>1</x:v>
      </x:c>
      <x:c r="T818" t="n">
        <x:v>1</x:v>
      </x:c>
      <x:c r="U818" t="n">
        <x:v>1</x:v>
      </x:c>
      <x:c r="V818" t="n">
        <x:v>1</x:v>
      </x:c>
      <x:c r="W818" t="n">
        <x:v>0</x:v>
      </x:c>
      <x:c r="X818" t="n">
        <x:v>0</x:v>
      </x:c>
      <x:c r="Y818" t="n">
        <x:v>0</x:v>
      </x:c>
      <x:c r="Z818" t="n">
        <x:v>1</x:v>
      </x:c>
      <x:c r="AA818" t="n">
        <x:v>4</x:v>
      </x:c>
      <x:c r="AB818" t="str">
        <x:v>Pass</x:v>
      </x:c>
      <x:c r="AC818" t="str"/>
      <x:c r="AD818" t="str"/>
    </x:row>
    <x:row r="819">
      <x:c r="A819" t="str">
        <x:v>REC0818</x:v>
      </x:c>
      <x:c r="B819" t="n">
        <x:v>817</x:v>
      </x:c>
      <x:c r="C819" t="str">
        <x:v>Puerto Rico</x:v>
      </x:c>
      <x:c r="D819" t="str">
        <x:v>GV</x:v>
      </x:c>
      <x:c r="E819" t="str">
        <x:v>Ground Validation</x:v>
      </x:c>
      <x:c r="F819" t="str">
        <x:v>HD Seaviewer Drop Camera</x:v>
      </x:c>
      <x:c r="G819" t="str">
        <x:v>GV2016_170</x:v>
      </x:c>
      <x:c r="H819" s="28" t="n">
        <x:v>42603</x:v>
      </x:c>
      <x:c r="I819" t="str">
        <x:v>14:14:21</x:v>
      </x:c>
      <x:c r="J819" t="n">
        <x:v>2016</x:v>
      </x:c>
      <x:c r="K819" t="n">
        <x:v>18.18538293</x:v>
      </x:c>
      <x:c r="L819" t="n">
        <x:v>-65.23163132</x:v>
      </x:c>
      <x:c r="M819" t="n">
        <x:v>36.092</x:v>
      </x:c>
      <x:c r="N819" t="str">
        <x:v>https://nccospublicstor.blob.core.windows.net/biomapper/usviinsularshelf2017/videos/low/GV2016_170.mp4</x:v>
      </x:c>
      <x:c r="O819" t="n">
        <x:v>1</x:v>
      </x:c>
      <x:c r="P819" t="n">
        <x:v>0</x:v>
      </x:c>
      <x:c r="Q819" t="n">
        <x:v>0</x:v>
      </x:c>
      <x:c r="R819" t="n">
        <x:v>1</x:v>
      </x:c>
      <x:c r="S819" t="n">
        <x:v>1</x:v>
      </x:c>
      <x:c r="T819" t="n">
        <x:v>1</x:v>
      </x:c>
      <x:c r="U819" t="n">
        <x:v>1</x:v>
      </x:c>
      <x:c r="V819" t="n">
        <x:v>1</x:v>
      </x:c>
      <x:c r="W819" t="n">
        <x:v>0</x:v>
      </x:c>
      <x:c r="X819" t="n">
        <x:v>0</x:v>
      </x:c>
      <x:c r="Y819" t="n">
        <x:v>0</x:v>
      </x:c>
      <x:c r="Z819" t="n">
        <x:v>2</x:v>
      </x:c>
      <x:c r="AA819" t="n">
        <x:v>4</x:v>
      </x:c>
      <x:c r="AB819" t="str">
        <x:v>Pass</x:v>
      </x:c>
      <x:c r="AC819" t="str"/>
      <x:c r="AD819" t="str"/>
    </x:row>
    <x:row r="820">
      <x:c r="A820" t="str">
        <x:v>REC0819</x:v>
      </x:c>
      <x:c r="B820" t="n">
        <x:v>818</x:v>
      </x:c>
      <x:c r="C820" t="str">
        <x:v>St. John, USVI</x:v>
      </x:c>
      <x:c r="D820" t="str">
        <x:v>GV</x:v>
      </x:c>
      <x:c r="E820" t="str">
        <x:v>Ground Validation</x:v>
      </x:c>
      <x:c r="F820" t="str">
        <x:v>HD Seaviewer Drop Camera</x:v>
      </x:c>
      <x:c r="G820" t="str">
        <x:v>GV2016_172</x:v>
      </x:c>
      <x:c r="H820" s="28" t="n">
        <x:v>42625</x:v>
      </x:c>
      <x:c r="I820" t="str">
        <x:v>10:20:48</x:v>
      </x:c>
      <x:c r="J820" t="n">
        <x:v>2016</x:v>
      </x:c>
      <x:c r="K820" t="n">
        <x:v>18.23693281</x:v>
      </x:c>
      <x:c r="L820" t="n">
        <x:v>-64.65900618</x:v>
      </x:c>
      <x:c r="M820" t="n">
        <x:v>49.641</x:v>
      </x:c>
      <x:c r="N820" t="str">
        <x:v>https://nccospublicstor.blob.core.windows.net/biomapper/usviinsularshelf2017/videos/low/GV2016_172.mp4</x:v>
      </x:c>
      <x:c r="O820" t="n">
        <x:v>0</x:v>
      </x:c>
      <x:c r="P820" t="n">
        <x:v>0</x:v>
      </x:c>
      <x:c r="Q820" t="n">
        <x:v>1</x:v>
      </x:c>
      <x:c r="R820" t="n">
        <x:v>0</x:v>
      </x:c>
      <x:c r="S820" t="n">
        <x:v>0</x:v>
      </x:c>
      <x:c r="T820" t="n">
        <x:v>0</x:v>
      </x:c>
      <x:c r="U820" t="n">
        <x:v>1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1</x:v>
      </x:c>
      <x:c r="AA820" t="n">
        <x:v>1</x:v>
      </x:c>
      <x:c r="AB820" t="str">
        <x:v>Pass</x:v>
      </x:c>
      <x:c r="AC820" t="str"/>
      <x:c r="AD820" t="str">
        <x:v>reef squid upper right corner</x:v>
      </x:c>
    </x:row>
    <x:row r="821">
      <x:c r="A821" t="str">
        <x:v>REC0820</x:v>
      </x:c>
      <x:c r="B821" t="n">
        <x:v>819</x:v>
      </x:c>
      <x:c r="C821" t="str">
        <x:v>St. John, USVI</x:v>
      </x:c>
      <x:c r="D821" t="str">
        <x:v>GV</x:v>
      </x:c>
      <x:c r="E821" t="str">
        <x:v>Ground Validation</x:v>
      </x:c>
      <x:c r="F821" t="str">
        <x:v>HD Seaviewer Drop Camera</x:v>
      </x:c>
      <x:c r="G821" t="str">
        <x:v>GV2016_173</x:v>
      </x:c>
      <x:c r="H821" s="28" t="n">
        <x:v>42623</x:v>
      </x:c>
      <x:c r="I821" t="str">
        <x:v>10:40:50</x:v>
      </x:c>
      <x:c r="J821" t="n">
        <x:v>2016</x:v>
      </x:c>
      <x:c r="K821" t="n">
        <x:v>18.26721816</x:v>
      </x:c>
      <x:c r="L821" t="n">
        <x:v>-64.77961348</x:v>
      </x:c>
      <x:c r="M821" t="n">
        <x:v>41.864</x:v>
      </x:c>
      <x:c r="N821" t="str">
        <x:v>https://nccospublicstor.blob.core.windows.net/biomapper/usviinsularshelf2017/videos/low/GV2016_173.mp4</x:v>
      </x:c>
      <x:c r="O821" t="n">
        <x:v>0</x:v>
      </x:c>
      <x:c r="P821" t="n">
        <x:v>0</x:v>
      </x:c>
      <x:c r="Q821" t="n">
        <x:v>1</x:v>
      </x:c>
      <x:c r="R821" t="n">
        <x:v>1</x:v>
      </x:c>
      <x:c r="S821" t="n">
        <x:v>0</x:v>
      </x:c>
      <x:c r="T821" t="n">
        <x:v>0</x:v>
      </x:c>
      <x:c r="U821" t="n">
        <x:v>1</x:v>
      </x:c>
      <x:c r="V821" t="n">
        <x:v>1</x:v>
      </x:c>
      <x:c r="W821" t="n">
        <x:v>0</x:v>
      </x:c>
      <x:c r="X821" t="n">
        <x:v>0</x:v>
      </x:c>
      <x:c r="Y821" t="n">
        <x:v>0</x:v>
      </x:c>
      <x:c r="Z821" t="n">
        <x:v>2</x:v>
      </x:c>
      <x:c r="AA821" t="n">
        <x:v>2</x:v>
      </x:c>
      <x:c r="AB821" t="str">
        <x:v>Pass</x:v>
      </x:c>
      <x:c r="AC821" t="str"/>
      <x:c r="AD821" t="str"/>
    </x:row>
    <x:row r="822">
      <x:c r="A822" t="str">
        <x:v>REC0821</x:v>
      </x:c>
      <x:c r="B822" t="n">
        <x:v>820</x:v>
      </x:c>
      <x:c r="C822" t="str">
        <x:v>St. Thomas, USVI</x:v>
      </x:c>
      <x:c r="D822" t="str">
        <x:v>GV</x:v>
      </x:c>
      <x:c r="E822" t="str">
        <x:v>Ground Validation</x:v>
      </x:c>
      <x:c r="F822" t="str">
        <x:v>HD Seaviewer Drop Camera</x:v>
      </x:c>
      <x:c r="G822" t="str">
        <x:v>GV2016_174</x:v>
      </x:c>
      <x:c r="H822" s="28" t="n">
        <x:v>42608</x:v>
      </x:c>
      <x:c r="I822" t="str">
        <x:v>11:03:29</x:v>
      </x:c>
      <x:c r="J822" t="n">
        <x:v>2016</x:v>
      </x:c>
      <x:c r="K822" t="n">
        <x:v>18.20547229</x:v>
      </x:c>
      <x:c r="L822" t="n">
        <x:v>-65.0144516</x:v>
      </x:c>
      <x:c r="M822" t="n">
        <x:v>48.924</x:v>
      </x:c>
      <x:c r="N822" t="str">
        <x:v>https://nccospublicstor.blob.core.windows.net/biomapper/usviinsularshelf2017/videos/low/GV2016_174.mp4</x:v>
      </x:c>
      <x:c r="O822" t="n">
        <x:v>1</x:v>
      </x:c>
      <x:c r="P822" t="n">
        <x:v>0</x:v>
      </x:c>
      <x:c r="Q822" t="n">
        <x:v>0</x:v>
      </x:c>
      <x:c r="R822" t="n">
        <x:v>0</x:v>
      </x:c>
      <x:c r="S822" t="n">
        <x:v>1</x:v>
      </x:c>
      <x:c r="T822" t="n">
        <x:v>0</x:v>
      </x:c>
      <x:c r="U822" t="n">
        <x:v>1</x:v>
      </x:c>
      <x:c r="V822" t="n">
        <x:v>1</x:v>
      </x:c>
      <x:c r="W822" t="n">
        <x:v>0</x:v>
      </x:c>
      <x:c r="X822" t="n">
        <x:v>0</x:v>
      </x:c>
      <x:c r="Y822" t="n">
        <x:v>0</x:v>
      </x:c>
      <x:c r="Z822" t="n">
        <x:v>1</x:v>
      </x:c>
      <x:c r="AA822" t="n">
        <x:v>3</x:v>
      </x:c>
      <x:c r="AB822" t="str">
        <x:v>Pass</x:v>
      </x:c>
      <x:c r="AC822" t="str"/>
      <x:c r="AD822" t="str"/>
    </x:row>
    <x:row r="823">
      <x:c r="A823" t="str">
        <x:v>REC0822</x:v>
      </x:c>
      <x:c r="B823" t="n">
        <x:v>821</x:v>
      </x:c>
      <x:c r="C823" t="str">
        <x:v>Puerto Rico</x:v>
      </x:c>
      <x:c r="D823" t="str">
        <x:v>GV</x:v>
      </x:c>
      <x:c r="E823" t="str">
        <x:v>Ground Validation</x:v>
      </x:c>
      <x:c r="F823" t="str">
        <x:v>HD Seaviewer Drop Camera</x:v>
      </x:c>
      <x:c r="G823" t="str">
        <x:v>GV2016_175</x:v>
      </x:c>
      <x:c r="H823" s="28" t="n">
        <x:v>42607</x:v>
      </x:c>
      <x:c r="I823" t="str">
        <x:v>11:01:20</x:v>
      </x:c>
      <x:c r="J823" t="n">
        <x:v>2016</x:v>
      </x:c>
      <x:c r="K823" t="n">
        <x:v>18.23619657</x:v>
      </x:c>
      <x:c r="L823" t="n">
        <x:v>-65.15389412</x:v>
      </x:c>
      <x:c r="M823" t="n">
        <x:v>37.091</x:v>
      </x:c>
      <x:c r="N823" t="str">
        <x:v>https://nccospublicstor.blob.core.windows.net/biomapper/usviinsularshelf2017/videos/low/GV2016_175.mp4</x:v>
      </x:c>
      <x:c r="O823" t="n">
        <x:v>1</x:v>
      </x:c>
      <x:c r="P823" t="n">
        <x:v>0</x:v>
      </x:c>
      <x:c r="Q823" t="n">
        <x:v>0</x:v>
      </x:c>
      <x:c r="R823" t="n">
        <x:v>0</x:v>
      </x:c>
      <x:c r="S823" t="n">
        <x:v>1</x:v>
      </x:c>
      <x:c r="T823" t="n">
        <x:v>0</x:v>
      </x:c>
      <x:c r="U823" t="n">
        <x:v>1</x:v>
      </x:c>
      <x:c r="V823" t="n">
        <x:v>1</x:v>
      </x:c>
      <x:c r="W823" t="n">
        <x:v>0</x:v>
      </x:c>
      <x:c r="X823" t="n">
        <x:v>0</x:v>
      </x:c>
      <x:c r="Y823" t="n">
        <x:v>0</x:v>
      </x:c>
      <x:c r="Z823" t="n">
        <x:v>1</x:v>
      </x:c>
      <x:c r="AA823" t="n">
        <x:v>3</x:v>
      </x:c>
      <x:c r="AB823" t="str">
        <x:v>Pass</x:v>
      </x:c>
      <x:c r="AC823" t="str"/>
      <x:c r="AD823" t="str"/>
    </x:row>
    <x:row r="824">
      <x:c r="A824" t="str">
        <x:v>REC0823</x:v>
      </x:c>
      <x:c r="B824" t="n">
        <x:v>822</x:v>
      </x:c>
      <x:c r="C824" t="str">
        <x:v>St. John, USVI</x:v>
      </x:c>
      <x:c r="D824" t="str">
        <x:v>GV</x:v>
      </x:c>
      <x:c r="E824" t="str">
        <x:v>Ground Validation</x:v>
      </x:c>
      <x:c r="F824" t="str">
        <x:v>HD Seaviewer Drop Camera</x:v>
      </x:c>
      <x:c r="G824" t="str">
        <x:v>GV2016_177</x:v>
      </x:c>
      <x:c r="H824" s="28" t="n">
        <x:v>42630</x:v>
      </x:c>
      <x:c r="I824" t="str">
        <x:v>12:21:01</x:v>
      </x:c>
      <x:c r="J824" t="n">
        <x:v>2016</x:v>
      </x:c>
      <x:c r="K824" t="n">
        <x:v>18.21945221</x:v>
      </x:c>
      <x:c r="L824" t="n">
        <x:v>-64.74458255</x:v>
      </x:c>
      <x:c r="M824" t="n">
        <x:v>51.122</x:v>
      </x:c>
      <x:c r="N824" t="str">
        <x:v>https://nccospublicstor.blob.core.windows.net/biomapper/usviinsularshelf2017/videos/low/GV2016_177.mp4</x:v>
      </x:c>
      <x:c r="O824" t="n">
        <x:v>0</x:v>
      </x:c>
      <x:c r="P824" t="n">
        <x:v>1</x:v>
      </x:c>
      <x:c r="Q824" t="n">
        <x:v>0</x:v>
      </x:c>
      <x:c r="R824" t="n">
        <x:v>0</x:v>
      </x:c>
      <x:c r="S824" t="n">
        <x:v>1</x:v>
      </x:c>
      <x:c r="T824" t="n">
        <x:v>0</x:v>
      </x:c>
      <x:c r="U824" t="n">
        <x:v>1</x:v>
      </x:c>
      <x:c r="V824" t="n">
        <x:v>1</x:v>
      </x:c>
      <x:c r="W824" t="n">
        <x:v>0</x:v>
      </x:c>
      <x:c r="X824" t="n">
        <x:v>0</x:v>
      </x:c>
      <x:c r="Y824" t="n">
        <x:v>0</x:v>
      </x:c>
      <x:c r="Z824" t="n">
        <x:v>1</x:v>
      </x:c>
      <x:c r="AA824" t="n">
        <x:v>3</x:v>
      </x:c>
      <x:c r="AB824" t="str">
        <x:v>Pass</x:v>
      </x:c>
      <x:c r="AC824" t="str"/>
      <x:c r="AD824" t="str"/>
    </x:row>
    <x:row r="825">
      <x:c r="A825" t="str">
        <x:v>REC0824</x:v>
      </x:c>
      <x:c r="B825" t="n">
        <x:v>823</x:v>
      </x:c>
      <x:c r="C825" t="str">
        <x:v>St. Thomas, USVI</x:v>
      </x:c>
      <x:c r="D825" t="str">
        <x:v>GV</x:v>
      </x:c>
      <x:c r="E825" t="str">
        <x:v>Ground Validation</x:v>
      </x:c>
      <x:c r="F825" t="str">
        <x:v>HD Seaviewer Drop Camera</x:v>
      </x:c>
      <x:c r="G825" t="str">
        <x:v>GV2016_178</x:v>
      </x:c>
      <x:c r="H825" s="28" t="n">
        <x:v>42612</x:v>
      </x:c>
      <x:c r="I825" t="str">
        <x:v>10:10:57</x:v>
      </x:c>
      <x:c r="J825" t="n">
        <x:v>2016</x:v>
      </x:c>
      <x:c r="K825" t="n">
        <x:v>18.25308552</x:v>
      </x:c>
      <x:c r="L825" t="n">
        <x:v>-64.96660178</x:v>
      </x:c>
      <x:c r="M825" t="n">
        <x:v>38.946</x:v>
      </x:c>
      <x:c r="N825" t="str">
        <x:v>https://nccospublicstor.blob.core.windows.net/biomapper/usviinsularshelf2017/videos/low/GV2016_178.mp4</x:v>
      </x:c>
      <x:c r="O825" t="n">
        <x:v>0</x:v>
      </x:c>
      <x:c r="P825" t="n">
        <x:v>0</x:v>
      </x:c>
      <x:c r="Q825" t="n">
        <x:v>1</x:v>
      </x:c>
      <x:c r="R825" t="n">
        <x:v>1</x:v>
      </x:c>
      <x:c r="S825" t="n">
        <x:v>0</x:v>
      </x:c>
      <x:c r="T825" t="n">
        <x:v>0</x:v>
      </x:c>
      <x:c r="U825" t="n">
        <x:v>1</x:v>
      </x:c>
      <x:c r="V825" t="n">
        <x:v>1</x:v>
      </x:c>
      <x:c r="W825" t="n">
        <x:v>0</x:v>
      </x:c>
      <x:c r="X825" t="n">
        <x:v>0</x:v>
      </x:c>
      <x:c r="Y825" t="n">
        <x:v>0</x:v>
      </x:c>
      <x:c r="Z825" t="n">
        <x:v>2</x:v>
      </x:c>
      <x:c r="AA825" t="n">
        <x:v>2</x:v>
      </x:c>
      <x:c r="AB825" t="str">
        <x:v>Pass</x:v>
      </x:c>
      <x:c r="AC825" t="str"/>
      <x:c r="AD825" t="str"/>
    </x:row>
    <x:row r="826">
      <x:c r="A826" t="str">
        <x:v>REC0825</x:v>
      </x:c>
      <x:c r="B826" t="n">
        <x:v>824</x:v>
      </x:c>
      <x:c r="C826" t="str">
        <x:v>St. John, USVI</x:v>
      </x:c>
      <x:c r="D826" t="str">
        <x:v>GV</x:v>
      </x:c>
      <x:c r="E826" t="str">
        <x:v>Ground Validation</x:v>
      </x:c>
      <x:c r="F826" t="str">
        <x:v>HD Seaviewer Drop Camera</x:v>
      </x:c>
      <x:c r="G826" t="str">
        <x:v>GV2016_179</x:v>
      </x:c>
      <x:c r="H826" s="28" t="n">
        <x:v>42614</x:v>
      </x:c>
      <x:c r="I826" t="str">
        <x:v>12:36:53</x:v>
      </x:c>
      <x:c r="J826" t="n">
        <x:v>2016</x:v>
      </x:c>
      <x:c r="K826" t="n">
        <x:v>18.29693994</x:v>
      </x:c>
      <x:c r="L826" t="n">
        <x:v>-64.74027113</x:v>
      </x:c>
      <x:c r="M826" t="n">
        <x:v>30.185</x:v>
      </x:c>
      <x:c r="N826" t="str">
        <x:v>https://nccospublicstor.blob.core.windows.net/biomapper/usviinsularshelf2017/videos/low/GV2016_179.mp4</x:v>
      </x:c>
      <x:c r="O826" t="n">
        <x:v>0</x:v>
      </x:c>
      <x:c r="P826" t="n">
        <x:v>0</x:v>
      </x:c>
      <x:c r="Q826" t="n">
        <x:v>0</x:v>
      </x:c>
      <x:c r="R826" t="n">
        <x:v>1</x:v>
      </x:c>
      <x:c r="S826" t="n">
        <x:v>0</x:v>
      </x:c>
      <x:c r="T826" t="n">
        <x:v>0</x:v>
      </x:c>
      <x:c r="U826" t="n">
        <x:v>1</x:v>
      </x:c>
      <x:c r="V826" t="n">
        <x:v>1</x:v>
      </x:c>
      <x:c r="W826" t="n">
        <x:v>1</x:v>
      </x:c>
      <x:c r="X826" t="n">
        <x:v>0</x:v>
      </x:c>
      <x:c r="Y826" t="n">
        <x:v>0</x:v>
      </x:c>
      <x:c r="Z826" t="n">
        <x:v>1</x:v>
      </x:c>
      <x:c r="AA826" t="n">
        <x:v>2</x:v>
      </x:c>
      <x:c r="AB826" t="str">
        <x:v>Pass</x:v>
      </x:c>
      <x:c r="AC826" t="str"/>
      <x:c r="AD826" t="str">
        <x:v>Mainly Halophila stipulacea</x:v>
      </x:c>
    </x:row>
    <x:row r="827">
      <x:c r="A827" t="str">
        <x:v>REC0826</x:v>
      </x:c>
      <x:c r="B827" t="n">
        <x:v>825</x:v>
      </x:c>
      <x:c r="C827" t="str">
        <x:v>Puerto Rico</x:v>
      </x:c>
      <x:c r="D827" t="str">
        <x:v>GV</x:v>
      </x:c>
      <x:c r="E827" t="str">
        <x:v>Ground Validation</x:v>
      </x:c>
      <x:c r="F827" t="str">
        <x:v>HD Seaviewer Drop Camera</x:v>
      </x:c>
      <x:c r="G827" t="str">
        <x:v>GV2016_180</x:v>
      </x:c>
      <x:c r="H827" s="28" t="n">
        <x:v>42603</x:v>
      </x:c>
      <x:c r="I827" t="str">
        <x:v>12:19:46</x:v>
      </x:c>
      <x:c r="J827" t="n">
        <x:v>2016</x:v>
      </x:c>
      <x:c r="K827" t="n">
        <x:v>18.12888934</x:v>
      </x:c>
      <x:c r="L827" t="n">
        <x:v>-65.23513304</x:v>
      </x:c>
      <x:c r="M827" t="n">
        <x:v>39.883</x:v>
      </x:c>
      <x:c r="N827" t="str">
        <x:v>https://nccospublicstor.blob.core.windows.net/biomapper/usviinsularshelf2017/videos/low/GV2016_180.mp4</x:v>
      </x:c>
      <x:c r="O827" t="n">
        <x:v>0</x:v>
      </x:c>
      <x:c r="P827" t="n">
        <x:v>1</x:v>
      </x:c>
      <x:c r="Q827" t="n">
        <x:v>1</x:v>
      </x:c>
      <x:c r="R827" t="n">
        <x:v>0</x:v>
      </x:c>
      <x:c r="S827" t="n">
        <x:v>1</x:v>
      </x:c>
      <x:c r="T827" t="n">
        <x:v>0</x:v>
      </x:c>
      <x:c r="U827" t="n">
        <x:v>1</x:v>
      </x:c>
      <x:c r="V827" t="n">
        <x:v>1</x:v>
      </x:c>
      <x:c r="W827" t="n">
        <x:v>0</x:v>
      </x:c>
      <x:c r="X827" t="n">
        <x:v>0</x:v>
      </x:c>
      <x:c r="Y827" t="n">
        <x:v>0</x:v>
      </x:c>
      <x:c r="Z827" t="n">
        <x:v>2</x:v>
      </x:c>
      <x:c r="AA827" t="n">
        <x:v>3</x:v>
      </x:c>
      <x:c r="AB827" t="str">
        <x:v>Pass</x:v>
      </x:c>
      <x:c r="AC827" t="str"/>
      <x:c r="AD827" t="str"/>
    </x:row>
    <x:row r="828">
      <x:c r="A828" t="str">
        <x:v>REC0827</x:v>
      </x:c>
      <x:c r="B828" t="n">
        <x:v>826</x:v>
      </x:c>
      <x:c r="C828" t="str">
        <x:v>St. Thomas, USVI</x:v>
      </x:c>
      <x:c r="D828" t="str">
        <x:v>GV</x:v>
      </x:c>
      <x:c r="E828" t="str">
        <x:v>Ground Validation</x:v>
      </x:c>
      <x:c r="F828" t="str">
        <x:v>HD Seaviewer Drop Camera</x:v>
      </x:c>
      <x:c r="G828" t="str">
        <x:v>GV2016_181</x:v>
      </x:c>
      <x:c r="H828" s="28" t="n">
        <x:v>42602</x:v>
      </x:c>
      <x:c r="I828" t="str">
        <x:v>12:18:37</x:v>
      </x:c>
      <x:c r="J828" t="n">
        <x:v>2016</x:v>
      </x:c>
      <x:c r="K828" t="n">
        <x:v>18.26745008</x:v>
      </x:c>
      <x:c r="L828" t="n">
        <x:v>-65.0859896</x:v>
      </x:c>
      <x:c r="M828" t="n">
        <x:v>34.406</x:v>
      </x:c>
      <x:c r="N828" t="str">
        <x:v>https://nccospublicstor.blob.core.windows.net/biomapper/usviinsularshelf2017/videos/low/GV2016_181.mp4</x:v>
      </x:c>
      <x:c r="O828" t="n">
        <x:v>1</x:v>
      </x:c>
      <x:c r="P828" t="n">
        <x:v>0</x:v>
      </x:c>
      <x:c r="Q828" t="n">
        <x:v>0</x:v>
      </x:c>
      <x:c r="R828" t="n">
        <x:v>1</x:v>
      </x:c>
      <x:c r="S828" t="n">
        <x:v>1</x:v>
      </x:c>
      <x:c r="T828" t="n">
        <x:v>0</x:v>
      </x:c>
      <x:c r="U828" t="n">
        <x:v>1</x:v>
      </x:c>
      <x:c r="V828" t="n">
        <x:v>1</x:v>
      </x:c>
      <x:c r="W828" t="n">
        <x:v>0</x:v>
      </x:c>
      <x:c r="X828" t="n">
        <x:v>0</x:v>
      </x:c>
      <x:c r="Y828" t="n">
        <x:v>0</x:v>
      </x:c>
      <x:c r="Z828" t="n">
        <x:v>2</x:v>
      </x:c>
      <x:c r="AA828" t="n">
        <x:v>3</x:v>
      </x:c>
      <x:c r="AB828" t="str">
        <x:v>Pass</x:v>
      </x:c>
      <x:c r="AC828" t="str"/>
      <x:c r="AD828" t="str"/>
    </x:row>
    <x:row r="829">
      <x:c r="A829" t="str">
        <x:v>REC0828</x:v>
      </x:c>
      <x:c r="B829" t="n">
        <x:v>827</x:v>
      </x:c>
      <x:c r="C829" t="str">
        <x:v>St. John, USVI</x:v>
      </x:c>
      <x:c r="D829" t="str">
        <x:v>GV</x:v>
      </x:c>
      <x:c r="E829" t="str">
        <x:v>Ground Validation</x:v>
      </x:c>
      <x:c r="F829" t="str">
        <x:v>HD Seaviewer Drop Camera</x:v>
      </x:c>
      <x:c r="G829" t="str">
        <x:v>GV2016_182</x:v>
      </x:c>
      <x:c r="H829" s="28" t="n">
        <x:v>42624</x:v>
      </x:c>
      <x:c r="I829" t="str">
        <x:v>09:40:28</x:v>
      </x:c>
      <x:c r="J829" t="n">
        <x:v>2016</x:v>
      </x:c>
      <x:c r="K829" t="n">
        <x:v>18.28652334</x:v>
      </x:c>
      <x:c r="L829" t="n">
        <x:v>-64.68024056</x:v>
      </x:c>
      <x:c r="M829" t="n">
        <x:v>30.225</x:v>
      </x:c>
      <x:c r="N829" t="str">
        <x:v>https://nccospublicstor.blob.core.windows.net/biomapper/usviinsularshelf2017/videos/low/GV2016_182.mp4</x:v>
      </x:c>
      <x:c r="O829" t="n">
        <x:v>0</x:v>
      </x:c>
      <x:c r="P829" t="n">
        <x:v>0</x:v>
      </x:c>
      <x:c r="Q829" t="n">
        <x:v>1</x:v>
      </x:c>
      <x:c r="R829" t="n">
        <x:v>1</x:v>
      </x:c>
      <x:c r="S829" t="n">
        <x:v>0</x:v>
      </x:c>
      <x:c r="T829" t="n">
        <x:v>0</x:v>
      </x:c>
      <x:c r="U829" t="n">
        <x:v>1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2</x:v>
      </x:c>
      <x:c r="AA829" t="n">
        <x:v>1</x:v>
      </x:c>
      <x:c r="AB829" t="str">
        <x:v>Pass</x:v>
      </x:c>
      <x:c r="AC829" t="str"/>
      <x:c r="AD829" t="str"/>
    </x:row>
    <x:row r="830">
      <x:c r="A830" t="str">
        <x:v>REC0829</x:v>
      </x:c>
      <x:c r="B830" t="n">
        <x:v>828</x:v>
      </x:c>
      <x:c r="C830" t="str">
        <x:v>St. John, USVI</x:v>
      </x:c>
      <x:c r="D830" t="str">
        <x:v>GV</x:v>
      </x:c>
      <x:c r="E830" t="str">
        <x:v>Ground Validation</x:v>
      </x:c>
      <x:c r="F830" t="str">
        <x:v>HD Seaviewer Drop Camera</x:v>
      </x:c>
      <x:c r="G830" t="str">
        <x:v>GV2016_183</x:v>
      </x:c>
      <x:c r="H830" s="28" t="n">
        <x:v>42613</x:v>
      </x:c>
      <x:c r="I830" t="str">
        <x:v>09:57:42</x:v>
      </x:c>
      <x:c r="J830" t="n">
        <x:v>2016</x:v>
      </x:c>
      <x:c r="K830" t="n">
        <x:v>18.29836981</x:v>
      </x:c>
      <x:c r="L830" t="n">
        <x:v>-64.77891099</x:v>
      </x:c>
      <x:c r="M830" t="n">
        <x:v>28.908</x:v>
      </x:c>
      <x:c r="N830" t="str">
        <x:v>https://nccospublicstor.blob.core.windows.net/biomapper/usviinsularshelf2017/videos/low/GV2016_183.mp4</x:v>
      </x:c>
      <x:c r="O830" t="n">
        <x:v>0</x:v>
      </x:c>
      <x:c r="P830" t="n">
        <x:v>0</x:v>
      </x:c>
      <x:c r="Q830" t="n">
        <x:v>0</x:v>
      </x:c>
      <x:c r="R830" t="n">
        <x:v>1</x:v>
      </x:c>
      <x:c r="S830" t="n">
        <x:v>0</x:v>
      </x:c>
      <x:c r="T830" t="n">
        <x:v>0</x:v>
      </x:c>
      <x:c r="U830" t="n">
        <x:v>0</x:v>
      </x:c>
      <x:c r="V830" t="n">
        <x:v>1</x:v>
      </x:c>
      <x:c r="W830" t="n">
        <x:v>1</x:v>
      </x:c>
      <x:c r="X830" t="n">
        <x:v>0</x:v>
      </x:c>
      <x:c r="Y830" t="n">
        <x:v>0</x:v>
      </x:c>
      <x:c r="Z830" t="n">
        <x:v>1</x:v>
      </x:c>
      <x:c r="AA830" t="n">
        <x:v>1</x:v>
      </x:c>
      <x:c r="AB830" t="str">
        <x:v>Pass</x:v>
      </x:c>
      <x:c r="AC830" t="str"/>
      <x:c r="AD830" t="str">
        <x:v>Garden Eels and mainly Halophila stipulacea</x:v>
      </x:c>
    </x:row>
    <x:row r="831">
      <x:c r="A831" t="str">
        <x:v>REC0830</x:v>
      </x:c>
      <x:c r="B831" t="n">
        <x:v>829</x:v>
      </x:c>
      <x:c r="C831" t="str">
        <x:v>St. Thomas, USVI</x:v>
      </x:c>
      <x:c r="D831" t="str">
        <x:v>GV</x:v>
      </x:c>
      <x:c r="E831" t="str">
        <x:v>Ground Validation</x:v>
      </x:c>
      <x:c r="F831" t="str">
        <x:v>HD Seaviewer Drop Camera</x:v>
      </x:c>
      <x:c r="G831" t="str">
        <x:v>GV2016_184</x:v>
      </x:c>
      <x:c r="H831" s="28" t="n">
        <x:v>42608</x:v>
      </x:c>
      <x:c r="I831" t="str">
        <x:v>14:06:32</x:v>
      </x:c>
      <x:c r="J831" t="n">
        <x:v>2016</x:v>
      </x:c>
      <x:c r="K831" t="n">
        <x:v>18.19195505</x:v>
      </x:c>
      <x:c r="L831" t="n">
        <x:v>-65.11321385</x:v>
      </x:c>
      <x:c r="M831" t="n">
        <x:v>45.52</x:v>
      </x:c>
      <x:c r="N831" t="str">
        <x:v>https://nccospublicstor.blob.core.windows.net/biomapper/usviinsularshelf2017/videos/low/GV2016_184.mp4</x:v>
      </x:c>
      <x:c r="O831" t="n">
        <x:v>0</x:v>
      </x:c>
      <x:c r="P831" t="n">
        <x:v>0</x:v>
      </x:c>
      <x:c r="Q831" t="n">
        <x:v>1</x:v>
      </x:c>
      <x:c r="R831" t="n">
        <x:v>1</x:v>
      </x:c>
      <x:c r="S831" t="n">
        <x:v>0</x:v>
      </x:c>
      <x:c r="T831" t="n">
        <x:v>0</x:v>
      </x:c>
      <x:c r="U831" t="n">
        <x:v>1</x:v>
      </x:c>
      <x:c r="V831" t="n">
        <x:v>1</x:v>
      </x:c>
      <x:c r="W831" t="n">
        <x:v>0</x:v>
      </x:c>
      <x:c r="X831" t="n">
        <x:v>0</x:v>
      </x:c>
      <x:c r="Y831" t="n">
        <x:v>0</x:v>
      </x:c>
      <x:c r="Z831" t="n">
        <x:v>2</x:v>
      </x:c>
      <x:c r="AA831" t="n">
        <x:v>2</x:v>
      </x:c>
      <x:c r="AB831" t="str">
        <x:v>Pass</x:v>
      </x:c>
      <x:c r="AC831" t="str"/>
      <x:c r="AD831" t="str"/>
    </x:row>
    <x:row r="832">
      <x:c r="A832" t="str">
        <x:v>REC0831</x:v>
      </x:c>
      <x:c r="B832" t="n">
        <x:v>830</x:v>
      </x:c>
      <x:c r="C832" t="str">
        <x:v>St. Thomas, USVI</x:v>
      </x:c>
      <x:c r="D832" t="str">
        <x:v>GV</x:v>
      </x:c>
      <x:c r="E832" t="str">
        <x:v>Ground Validation</x:v>
      </x:c>
      <x:c r="F832" t="str">
        <x:v>HD Seaviewer Drop Camera</x:v>
      </x:c>
      <x:c r="G832" t="str">
        <x:v>GV2016_185</x:v>
      </x:c>
      <x:c r="H832" s="28" t="n">
        <x:v>42608</x:v>
      </x:c>
      <x:c r="I832" t="str">
        <x:v>11:46:11</x:v>
      </x:c>
      <x:c r="J832" t="n">
        <x:v>2016</x:v>
      </x:c>
      <x:c r="K832" t="n">
        <x:v>18.21039996</x:v>
      </x:c>
      <x:c r="L832" t="n">
        <x:v>-65.02701891</x:v>
      </x:c>
      <x:c r="M832" t="n">
        <x:v>44.113</x:v>
      </x:c>
      <x:c r="N832" t="str">
        <x:v>https://nccospublicstor.blob.core.windows.net/biomapper/usviinsularshelf2017/videos/low/GV2016_185.mp4</x:v>
      </x:c>
      <x:c r="O832" t="n">
        <x:v>1</x:v>
      </x:c>
      <x:c r="P832" t="n">
        <x:v>0</x:v>
      </x:c>
      <x:c r="Q832" t="n">
        <x:v>0</x:v>
      </x:c>
      <x:c r="R832" t="n">
        <x:v>0</x:v>
      </x:c>
      <x:c r="S832" t="n">
        <x:v>1</x:v>
      </x:c>
      <x:c r="T832" t="n">
        <x:v>1</x:v>
      </x:c>
      <x:c r="U832" t="n">
        <x:v>1</x:v>
      </x:c>
      <x:c r="V832" t="n">
        <x:v>1</x:v>
      </x:c>
      <x:c r="W832" t="n">
        <x:v>0</x:v>
      </x:c>
      <x:c r="X832" t="n">
        <x:v>0</x:v>
      </x:c>
      <x:c r="Y832" t="n">
        <x:v>0</x:v>
      </x:c>
      <x:c r="Z832" t="n">
        <x:v>1</x:v>
      </x:c>
      <x:c r="AA832" t="n">
        <x:v>4</x:v>
      </x:c>
      <x:c r="AB832" t="str">
        <x:v>Pass</x:v>
      </x:c>
      <x:c r="AC832" t="str"/>
      <x:c r="AD832" t="str"/>
    </x:row>
    <x:row r="833">
      <x:c r="A833" t="str">
        <x:v>REC0832</x:v>
      </x:c>
      <x:c r="B833" t="n">
        <x:v>831</x:v>
      </x:c>
      <x:c r="C833" t="str">
        <x:v>St. Thomas, USVI</x:v>
      </x:c>
      <x:c r="D833" t="str">
        <x:v>GV</x:v>
      </x:c>
      <x:c r="E833" t="str">
        <x:v>Ground Validation</x:v>
      </x:c>
      <x:c r="F833" t="str">
        <x:v>HD Seaviewer Drop Camera</x:v>
      </x:c>
      <x:c r="G833" t="str">
        <x:v>GV2016_186</x:v>
      </x:c>
      <x:c r="H833" s="28" t="n">
        <x:v>42626</x:v>
      </x:c>
      <x:c r="I833" t="str">
        <x:v>13:01:40</x:v>
      </x:c>
      <x:c r="J833" t="n">
        <x:v>2016</x:v>
      </x:c>
      <x:c r="K833" t="n">
        <x:v>18.23610596</x:v>
      </x:c>
      <x:c r="L833" t="n">
        <x:v>-64.81908249</x:v>
      </x:c>
      <x:c r="M833" t="n">
        <x:v>48.563</x:v>
      </x:c>
      <x:c r="N833" t="str">
        <x:v>https://nccospublicstor.blob.core.windows.net/biomapper/usviinsularshelf2017/videos/low/GV2016_186.mp4</x:v>
      </x:c>
      <x:c r="O833" t="n">
        <x:v>0</x:v>
      </x:c>
      <x:c r="P833" t="n">
        <x:v>0</x:v>
      </x:c>
      <x:c r="Q833" t="n">
        <x:v>1</x:v>
      </x:c>
      <x:c r="R833" t="n">
        <x:v>0</x:v>
      </x:c>
      <x:c r="S833" t="n">
        <x:v>0</x:v>
      </x:c>
      <x:c r="T833" t="n">
        <x:v>0</x:v>
      </x:c>
      <x:c r="U833" t="n">
        <x:v>1</x:v>
      </x:c>
      <x:c r="V833" t="n">
        <x:v>1</x:v>
      </x:c>
      <x:c r="W833" t="n">
        <x:v>0</x:v>
      </x:c>
      <x:c r="X833" t="n">
        <x:v>0</x:v>
      </x:c>
      <x:c r="Y833" t="n">
        <x:v>0</x:v>
      </x:c>
      <x:c r="Z833" t="n">
        <x:v>1</x:v>
      </x:c>
      <x:c r="AA833" t="n">
        <x:v>2</x:v>
      </x:c>
      <x:c r="AB833" t="str">
        <x:v>Pass</x:v>
      </x:c>
      <x:c r="AC833" t="str"/>
      <x:c r="AD833" t="str"/>
    </x:row>
    <x:row r="834">
      <x:c r="A834" t="str">
        <x:v>REC0833</x:v>
      </x:c>
      <x:c r="B834" t="n">
        <x:v>832</x:v>
      </x:c>
      <x:c r="C834" t="str">
        <x:v>St. John, USVI</x:v>
      </x:c>
      <x:c r="D834" t="str">
        <x:v>GV</x:v>
      </x:c>
      <x:c r="E834" t="str">
        <x:v>Ground Validation</x:v>
      </x:c>
      <x:c r="F834" t="str">
        <x:v>HD Seaviewer Drop Camera</x:v>
      </x:c>
      <x:c r="G834" t="str">
        <x:v>GV2016_187</x:v>
      </x:c>
      <x:c r="H834" s="28" t="n">
        <x:v>42624</x:v>
      </x:c>
      <x:c r="I834" t="str">
        <x:v>12:22:02</x:v>
      </x:c>
      <x:c r="J834" t="n">
        <x:v>2016</x:v>
      </x:c>
      <x:c r="K834" t="n">
        <x:v>18.28513051</x:v>
      </x:c>
      <x:c r="L834" t="n">
        <x:v>-64.76909273</x:v>
      </x:c>
      <x:c r="M834" t="n">
        <x:v>32.363</x:v>
      </x:c>
      <x:c r="N834" t="str">
        <x:v>https://nccospublicstor.blob.core.windows.net/biomapper/usviinsularshelf2017/videos/low/GV2016_187.mp4</x:v>
      </x:c>
      <x:c r="O834" t="n">
        <x:v>0</x:v>
      </x:c>
      <x:c r="P834" t="n">
        <x:v>0</x:v>
      </x:c>
      <x:c r="Q834" t="n">
        <x:v>0</x:v>
      </x:c>
      <x:c r="R834" t="n">
        <x:v>1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1</x:v>
      </x:c>
      <x:c r="AA834" t="n">
        <x:v>0</x:v>
      </x:c>
      <x:c r="AB834" t="str">
        <x:v>Pass</x:v>
      </x:c>
      <x:c r="AC834" t="str"/>
      <x:c r="AD834" t="str"/>
    </x:row>
    <x:row r="835">
      <x:c r="A835" t="str">
        <x:v>REC0834</x:v>
      </x:c>
      <x:c r="B835" t="n">
        <x:v>833</x:v>
      </x:c>
      <x:c r="C835" t="str">
        <x:v>St. Thomas, USVI</x:v>
      </x:c>
      <x:c r="D835" t="str">
        <x:v>GV</x:v>
      </x:c>
      <x:c r="E835" t="str">
        <x:v>Ground Validation</x:v>
      </x:c>
      <x:c r="F835" t="str">
        <x:v>HD Seaviewer Drop Camera</x:v>
      </x:c>
      <x:c r="G835" t="str">
        <x:v>GV2016_188</x:v>
      </x:c>
      <x:c r="H835" s="28" t="n">
        <x:v>42611</x:v>
      </x:c>
      <x:c r="I835" t="str">
        <x:v>13:22:09</x:v>
      </x:c>
      <x:c r="J835" t="n">
        <x:v>2016</x:v>
      </x:c>
      <x:c r="K835" t="n">
        <x:v>18.22552176</x:v>
      </x:c>
      <x:c r="L835" t="n">
        <x:v>-64.95346973</x:v>
      </x:c>
      <x:c r="M835" t="n">
        <x:v>43.047</x:v>
      </x:c>
      <x:c r="N835" t="str">
        <x:v>https://nccospublicstor.blob.core.windows.net/biomapper/usviinsularshelf2017/videos/low/GV2016_188.mp4</x:v>
      </x:c>
      <x:c r="O835" t="n">
        <x:v>0</x:v>
      </x:c>
      <x:c r="P835" t="n">
        <x:v>0</x:v>
      </x:c>
      <x:c r="Q835" t="n">
        <x:v>1</x:v>
      </x:c>
      <x:c r="R835" t="n">
        <x:v>1</x:v>
      </x:c>
      <x:c r="S835" t="n">
        <x:v>0</x:v>
      </x:c>
      <x:c r="T835" t="n">
        <x:v>0</x:v>
      </x:c>
      <x:c r="U835" t="n">
        <x:v>1</x:v>
      </x:c>
      <x:c r="V835" t="n">
        <x:v>1</x:v>
      </x:c>
      <x:c r="W835" t="n">
        <x:v>0</x:v>
      </x:c>
      <x:c r="X835" t="n">
        <x:v>0</x:v>
      </x:c>
      <x:c r="Y835" t="n">
        <x:v>0</x:v>
      </x:c>
      <x:c r="Z835" t="n">
        <x:v>2</x:v>
      </x:c>
      <x:c r="AA835" t="n">
        <x:v>2</x:v>
      </x:c>
      <x:c r="AB835" t="str">
        <x:v>Pass</x:v>
      </x:c>
      <x:c r="AC835" t="str"/>
      <x:c r="AD835" t="str"/>
    </x:row>
    <x:row r="836">
      <x:c r="A836" t="str">
        <x:v>REC0835</x:v>
      </x:c>
      <x:c r="B836" t="n">
        <x:v>834</x:v>
      </x:c>
      <x:c r="C836" t="str">
        <x:v>St. John, USVI</x:v>
      </x:c>
      <x:c r="D836" t="str">
        <x:v>GV</x:v>
      </x:c>
      <x:c r="E836" t="str">
        <x:v>Ground Validation</x:v>
      </x:c>
      <x:c r="F836" t="str">
        <x:v>HD Seaviewer Drop Camera</x:v>
      </x:c>
      <x:c r="G836" t="str">
        <x:v>GV2016_189</x:v>
      </x:c>
      <x:c r="H836" s="28" t="n">
        <x:v>42630</x:v>
      </x:c>
      <x:c r="I836" t="str">
        <x:v>07:43:51</x:v>
      </x:c>
      <x:c r="J836" t="n">
        <x:v>2016</x:v>
      </x:c>
      <x:c r="K836" t="n">
        <x:v>18.24956685</x:v>
      </x:c>
      <x:c r="L836" t="n">
        <x:v>-64.73582661</x:v>
      </x:c>
      <x:c r="M836" t="n">
        <x:v>49.27</x:v>
      </x:c>
      <x:c r="N836" t="str">
        <x:v>https://nccospublicstor.blob.core.windows.net/biomapper/usviinsularshelf2017/videos/low/GV2016_189.mp4</x:v>
      </x:c>
      <x:c r="O836" t="n">
        <x:v>0</x:v>
      </x:c>
      <x:c r="P836" t="n">
        <x:v>1</x:v>
      </x:c>
      <x:c r="Q836" t="n">
        <x:v>1</x:v>
      </x:c>
      <x:c r="R836" t="n">
        <x:v>0</x:v>
      </x:c>
      <x:c r="S836" t="n">
        <x:v>0</x:v>
      </x:c>
      <x:c r="T836" t="n">
        <x:v>0</x:v>
      </x:c>
      <x:c r="U836" t="n">
        <x:v>1</x:v>
      </x:c>
      <x:c r="V836" t="n">
        <x:v>1</x:v>
      </x:c>
      <x:c r="W836" t="n">
        <x:v>0</x:v>
      </x:c>
      <x:c r="X836" t="n">
        <x:v>0</x:v>
      </x:c>
      <x:c r="Y836" t="n">
        <x:v>0</x:v>
      </x:c>
      <x:c r="Z836" t="n">
        <x:v>2</x:v>
      </x:c>
      <x:c r="AA836" t="n">
        <x:v>2</x:v>
      </x:c>
      <x:c r="AB836" t="str">
        <x:v>Pass</x:v>
      </x:c>
      <x:c r="AC836" t="str"/>
      <x:c r="AD836" t="str"/>
    </x:row>
    <x:row r="837">
      <x:c r="A837" t="str">
        <x:v>REC0836</x:v>
      </x:c>
      <x:c r="B837" t="n">
        <x:v>835</x:v>
      </x:c>
      <x:c r="C837" t="str">
        <x:v>St. John, USVI</x:v>
      </x:c>
      <x:c r="D837" t="str">
        <x:v>GV</x:v>
      </x:c>
      <x:c r="E837" t="str">
        <x:v>Ground Validation</x:v>
      </x:c>
      <x:c r="F837" t="str">
        <x:v>HD Seaviewer Drop Camera</x:v>
      </x:c>
      <x:c r="G837" t="str">
        <x:v>GV2016_190</x:v>
      </x:c>
      <x:c r="H837" s="28" t="n">
        <x:v>42630</x:v>
      </x:c>
      <x:c r="I837" t="str">
        <x:v>07:36:51</x:v>
      </x:c>
      <x:c r="J837" t="n">
        <x:v>2016</x:v>
      </x:c>
      <x:c r="K837" t="n">
        <x:v>18.25239666</x:v>
      </x:c>
      <x:c r="L837" t="n">
        <x:v>-64.74049532</x:v>
      </x:c>
      <x:c r="M837" t="n">
        <x:v>48.344</x:v>
      </x:c>
      <x:c r="N837" t="str">
        <x:v>https://nccospublicstor.blob.core.windows.net/biomapper/usviinsularshelf2017/videos/low/GV2016_190.mp4</x:v>
      </x:c>
      <x:c r="O837" t="n">
        <x:v>0</x:v>
      </x:c>
      <x:c r="P837" t="n">
        <x:v>0</x:v>
      </x:c>
      <x:c r="Q837" t="n">
        <x:v>1</x:v>
      </x:c>
      <x:c r="R837" t="n">
        <x:v>0</x:v>
      </x:c>
      <x:c r="S837" t="n">
        <x:v>0</x:v>
      </x:c>
      <x:c r="T837" t="n">
        <x:v>0</x:v>
      </x:c>
      <x:c r="U837" t="n">
        <x:v>1</x:v>
      </x:c>
      <x:c r="V837" t="n">
        <x:v>1</x:v>
      </x:c>
      <x:c r="W837" t="n">
        <x:v>0</x:v>
      </x:c>
      <x:c r="X837" t="n">
        <x:v>0</x:v>
      </x:c>
      <x:c r="Y837" t="n">
        <x:v>0</x:v>
      </x:c>
      <x:c r="Z837" t="n">
        <x:v>1</x:v>
      </x:c>
      <x:c r="AA837" t="n">
        <x:v>2</x:v>
      </x:c>
      <x:c r="AB837" t="str">
        <x:v>Pass</x:v>
      </x:c>
      <x:c r="AC837" t="str"/>
      <x:c r="AD837" t="str"/>
    </x:row>
    <x:row r="838">
      <x:c r="A838" t="str">
        <x:v>REC0837</x:v>
      </x:c>
      <x:c r="B838" t="n">
        <x:v>836</x:v>
      </x:c>
      <x:c r="C838" t="str">
        <x:v>Puerto Rico</x:v>
      </x:c>
      <x:c r="D838" t="str">
        <x:v>GV</x:v>
      </x:c>
      <x:c r="E838" t="str">
        <x:v>Ground Validation</x:v>
      </x:c>
      <x:c r="F838" t="str">
        <x:v>HD Seaviewer Drop Camera</x:v>
      </x:c>
      <x:c r="G838" t="str">
        <x:v>GV2016_191</x:v>
      </x:c>
      <x:c r="H838" s="28" t="n">
        <x:v>42603</x:v>
      </x:c>
      <x:c r="I838" t="str">
        <x:v>11:24:15</x:v>
      </x:c>
      <x:c r="J838" t="n">
        <x:v>2016</x:v>
      </x:c>
      <x:c r="K838" t="n">
        <x:v>18.1270776</x:v>
      </x:c>
      <x:c r="L838" t="n">
        <x:v>-65.20138969</x:v>
      </x:c>
      <x:c r="M838" t="n">
        <x:v>25.863</x:v>
      </x:c>
      <x:c r="N838" t="str">
        <x:v>https://nccospublicstor.blob.core.windows.net/biomapper/usviinsularshelf2017/videos/low/GV2016_191.mp4</x:v>
      </x:c>
      <x:c r="O838" t="n">
        <x:v>0</x:v>
      </x:c>
      <x:c r="P838" t="n">
        <x:v>1</x:v>
      </x:c>
      <x:c r="Q838" t="n">
        <x:v>0</x:v>
      </x:c>
      <x:c r="R838" t="n">
        <x:v>0</x:v>
      </x:c>
      <x:c r="S838" t="n">
        <x:v>1</x:v>
      </x:c>
      <x:c r="T838" t="n">
        <x:v>1</x:v>
      </x:c>
      <x:c r="U838" t="n">
        <x:v>0</x:v>
      </x:c>
      <x:c r="V838" t="n">
        <x:v>1</x:v>
      </x:c>
      <x:c r="W838" t="n">
        <x:v>0</x:v>
      </x:c>
      <x:c r="X838" t="n">
        <x:v>0</x:v>
      </x:c>
      <x:c r="Y838" t="n">
        <x:v>0</x:v>
      </x:c>
      <x:c r="Z838" t="n">
        <x:v>1</x:v>
      </x:c>
      <x:c r="AA838" t="n">
        <x:v>3</x:v>
      </x:c>
      <x:c r="AB838" t="str">
        <x:v>Pass</x:v>
      </x:c>
      <x:c r="AC838" t="str"/>
      <x:c r="AD838" t="str"/>
    </x:row>
    <x:row r="839">
      <x:c r="A839" t="str">
        <x:v>REC0838</x:v>
      </x:c>
      <x:c r="B839" t="n">
        <x:v>837</x:v>
      </x:c>
      <x:c r="C839" t="str">
        <x:v>St. Thomas, USVI</x:v>
      </x:c>
      <x:c r="D839" t="str">
        <x:v>GV</x:v>
      </x:c>
      <x:c r="E839" t="str">
        <x:v>Ground Validation</x:v>
      </x:c>
      <x:c r="F839" t="str">
        <x:v>HD Seaviewer Drop Camera</x:v>
      </x:c>
      <x:c r="G839" t="str">
        <x:v>GV2016_192</x:v>
      </x:c>
      <x:c r="H839" s="28" t="n">
        <x:v>42607</x:v>
      </x:c>
      <x:c r="I839" t="str">
        <x:v>12:31:25</x:v>
      </x:c>
      <x:c r="J839" t="n">
        <x:v>2016</x:v>
      </x:c>
      <x:c r="K839" t="n">
        <x:v>18.23665894</x:v>
      </x:c>
      <x:c r="L839" t="n">
        <x:v>-65.13265879</x:v>
      </x:c>
      <x:c r="M839" t="n">
        <x:v>35.863</x:v>
      </x:c>
      <x:c r="N839" t="str">
        <x:v>https://nccospublicstor.blob.core.windows.net/biomapper/usviinsularshelf2017/videos/low/GV2016_192.mp4</x:v>
      </x:c>
      <x:c r="O839" t="n">
        <x:v>1</x:v>
      </x:c>
      <x:c r="P839" t="n">
        <x:v>0</x:v>
      </x:c>
      <x:c r="Q839" t="n">
        <x:v>0</x:v>
      </x:c>
      <x:c r="R839" t="n">
        <x:v>0</x:v>
      </x:c>
      <x:c r="S839" t="n">
        <x:v>1</x:v>
      </x:c>
      <x:c r="T839" t="n">
        <x:v>0</x:v>
      </x:c>
      <x:c r="U839" t="n">
        <x:v>1</x:v>
      </x:c>
      <x:c r="V839" t="n">
        <x:v>1</x:v>
      </x:c>
      <x:c r="W839" t="n">
        <x:v>0</x:v>
      </x:c>
      <x:c r="X839" t="n">
        <x:v>0</x:v>
      </x:c>
      <x:c r="Y839" t="n">
        <x:v>0</x:v>
      </x:c>
      <x:c r="Z839" t="n">
        <x:v>1</x:v>
      </x:c>
      <x:c r="AA839" t="n">
        <x:v>3</x:v>
      </x:c>
      <x:c r="AB839" t="str">
        <x:v>Pass</x:v>
      </x:c>
      <x:c r="AC839" t="str"/>
      <x:c r="AD839" t="str"/>
    </x:row>
    <x:row r="840">
      <x:c r="A840" t="str">
        <x:v>REC0839</x:v>
      </x:c>
      <x:c r="B840" t="n">
        <x:v>838</x:v>
      </x:c>
      <x:c r="C840" t="str">
        <x:v>St. Thomas, USVI</x:v>
      </x:c>
      <x:c r="D840" t="str">
        <x:v>GV</x:v>
      </x:c>
      <x:c r="E840" t="str">
        <x:v>Ground Validation</x:v>
      </x:c>
      <x:c r="F840" t="str">
        <x:v>HD Seaviewer Drop Camera</x:v>
      </x:c>
      <x:c r="G840" t="str">
        <x:v>GV2016_193</x:v>
      </x:c>
      <x:c r="H840" s="28" t="n">
        <x:v>42629</x:v>
      </x:c>
      <x:c r="I840" t="str">
        <x:v>09:59:32</x:v>
      </x:c>
      <x:c r="J840" t="n">
        <x:v>2016</x:v>
      </x:c>
      <x:c r="K840" t="n">
        <x:v>18.19906051</x:v>
      </x:c>
      <x:c r="L840" t="n">
        <x:v>-64.8199954</x:v>
      </x:c>
      <x:c r="M840" t="n">
        <x:v>56.938</x:v>
      </x:c>
      <x:c r="N840" t="str">
        <x:v>https://nccospublicstor.blob.core.windows.net/biomapper/usviinsularshelf2017/videos/low/GV2016_193.mp4</x:v>
      </x:c>
      <x:c r="O840" t="n">
        <x:v>0</x:v>
      </x:c>
      <x:c r="P840" t="n">
        <x:v>0</x:v>
      </x:c>
      <x:c r="Q840" t="n">
        <x:v>1</x:v>
      </x:c>
      <x:c r="R840" t="n">
        <x:v>0</x:v>
      </x:c>
      <x:c r="S840" t="n">
        <x:v>1</x:v>
      </x:c>
      <x:c r="T840" t="n">
        <x:v>0</x:v>
      </x:c>
      <x:c r="U840" t="n">
        <x:v>1</x:v>
      </x:c>
      <x:c r="V840" t="n">
        <x:v>1</x:v>
      </x:c>
      <x:c r="W840" t="n">
        <x:v>0</x:v>
      </x:c>
      <x:c r="X840" t="n">
        <x:v>0</x:v>
      </x:c>
      <x:c r="Y840" t="n">
        <x:v>0</x:v>
      </x:c>
      <x:c r="Z840" t="n">
        <x:v>1</x:v>
      </x:c>
      <x:c r="AA840" t="n">
        <x:v>3</x:v>
      </x:c>
      <x:c r="AB840" t="str">
        <x:v>Pass</x:v>
      </x:c>
      <x:c r="AC840" t="str"/>
      <x:c r="AD840" t="str"/>
    </x:row>
    <x:row r="841">
      <x:c r="A841" t="str">
        <x:v>REC0840</x:v>
      </x:c>
      <x:c r="B841" t="n">
        <x:v>839</x:v>
      </x:c>
      <x:c r="C841" t="str">
        <x:v>St. Thomas, USVI</x:v>
      </x:c>
      <x:c r="D841" t="str">
        <x:v>GV</x:v>
      </x:c>
      <x:c r="E841" t="str">
        <x:v>Ground Validation</x:v>
      </x:c>
      <x:c r="F841" t="str">
        <x:v>HD Seaviewer Drop Camera</x:v>
      </x:c>
      <x:c r="G841" t="str">
        <x:v>GV2016_194</x:v>
      </x:c>
      <x:c r="H841" s="28" t="n">
        <x:v>42612</x:v>
      </x:c>
      <x:c r="I841" t="str">
        <x:v>10:55:38</x:v>
      </x:c>
      <x:c r="J841" t="n">
        <x:v>2016</x:v>
      </x:c>
      <x:c r="K841" t="n">
        <x:v>18.24005885</x:v>
      </x:c>
      <x:c r="L841" t="n">
        <x:v>-64.93890591</x:v>
      </x:c>
      <x:c r="M841" t="n">
        <x:v>41.605</x:v>
      </x:c>
      <x:c r="N841" t="str">
        <x:v>https://nccospublicstor.blob.core.windows.net/biomapper/usviinsularshelf2017/videos/low/GV2016_194.mp4</x:v>
      </x:c>
      <x:c r="O841" t="n">
        <x:v>0</x:v>
      </x:c>
      <x:c r="P841" t="n">
        <x:v>0</x:v>
      </x:c>
      <x:c r="Q841" t="n">
        <x:v>1</x:v>
      </x:c>
      <x:c r="R841" t="n">
        <x:v>1</x:v>
      </x:c>
      <x:c r="S841" t="n">
        <x:v>0</x:v>
      </x:c>
      <x:c r="T841" t="n">
        <x:v>0</x:v>
      </x:c>
      <x:c r="U841" t="n">
        <x:v>1</x:v>
      </x:c>
      <x:c r="V841" t="n">
        <x:v>1</x:v>
      </x:c>
      <x:c r="W841" t="n">
        <x:v>0</x:v>
      </x:c>
      <x:c r="X841" t="n">
        <x:v>0</x:v>
      </x:c>
      <x:c r="Y841" t="n">
        <x:v>0</x:v>
      </x:c>
      <x:c r="Z841" t="n">
        <x:v>2</x:v>
      </x:c>
      <x:c r="AA841" t="n">
        <x:v>2</x:v>
      </x:c>
      <x:c r="AB841" t="str">
        <x:v>Pass</x:v>
      </x:c>
      <x:c r="AC841" t="str"/>
      <x:c r="AD841" t="str"/>
    </x:row>
    <x:row r="842">
      <x:c r="A842" t="str">
        <x:v>REC0841</x:v>
      </x:c>
      <x:c r="B842" t="n">
        <x:v>840</x:v>
      </x:c>
      <x:c r="C842" t="str">
        <x:v>St. John, USVI</x:v>
      </x:c>
      <x:c r="D842" t="str">
        <x:v>GV</x:v>
      </x:c>
      <x:c r="E842" t="str">
        <x:v>Ground Validation</x:v>
      </x:c>
      <x:c r="F842" t="str">
        <x:v>HD Seaviewer Drop Camera</x:v>
      </x:c>
      <x:c r="G842" t="str">
        <x:v>GV2016_196</x:v>
      </x:c>
      <x:c r="H842" s="28" t="n">
        <x:v>42630</x:v>
      </x:c>
      <x:c r="I842" t="str">
        <x:v>09:41:10</x:v>
      </x:c>
      <x:c r="J842" t="n">
        <x:v>2016</x:v>
      </x:c>
      <x:c r="K842" t="n">
        <x:v>18.23274329</x:v>
      </x:c>
      <x:c r="L842" t="n">
        <x:v>-64.72180178</x:v>
      </x:c>
      <x:c r="M842" t="n">
        <x:v>52.871</x:v>
      </x:c>
      <x:c r="N842" t="str">
        <x:v>https://nccospublicstor.blob.core.windows.net/biomapper/usviinsularshelf2017/videos/low/GV2016_196.mp4</x:v>
      </x:c>
      <x:c r="O842" t="n">
        <x:v>0</x:v>
      </x:c>
      <x:c r="P842" t="n">
        <x:v>1</x:v>
      </x:c>
      <x:c r="Q842" t="n">
        <x:v>0</x:v>
      </x:c>
      <x:c r="R842" t="n">
        <x:v>0</x:v>
      </x:c>
      <x:c r="S842" t="n">
        <x:v>1</x:v>
      </x:c>
      <x:c r="T842" t="n">
        <x:v>0</x:v>
      </x:c>
      <x:c r="U842" t="n">
        <x:v>1</x:v>
      </x:c>
      <x:c r="V842" t="n">
        <x:v>1</x:v>
      </x:c>
      <x:c r="W842" t="n">
        <x:v>0</x:v>
      </x:c>
      <x:c r="X842" t="n">
        <x:v>0</x:v>
      </x:c>
      <x:c r="Y842" t="n">
        <x:v>0</x:v>
      </x:c>
      <x:c r="Z842" t="n">
        <x:v>1</x:v>
      </x:c>
      <x:c r="AA842" t="n">
        <x:v>3</x:v>
      </x:c>
      <x:c r="AB842" t="str">
        <x:v>Pass</x:v>
      </x:c>
      <x:c r="AC842" t="str"/>
      <x:c r="AD842" t="str"/>
    </x:row>
    <x:row r="843">
      <x:c r="A843" t="str">
        <x:v>REC0842</x:v>
      </x:c>
      <x:c r="B843" t="n">
        <x:v>841</x:v>
      </x:c>
      <x:c r="C843" t="str">
        <x:v>St. John, USVI</x:v>
      </x:c>
      <x:c r="D843" t="str">
        <x:v>GV</x:v>
      </x:c>
      <x:c r="E843" t="str">
        <x:v>Ground Validation</x:v>
      </x:c>
      <x:c r="F843" t="str">
        <x:v>HD Seaviewer Drop Camera</x:v>
      </x:c>
      <x:c r="G843" t="str">
        <x:v>GV2016_197</x:v>
      </x:c>
      <x:c r="H843" s="28" t="n">
        <x:v>42630</x:v>
      </x:c>
      <x:c r="I843" t="str">
        <x:v>12:30:20</x:v>
      </x:c>
      <x:c r="J843" t="n">
        <x:v>2016</x:v>
      </x:c>
      <x:c r="K843" t="n">
        <x:v>18.22565487</x:v>
      </x:c>
      <x:c r="L843" t="n">
        <x:v>-64.75137797</x:v>
      </x:c>
      <x:c r="M843" t="n">
        <x:v>51.975</x:v>
      </x:c>
      <x:c r="N843" t="str">
        <x:v>https://nccospublicstor.blob.core.windows.net/biomapper/usviinsularshelf2017/videos/low/GV2016_197.mp4</x:v>
      </x:c>
      <x:c r="O843" t="n">
        <x:v>0</x:v>
      </x:c>
      <x:c r="P843" t="n">
        <x:v>0</x:v>
      </x:c>
      <x:c r="Q843" t="n">
        <x:v>1</x:v>
      </x:c>
      <x:c r="R843" t="n">
        <x:v>0</x:v>
      </x:c>
      <x:c r="S843" t="n">
        <x:v>0</x:v>
      </x:c>
      <x:c r="T843" t="n">
        <x:v>0</x:v>
      </x:c>
      <x:c r="U843" t="n">
        <x:v>1</x:v>
      </x:c>
      <x:c r="V843" t="n">
        <x:v>1</x:v>
      </x:c>
      <x:c r="W843" t="n">
        <x:v>0</x:v>
      </x:c>
      <x:c r="X843" t="n">
        <x:v>0</x:v>
      </x:c>
      <x:c r="Y843" t="n">
        <x:v>0</x:v>
      </x:c>
      <x:c r="Z843" t="n">
        <x:v>1</x:v>
      </x:c>
      <x:c r="AA843" t="n">
        <x:v>2</x:v>
      </x:c>
      <x:c r="AB843" t="str">
        <x:v>Pass</x:v>
      </x:c>
      <x:c r="AC843" t="str"/>
      <x:c r="AD843" t="str"/>
    </x:row>
    <x:row r="844">
      <x:c r="A844" t="str">
        <x:v>REC0843</x:v>
      </x:c>
      <x:c r="B844" t="n">
        <x:v>842</x:v>
      </x:c>
      <x:c r="C844" t="str">
        <x:v>St. John, USVI</x:v>
      </x:c>
      <x:c r="D844" t="str">
        <x:v>GV</x:v>
      </x:c>
      <x:c r="E844" t="str">
        <x:v>Ground Validation</x:v>
      </x:c>
      <x:c r="F844" t="str">
        <x:v>HD Seaviewer Drop Camera</x:v>
      </x:c>
      <x:c r="G844" t="str">
        <x:v>GV2016_198</x:v>
      </x:c>
      <x:c r="H844" s="28" t="n">
        <x:v>42624</x:v>
      </x:c>
      <x:c r="I844" t="str">
        <x:v>08:40:22</x:v>
      </x:c>
      <x:c r="J844" t="n">
        <x:v>2016</x:v>
      </x:c>
      <x:c r="K844" t="n">
        <x:v>18.27269019</x:v>
      </x:c>
      <x:c r="L844" t="n">
        <x:v>-64.75294813</x:v>
      </x:c>
      <x:c r="M844" t="n">
        <x:v>40.524</x:v>
      </x:c>
      <x:c r="N844" t="str">
        <x:v>https://nccospublicstor.blob.core.windows.net/biomapper/usviinsularshelf2017/videos/low/GV2016_198.mp4</x:v>
      </x:c>
      <x:c r="O844" t="n">
        <x:v>0</x:v>
      </x:c>
      <x:c r="P844" t="n">
        <x:v>0</x:v>
      </x:c>
      <x:c r="Q844" t="n">
        <x:v>0</x:v>
      </x:c>
      <x:c r="R844" t="n">
        <x:v>1</x:v>
      </x:c>
      <x:c r="S844" t="n">
        <x:v>0</x:v>
      </x:c>
      <x:c r="T844" t="n">
        <x:v>0</x:v>
      </x:c>
      <x:c r="U844" t="n">
        <x:v>1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1</x:v>
      </x:c>
      <x:c r="AA844" t="n">
        <x:v>1</x:v>
      </x:c>
      <x:c r="AB844" t="str">
        <x:v>Pass</x:v>
      </x:c>
      <x:c r="AC844" t="str"/>
      <x:c r="AD844" t="str"/>
    </x:row>
    <x:row r="845">
      <x:c r="A845" t="str">
        <x:v>REC0844</x:v>
      </x:c>
      <x:c r="B845" t="n">
        <x:v>843</x:v>
      </x:c>
      <x:c r="C845" t="str">
        <x:v>Puerto Rico</x:v>
      </x:c>
      <x:c r="D845" t="str">
        <x:v>GV</x:v>
      </x:c>
      <x:c r="E845" t="str">
        <x:v>Ground Validation</x:v>
      </x:c>
      <x:c r="F845" t="str">
        <x:v>HD Seaviewer Drop Camera</x:v>
      </x:c>
      <x:c r="G845" t="str">
        <x:v>GV2016_199</x:v>
      </x:c>
      <x:c r="H845" s="28" t="n">
        <x:v>42605</x:v>
      </x:c>
      <x:c r="I845" t="str">
        <x:v>11:56:48</x:v>
      </x:c>
      <x:c r="J845" t="n">
        <x:v>2016</x:v>
      </x:c>
      <x:c r="K845" t="n">
        <x:v>18.17416762</x:v>
      </x:c>
      <x:c r="L845" t="n">
        <x:v>-65.14515585</x:v>
      </x:c>
      <x:c r="M845" t="n">
        <x:v>42.492</x:v>
      </x:c>
      <x:c r="N845" t="str">
        <x:v>https://nccospublicstor.blob.core.windows.net/biomapper/usviinsularshelf2017/videos/low/GV2016_199.mp4</x:v>
      </x:c>
      <x:c r="O845" t="n">
        <x:v>1</x:v>
      </x:c>
      <x:c r="P845" t="n">
        <x:v>0</x:v>
      </x:c>
      <x:c r="Q845" t="n">
        <x:v>0</x:v>
      </x:c>
      <x:c r="R845" t="n">
        <x:v>1</x:v>
      </x:c>
      <x:c r="S845" t="n">
        <x:v>1</x:v>
      </x:c>
      <x:c r="T845" t="n">
        <x:v>1</x:v>
      </x:c>
      <x:c r="U845" t="n">
        <x:v>1</x:v>
      </x:c>
      <x:c r="V845" t="n">
        <x:v>1</x:v>
      </x:c>
      <x:c r="W845" t="n">
        <x:v>0</x:v>
      </x:c>
      <x:c r="X845" t="n">
        <x:v>0</x:v>
      </x:c>
      <x:c r="Y845" t="n">
        <x:v>0</x:v>
      </x:c>
      <x:c r="Z845" t="n">
        <x:v>2</x:v>
      </x:c>
      <x:c r="AA845" t="n">
        <x:v>4</x:v>
      </x:c>
      <x:c r="AB845" t="str">
        <x:v>Pass</x:v>
      </x:c>
      <x:c r="AC845" t="str"/>
      <x:c r="AD845" t="str">
        <x:v>spur and groove</x:v>
      </x:c>
    </x:row>
    <x:row r="846">
      <x:c r="A846" t="str">
        <x:v>REC0845</x:v>
      </x:c>
      <x:c r="B846" t="n">
        <x:v>844</x:v>
      </x:c>
      <x:c r="C846" t="str">
        <x:v>Puerto Rico</x:v>
      </x:c>
      <x:c r="D846" t="str">
        <x:v>GV</x:v>
      </x:c>
      <x:c r="E846" t="str">
        <x:v>Ground Validation</x:v>
      </x:c>
      <x:c r="F846" t="str">
        <x:v>HD Seaviewer Drop Camera</x:v>
      </x:c>
      <x:c r="G846" t="str">
        <x:v>GV2016_200</x:v>
      </x:c>
      <x:c r="H846" s="28" t="n">
        <x:v>42607</x:v>
      </x:c>
      <x:c r="I846" t="str">
        <x:v>10:23:28</x:v>
      </x:c>
      <x:c r="J846" t="n">
        <x:v>2016</x:v>
      </x:c>
      <x:c r="K846" t="n">
        <x:v>18.23354224</x:v>
      </x:c>
      <x:c r="L846" t="n">
        <x:v>-65.17801879</x:v>
      </x:c>
      <x:c r="M846" t="n">
        <x:v>32.636</x:v>
      </x:c>
      <x:c r="N846" t="str">
        <x:v>https://nccospublicstor.blob.core.windows.net/biomapper/usviinsularshelf2017/videos/low/GV2016_200.mp4</x:v>
      </x:c>
      <x:c r="O846" t="n">
        <x:v>1</x:v>
      </x:c>
      <x:c r="P846" t="n">
        <x:v>0</x:v>
      </x:c>
      <x:c r="Q846" t="n">
        <x:v>0</x:v>
      </x:c>
      <x:c r="R846" t="n">
        <x:v>1</x:v>
      </x:c>
      <x:c r="S846" t="n">
        <x:v>1</x:v>
      </x:c>
      <x:c r="T846" t="n">
        <x:v>0</x:v>
      </x:c>
      <x:c r="U846" t="n">
        <x:v>1</x:v>
      </x:c>
      <x:c r="V846" t="n">
        <x:v>1</x:v>
      </x:c>
      <x:c r="W846" t="n">
        <x:v>0</x:v>
      </x:c>
      <x:c r="X846" t="n">
        <x:v>0</x:v>
      </x:c>
      <x:c r="Y846" t="n">
        <x:v>0</x:v>
      </x:c>
      <x:c r="Z846" t="n">
        <x:v>2</x:v>
      </x:c>
      <x:c r="AA846" t="n">
        <x:v>3</x:v>
      </x:c>
      <x:c r="AB846" t="str">
        <x:v>Pass</x:v>
      </x:c>
      <x:c r="AC846" t="str"/>
      <x:c r="AD846" t="str"/>
    </x:row>
    <x:row r="847">
      <x:c r="A847" t="str">
        <x:v>REC0846</x:v>
      </x:c>
      <x:c r="B847" t="n">
        <x:v>845</x:v>
      </x:c>
      <x:c r="C847" t="str">
        <x:v>St. John, USVI</x:v>
      </x:c>
      <x:c r="D847" t="str">
        <x:v>GV</x:v>
      </x:c>
      <x:c r="E847" t="str">
        <x:v>Ground Validation</x:v>
      </x:c>
      <x:c r="F847" t="str">
        <x:v>HD Seaviewer Drop Camera</x:v>
      </x:c>
      <x:c r="G847" t="str">
        <x:v>GV2016_201</x:v>
      </x:c>
      <x:c r="H847" s="28" t="n">
        <x:v>42623</x:v>
      </x:c>
      <x:c r="I847" t="str">
        <x:v>11:06:37</x:v>
      </x:c>
      <x:c r="J847" t="n">
        <x:v>2016</x:v>
      </x:c>
      <x:c r="K847" t="n">
        <x:v>18.26827026</x:v>
      </x:c>
      <x:c r="L847" t="n">
        <x:v>-64.76210599</x:v>
      </x:c>
      <x:c r="M847" t="n">
        <x:v>44.641</x:v>
      </x:c>
      <x:c r="N847" t="str">
        <x:v>https://nccospublicstor.blob.core.windows.net/biomapper/usviinsularshelf2017/videos/low/GV2016_201.mp4</x:v>
      </x:c>
      <x:c r="O847" t="n">
        <x:v>0</x:v>
      </x:c>
      <x:c r="P847" t="n">
        <x:v>0</x:v>
      </x:c>
      <x:c r="Q847" t="n">
        <x:v>1</x:v>
      </x:c>
      <x:c r="R847" t="n">
        <x:v>1</x:v>
      </x:c>
      <x:c r="S847" t="n">
        <x:v>0</x:v>
      </x:c>
      <x:c r="T847" t="n">
        <x:v>0</x:v>
      </x:c>
      <x:c r="U847" t="n">
        <x:v>1</x:v>
      </x:c>
      <x:c r="V847" t="n">
        <x:v>1</x:v>
      </x:c>
      <x:c r="W847" t="n">
        <x:v>0</x:v>
      </x:c>
      <x:c r="X847" t="n">
        <x:v>0</x:v>
      </x:c>
      <x:c r="Y847" t="n">
        <x:v>0</x:v>
      </x:c>
      <x:c r="Z847" t="n">
        <x:v>2</x:v>
      </x:c>
      <x:c r="AA847" t="n">
        <x:v>2</x:v>
      </x:c>
      <x:c r="AB847" t="str">
        <x:v>Pass</x:v>
      </x:c>
      <x:c r="AC847" t="str"/>
      <x:c r="AD847" t="str"/>
    </x:row>
    <x:row r="848">
      <x:c r="A848" t="str">
        <x:v>REC0847</x:v>
      </x:c>
      <x:c r="B848" t="n">
        <x:v>846</x:v>
      </x:c>
      <x:c r="C848" t="str">
        <x:v>St. Thomas, USVI</x:v>
      </x:c>
      <x:c r="D848" t="str">
        <x:v>GV</x:v>
      </x:c>
      <x:c r="E848" t="str">
        <x:v>Ground Validation</x:v>
      </x:c>
      <x:c r="F848" t="str">
        <x:v>HD Seaviewer Drop Camera</x:v>
      </x:c>
      <x:c r="G848" t="str">
        <x:v>GV2016_202</x:v>
      </x:c>
      <x:c r="H848" s="28" t="n">
        <x:v>42610</x:v>
      </x:c>
      <x:c r="I848" t="str">
        <x:v>14:46:26</x:v>
      </x:c>
      <x:c r="J848" t="n">
        <x:v>2016</x:v>
      </x:c>
      <x:c r="K848" t="n">
        <x:v>18.25930312</x:v>
      </x:c>
      <x:c r="L848" t="n">
        <x:v>-64.89381281</x:v>
      </x:c>
      <x:c r="M848" t="n">
        <x:v>36.911</x:v>
      </x:c>
      <x:c r="N848" t="str">
        <x:v>https://nccospublicstor.blob.core.windows.net/biomapper/usviinsularshelf2017/videos/low/GV2016_202.mp4</x:v>
      </x:c>
      <x:c r="O848" t="n">
        <x:v>0</x:v>
      </x:c>
      <x:c r="P848" t="n">
        <x:v>0</x:v>
      </x:c>
      <x:c r="Q848" t="n">
        <x:v>1</x:v>
      </x:c>
      <x:c r="R848" t="n">
        <x:v>1</x:v>
      </x:c>
      <x:c r="S848" t="n">
        <x:v>0</x:v>
      </x:c>
      <x:c r="T848" t="n">
        <x:v>0</x:v>
      </x:c>
      <x:c r="U848" t="n">
        <x:v>1</x:v>
      </x:c>
      <x:c r="V848" t="n">
        <x:v>1</x:v>
      </x:c>
      <x:c r="W848" t="n">
        <x:v>0</x:v>
      </x:c>
      <x:c r="X848" t="n">
        <x:v>0</x:v>
      </x:c>
      <x:c r="Y848" t="n">
        <x:v>0</x:v>
      </x:c>
      <x:c r="Z848" t="n">
        <x:v>2</x:v>
      </x:c>
      <x:c r="AA848" t="n">
        <x:v>2</x:v>
      </x:c>
      <x:c r="AB848" t="str">
        <x:v>Pass</x:v>
      </x:c>
      <x:c r="AC848" t="str"/>
      <x:c r="AD848" t="str"/>
    </x:row>
    <x:row r="849">
      <x:c r="A849" t="str">
        <x:v>REC0848</x:v>
      </x:c>
      <x:c r="B849" t="n">
        <x:v>847</x:v>
      </x:c>
      <x:c r="C849" t="str">
        <x:v>St. Thomas, USVI</x:v>
      </x:c>
      <x:c r="D849" t="str">
        <x:v>GV</x:v>
      </x:c>
      <x:c r="E849" t="str">
        <x:v>Ground Validation</x:v>
      </x:c>
      <x:c r="F849" t="str">
        <x:v>HD Seaviewer Drop Camera</x:v>
      </x:c>
      <x:c r="G849" t="str">
        <x:v>GV2016_203</x:v>
      </x:c>
      <x:c r="H849" s="28" t="n">
        <x:v>42611</x:v>
      </x:c>
      <x:c r="I849" t="str">
        <x:v>14:00:04</x:v>
      </x:c>
      <x:c r="J849" t="n">
        <x:v>2016</x:v>
      </x:c>
      <x:c r="K849" t="n">
        <x:v>18.23907446</x:v>
      </x:c>
      <x:c r="L849" t="n">
        <x:v>-64.97243505</x:v>
      </x:c>
      <x:c r="M849" t="n">
        <x:v>40.011</x:v>
      </x:c>
      <x:c r="N849" t="str">
        <x:v>https://nccospublicstor.blob.core.windows.net/biomapper/usviinsularshelf2017/videos/low/GV2016_203.mp4</x:v>
      </x:c>
      <x:c r="O849" t="n">
        <x:v>0</x:v>
      </x:c>
      <x:c r="P849" t="n">
        <x:v>0</x:v>
      </x:c>
      <x:c r="Q849" t="n">
        <x:v>1</x:v>
      </x:c>
      <x:c r="R849" t="n">
        <x:v>1</x:v>
      </x:c>
      <x:c r="S849" t="n">
        <x:v>0</x:v>
      </x:c>
      <x:c r="T849" t="n">
        <x:v>0</x:v>
      </x:c>
      <x:c r="U849" t="n">
        <x:v>1</x:v>
      </x:c>
      <x:c r="V849" t="n">
        <x:v>1</x:v>
      </x:c>
      <x:c r="W849" t="n">
        <x:v>0</x:v>
      </x:c>
      <x:c r="X849" t="n">
        <x:v>0</x:v>
      </x:c>
      <x:c r="Y849" t="n">
        <x:v>0</x:v>
      </x:c>
      <x:c r="Z849" t="n">
        <x:v>2</x:v>
      </x:c>
      <x:c r="AA849" t="n">
        <x:v>2</x:v>
      </x:c>
      <x:c r="AB849" t="str">
        <x:v>Pass</x:v>
      </x:c>
      <x:c r="AC849" t="str"/>
      <x:c r="AD849" t="str"/>
    </x:row>
    <x:row r="850">
      <x:c r="A850" t="str">
        <x:v>REC0849</x:v>
      </x:c>
      <x:c r="B850" t="n">
        <x:v>848</x:v>
      </x:c>
      <x:c r="C850" t="str">
        <x:v>St. Thomas, USVI</x:v>
      </x:c>
      <x:c r="D850" t="str">
        <x:v>GV</x:v>
      </x:c>
      <x:c r="E850" t="str">
        <x:v>Ground Validation</x:v>
      </x:c>
      <x:c r="F850" t="str">
        <x:v>HD Seaviewer Drop Camera</x:v>
      </x:c>
      <x:c r="G850" t="str">
        <x:v>GV2016_204</x:v>
      </x:c>
      <x:c r="H850" s="28" t="n">
        <x:v>42611</x:v>
      </x:c>
      <x:c r="I850" t="str">
        <x:v>08:37:36</x:v>
      </x:c>
      <x:c r="J850" t="n">
        <x:v>2016</x:v>
      </x:c>
      <x:c r="K850" t="n">
        <x:v>18.25443264</x:v>
      </x:c>
      <x:c r="L850" t="n">
        <x:v>-64.86214821</x:v>
      </x:c>
      <x:c r="M850" t="n">
        <x:v>39.108</x:v>
      </x:c>
      <x:c r="N850" t="str">
        <x:v>https://nccospublicstor.blob.core.windows.net/biomapper/usviinsularshelf2017/videos/low/GV2016_204.mp4</x:v>
      </x:c>
      <x:c r="O850" t="n">
        <x:v>0</x:v>
      </x:c>
      <x:c r="P850" t="n">
        <x:v>0</x:v>
      </x:c>
      <x:c r="Q850" t="n">
        <x:v>1</x:v>
      </x:c>
      <x:c r="R850" t="n">
        <x:v>0</x:v>
      </x:c>
      <x:c r="S850" t="n">
        <x:v>0</x:v>
      </x:c>
      <x:c r="T850" t="n">
        <x:v>0</x:v>
      </x:c>
      <x:c r="U850" t="n">
        <x:v>1</x:v>
      </x:c>
      <x:c r="V850" t="n">
        <x:v>1</x:v>
      </x:c>
      <x:c r="W850" t="n">
        <x:v>0</x:v>
      </x:c>
      <x:c r="X850" t="n">
        <x:v>0</x:v>
      </x:c>
      <x:c r="Y850" t="n">
        <x:v>0</x:v>
      </x:c>
      <x:c r="Z850" t="n">
        <x:v>1</x:v>
      </x:c>
      <x:c r="AA850" t="n">
        <x:v>2</x:v>
      </x:c>
      <x:c r="AB850" t="str">
        <x:v>Pass</x:v>
      </x:c>
      <x:c r="AC850" t="str"/>
      <x:c r="AD850" t="str"/>
    </x:row>
    <x:row r="851">
      <x:c r="A851" t="str">
        <x:v>REC0850</x:v>
      </x:c>
      <x:c r="B851" t="n">
        <x:v>849</x:v>
      </x:c>
      <x:c r="C851" t="str">
        <x:v>Puerto Rico</x:v>
      </x:c>
      <x:c r="D851" t="str">
        <x:v>GV</x:v>
      </x:c>
      <x:c r="E851" t="str">
        <x:v>Ground Validation</x:v>
      </x:c>
      <x:c r="F851" t="str">
        <x:v>HD Seaviewer Drop Camera</x:v>
      </x:c>
      <x:c r="G851" t="str">
        <x:v>GV2016_205</x:v>
      </x:c>
      <x:c r="H851" s="28" t="n">
        <x:v>42605</x:v>
      </x:c>
      <x:c r="I851" t="str">
        <x:v>12:25:12</x:v>
      </x:c>
      <x:c r="J851" t="n">
        <x:v>2016</x:v>
      </x:c>
      <x:c r="K851" t="n">
        <x:v>18.17141964</x:v>
      </x:c>
      <x:c r="L851" t="n">
        <x:v>-65.15133458</x:v>
      </x:c>
      <x:c r="M851" t="n">
        <x:v>46.88</x:v>
      </x:c>
      <x:c r="N851" t="str">
        <x:v>https://nccospublicstor.blob.core.windows.net/biomapper/usviinsularshelf2017/videos/low/GV2016_205.mp4</x:v>
      </x:c>
      <x:c r="O851" t="n">
        <x:v>1</x:v>
      </x:c>
      <x:c r="P851" t="n">
        <x:v>0</x:v>
      </x:c>
      <x:c r="Q851" t="n">
        <x:v>0</x:v>
      </x:c>
      <x:c r="R851" t="n">
        <x:v>1</x:v>
      </x:c>
      <x:c r="S851" t="n">
        <x:v>1</x:v>
      </x:c>
      <x:c r="T851" t="n">
        <x:v>0</x:v>
      </x:c>
      <x:c r="U851" t="n">
        <x:v>1</x:v>
      </x:c>
      <x:c r="V851" t="n">
        <x:v>1</x:v>
      </x:c>
      <x:c r="W851" t="n">
        <x:v>0</x:v>
      </x:c>
      <x:c r="X851" t="n">
        <x:v>0</x:v>
      </x:c>
      <x:c r="Y851" t="n">
        <x:v>0</x:v>
      </x:c>
      <x:c r="Z851" t="n">
        <x:v>2</x:v>
      </x:c>
      <x:c r="AA851" t="n">
        <x:v>3</x:v>
      </x:c>
      <x:c r="AB851" t="str">
        <x:v>Pass</x:v>
      </x:c>
      <x:c r="AC851" t="str"/>
      <x:c r="AD851" t="str"/>
    </x:row>
    <x:row r="852">
      <x:c r="A852" t="str">
        <x:v>REC0851</x:v>
      </x:c>
      <x:c r="B852" t="n">
        <x:v>850</x:v>
      </x:c>
      <x:c r="C852" t="str">
        <x:v>St. John, USVI</x:v>
      </x:c>
      <x:c r="D852" t="str">
        <x:v>GV</x:v>
      </x:c>
      <x:c r="E852" t="str">
        <x:v>Ground Validation</x:v>
      </x:c>
      <x:c r="F852" t="str">
        <x:v>HD Seaviewer Drop Camera</x:v>
      </x:c>
      <x:c r="G852" t="str">
        <x:v>GV2016_207</x:v>
      </x:c>
      <x:c r="H852" s="28" t="n">
        <x:v>42624</x:v>
      </x:c>
      <x:c r="I852" t="str">
        <x:v>11:41:39</x:v>
      </x:c>
      <x:c r="J852" t="n">
        <x:v>2016</x:v>
      </x:c>
      <x:c r="K852" t="n">
        <x:v>18.2652256</x:v>
      </x:c>
      <x:c r="L852" t="n">
        <x:v>-64.7551673</x:v>
      </x:c>
      <x:c r="M852" t="n">
        <x:v>45.331</x:v>
      </x:c>
      <x:c r="N852" t="str">
        <x:v>https://nccospublicstor.blob.core.windows.net/biomapper/usviinsularshelf2017/videos/low/GV2016_207.mp4</x:v>
      </x:c>
      <x:c r="O852" t="n">
        <x:v>0</x:v>
      </x:c>
      <x:c r="P852" t="n">
        <x:v>0</x:v>
      </x:c>
      <x:c r="Q852" t="n">
        <x:v>1</x:v>
      </x:c>
      <x:c r="R852" t="n">
        <x:v>0</x:v>
      </x:c>
      <x:c r="S852" t="n">
        <x:v>0</x:v>
      </x:c>
      <x:c r="T852" t="n">
        <x:v>0</x:v>
      </x:c>
      <x:c r="U852" t="n">
        <x:v>1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1</x:v>
      </x:c>
      <x:c r="AA852" t="n">
        <x:v>1</x:v>
      </x:c>
      <x:c r="AB852" t="str">
        <x:v>Pass</x:v>
      </x:c>
      <x:c r="AC852" t="str"/>
      <x:c r="AD852" t="str"/>
    </x:row>
    <x:row r="853">
      <x:c r="A853" t="str">
        <x:v>REC0852</x:v>
      </x:c>
      <x:c r="B853" t="n">
        <x:v>851</x:v>
      </x:c>
      <x:c r="C853" t="str">
        <x:v>St. John, USVI</x:v>
      </x:c>
      <x:c r="D853" t="str">
        <x:v>GV</x:v>
      </x:c>
      <x:c r="E853" t="str">
        <x:v>Ground Validation</x:v>
      </x:c>
      <x:c r="F853" t="str">
        <x:v>HD Seaviewer Drop Camera</x:v>
      </x:c>
      <x:c r="G853" t="str">
        <x:v>GV2016_208</x:v>
      </x:c>
      <x:c r="H853" s="28" t="n">
        <x:v>42630</x:v>
      </x:c>
      <x:c r="I853" t="str">
        <x:v>11:20:07</x:v>
      </x:c>
      <x:c r="J853" t="n">
        <x:v>2016</x:v>
      </x:c>
      <x:c r="K853" t="n">
        <x:v>18.19894761</x:v>
      </x:c>
      <x:c r="L853" t="n">
        <x:v>-64.75190741</x:v>
      </x:c>
      <x:c r="M853" t="n">
        <x:v>53.856</x:v>
      </x:c>
      <x:c r="N853" t="str">
        <x:v>https://nccospublicstor.blob.core.windows.net/biomapper/usviinsularshelf2017/videos/low/GV2016_208.mp4</x:v>
      </x:c>
      <x:c r="O853" t="n">
        <x:v>0</x:v>
      </x:c>
      <x:c r="P853" t="n">
        <x:v>1</x:v>
      </x:c>
      <x:c r="Q853" t="n">
        <x:v>1</x:v>
      </x:c>
      <x:c r="R853" t="n">
        <x:v>0</x:v>
      </x:c>
      <x:c r="S853" t="n">
        <x:v>1</x:v>
      </x:c>
      <x:c r="T853" t="n">
        <x:v>0</x:v>
      </x:c>
      <x:c r="U853" t="n">
        <x:v>1</x:v>
      </x:c>
      <x:c r="V853" t="n">
        <x:v>1</x:v>
      </x:c>
      <x:c r="W853" t="n">
        <x:v>0</x:v>
      </x:c>
      <x:c r="X853" t="n">
        <x:v>0</x:v>
      </x:c>
      <x:c r="Y853" t="n">
        <x:v>0</x:v>
      </x:c>
      <x:c r="Z853" t="n">
        <x:v>2</x:v>
      </x:c>
      <x:c r="AA853" t="n">
        <x:v>3</x:v>
      </x:c>
      <x:c r="AB853" t="str">
        <x:v>Pass</x:v>
      </x:c>
      <x:c r="AC853" t="str"/>
      <x:c r="AD853" t="str"/>
    </x:row>
    <x:row r="854">
      <x:c r="A854" t="str">
        <x:v>REC0853</x:v>
      </x:c>
      <x:c r="B854" t="n">
        <x:v>852</x:v>
      </x:c>
      <x:c r="C854" t="str">
        <x:v>St. John, USVI</x:v>
      </x:c>
      <x:c r="D854" t="str">
        <x:v>GV</x:v>
      </x:c>
      <x:c r="E854" t="str">
        <x:v>Ground Validation</x:v>
      </x:c>
      <x:c r="F854" t="str">
        <x:v>HD Seaviewer Drop Camera</x:v>
      </x:c>
      <x:c r="G854" t="str">
        <x:v>GV2016_209</x:v>
      </x:c>
      <x:c r="H854" s="28" t="n">
        <x:v>42630</x:v>
      </x:c>
      <x:c r="I854" t="str">
        <x:v>10:53:43</x:v>
      </x:c>
      <x:c r="J854" t="n">
        <x:v>2016</x:v>
      </x:c>
      <x:c r="K854" t="n">
        <x:v>18.2082914</x:v>
      </x:c>
      <x:c r="L854" t="n">
        <x:v>-64.7469657</x:v>
      </x:c>
      <x:c r="M854" t="n">
        <x:v>53.158</x:v>
      </x:c>
      <x:c r="N854" t="str">
        <x:v>https://nccospublicstor.blob.core.windows.net/biomapper/usviinsularshelf2017/videos/low/GV2016_209.mp4</x:v>
      </x:c>
      <x:c r="O854" t="n">
        <x:v>0</x:v>
      </x:c>
      <x:c r="P854" t="n">
        <x:v>1</x:v>
      </x:c>
      <x:c r="Q854" t="n">
        <x:v>1</x:v>
      </x:c>
      <x:c r="R854" t="n">
        <x:v>0</x:v>
      </x:c>
      <x:c r="S854" t="n">
        <x:v>1</x:v>
      </x:c>
      <x:c r="T854" t="n">
        <x:v>0</x:v>
      </x:c>
      <x:c r="U854" t="n">
        <x:v>1</x:v>
      </x:c>
      <x:c r="V854" t="n">
        <x:v>1</x:v>
      </x:c>
      <x:c r="W854" t="n">
        <x:v>0</x:v>
      </x:c>
      <x:c r="X854" t="n">
        <x:v>0</x:v>
      </x:c>
      <x:c r="Y854" t="n">
        <x:v>0</x:v>
      </x:c>
      <x:c r="Z854" t="n">
        <x:v>2</x:v>
      </x:c>
      <x:c r="AA854" t="n">
        <x:v>3</x:v>
      </x:c>
      <x:c r="AB854" t="str">
        <x:v>Pass</x:v>
      </x:c>
      <x:c r="AC854" t="str"/>
      <x:c r="AD854" t="str"/>
    </x:row>
    <x:row r="855">
      <x:c r="A855" t="str">
        <x:v>REC0854</x:v>
      </x:c>
      <x:c r="B855" t="n">
        <x:v>853</x:v>
      </x:c>
      <x:c r="C855" t="str">
        <x:v>St. Thomas, USVI</x:v>
      </x:c>
      <x:c r="D855" t="str">
        <x:v>GV</x:v>
      </x:c>
      <x:c r="E855" t="str">
        <x:v>Ground Validation</x:v>
      </x:c>
      <x:c r="F855" t="str">
        <x:v>HD Seaviewer Drop Camera</x:v>
      </x:c>
      <x:c r="G855" t="str">
        <x:v>GV2016_210</x:v>
      </x:c>
      <x:c r="H855" s="28" t="n">
        <x:v>42611</x:v>
      </x:c>
      <x:c r="I855" t="str">
        <x:v>08:51:20</x:v>
      </x:c>
      <x:c r="J855" t="n">
        <x:v>2016</x:v>
      </x:c>
      <x:c r="K855" t="n">
        <x:v>18.24608154</x:v>
      </x:c>
      <x:c r="L855" t="n">
        <x:v>-64.8620531</x:v>
      </x:c>
      <x:c r="M855" t="n">
        <x:v>39.503</x:v>
      </x:c>
      <x:c r="N855" t="str">
        <x:v>https://nccospublicstor.blob.core.windows.net/biomapper/usviinsularshelf2017/videos/low/GV2016_210.mp4</x:v>
      </x:c>
      <x:c r="O855" t="n">
        <x:v>0</x:v>
      </x:c>
      <x:c r="P855" t="n">
        <x:v>0</x:v>
      </x:c>
      <x:c r="Q855" t="n">
        <x:v>1</x:v>
      </x:c>
      <x:c r="R855" t="n">
        <x:v>0</x:v>
      </x:c>
      <x:c r="S855" t="n">
        <x:v>0</x:v>
      </x:c>
      <x:c r="T855" t="n">
        <x:v>0</x:v>
      </x:c>
      <x:c r="U855" t="n">
        <x:v>1</x:v>
      </x:c>
      <x:c r="V855" t="n">
        <x:v>1</x:v>
      </x:c>
      <x:c r="W855" t="n">
        <x:v>0</x:v>
      </x:c>
      <x:c r="X855" t="n">
        <x:v>0</x:v>
      </x:c>
      <x:c r="Y855" t="n">
        <x:v>0</x:v>
      </x:c>
      <x:c r="Z855" t="n">
        <x:v>1</x:v>
      </x:c>
      <x:c r="AA855" t="n">
        <x:v>2</x:v>
      </x:c>
      <x:c r="AB855" t="str">
        <x:v>Pass</x:v>
      </x:c>
      <x:c r="AC855" t="str"/>
      <x:c r="AD855" t="str"/>
    </x:row>
    <x:row r="856">
      <x:c r="A856" t="str">
        <x:v>REC0855</x:v>
      </x:c>
      <x:c r="B856" t="n">
        <x:v>854</x:v>
      </x:c>
      <x:c r="C856" t="str">
        <x:v>St. John, USVI</x:v>
      </x:c>
      <x:c r="D856" t="str">
        <x:v>GV</x:v>
      </x:c>
      <x:c r="E856" t="str">
        <x:v>Ground Validation</x:v>
      </x:c>
      <x:c r="F856" t="str">
        <x:v>HD Seaviewer Drop Camera</x:v>
      </x:c>
      <x:c r="G856" t="str">
        <x:v>GV2016_211</x:v>
      </x:c>
      <x:c r="H856" s="28" t="n">
        <x:v>42625</x:v>
      </x:c>
      <x:c r="I856" t="str">
        <x:v>09:28:16</x:v>
      </x:c>
      <x:c r="J856" t="n">
        <x:v>2016</x:v>
      </x:c>
      <x:c r="K856" t="n">
        <x:v>18.25943251</x:v>
      </x:c>
      <x:c r="L856" t="n">
        <x:v>-64.67138097</x:v>
      </x:c>
      <x:c r="M856" t="n">
        <x:v>46.212</x:v>
      </x:c>
      <x:c r="N856" t="str">
        <x:v>https://nccospublicstor.blob.core.windows.net/biomapper/usviinsularshelf2017/videos/low/GV2016_211.mp4</x:v>
      </x:c>
      <x:c r="O856" t="n">
        <x:v>0</x:v>
      </x:c>
      <x:c r="P856" t="n">
        <x:v>0</x:v>
      </x:c>
      <x:c r="Q856" t="n">
        <x:v>1</x:v>
      </x:c>
      <x:c r="R856" t="n">
        <x:v>0</x:v>
      </x:c>
      <x:c r="S856" t="n">
        <x:v>0</x:v>
      </x:c>
      <x:c r="T856" t="n">
        <x:v>0</x:v>
      </x:c>
      <x:c r="U856" t="n">
        <x:v>1</x:v>
      </x:c>
      <x:c r="V856" t="n">
        <x:v>1</x:v>
      </x:c>
      <x:c r="W856" t="n">
        <x:v>0</x:v>
      </x:c>
      <x:c r="X856" t="n">
        <x:v>0</x:v>
      </x:c>
      <x:c r="Y856" t="n">
        <x:v>0</x:v>
      </x:c>
      <x:c r="Z856" t="n">
        <x:v>1</x:v>
      </x:c>
      <x:c r="AA856" t="n">
        <x:v>2</x:v>
      </x:c>
      <x:c r="AB856" t="str">
        <x:v>Pass</x:v>
      </x:c>
      <x:c r="AC856" t="str"/>
      <x:c r="AD856" t="str"/>
    </x:row>
    <x:row r="857">
      <x:c r="A857" t="str">
        <x:v>REC0856</x:v>
      </x:c>
      <x:c r="B857" t="n">
        <x:v>855</x:v>
      </x:c>
      <x:c r="C857" t="str">
        <x:v>St. John, USVI</x:v>
      </x:c>
      <x:c r="D857" t="str">
        <x:v>GV</x:v>
      </x:c>
      <x:c r="E857" t="str">
        <x:v>Ground Validation</x:v>
      </x:c>
      <x:c r="F857" t="str">
        <x:v>HD Seaviewer Drop Camera</x:v>
      </x:c>
      <x:c r="G857" t="str">
        <x:v>GV2016_212</x:v>
      </x:c>
      <x:c r="H857" s="28" t="n">
        <x:v>42630</x:v>
      </x:c>
      <x:c r="I857" t="str">
        <x:v>09:57:30</x:v>
      </x:c>
      <x:c r="J857" t="n">
        <x:v>2016</x:v>
      </x:c>
      <x:c r="K857" t="n">
        <x:v>18.22525632</x:v>
      </x:c>
      <x:c r="L857" t="n">
        <x:v>-64.72378879</x:v>
      </x:c>
      <x:c r="M857" t="n">
        <x:v>51.622</x:v>
      </x:c>
      <x:c r="N857" t="str">
        <x:v>https://nccospublicstor.blob.core.windows.net/biomapper/usviinsularshelf2017/videos/low/GV2016_212.mp4</x:v>
      </x:c>
      <x:c r="O857" t="n">
        <x:v>0</x:v>
      </x:c>
      <x:c r="P857" t="n">
        <x:v>0</x:v>
      </x:c>
      <x:c r="Q857" t="n">
        <x:v>1</x:v>
      </x:c>
      <x:c r="R857" t="n">
        <x:v>0</x:v>
      </x:c>
      <x:c r="S857" t="n">
        <x:v>0</x:v>
      </x:c>
      <x:c r="T857" t="n">
        <x:v>0</x:v>
      </x:c>
      <x:c r="U857" t="n">
        <x:v>1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1</x:v>
      </x:c>
      <x:c r="AA857" t="n">
        <x:v>1</x:v>
      </x:c>
      <x:c r="AB857" t="str">
        <x:v>Pass</x:v>
      </x:c>
      <x:c r="AC857" t="str"/>
      <x:c r="AD857" t="str"/>
    </x:row>
    <x:row r="858">
      <x:c r="A858" t="str">
        <x:v>REC0857</x:v>
      </x:c>
      <x:c r="B858" t="n">
        <x:v>856</x:v>
      </x:c>
      <x:c r="C858" t="str">
        <x:v>St. Thomas, USVI</x:v>
      </x:c>
      <x:c r="D858" t="str">
        <x:v>GV</x:v>
      </x:c>
      <x:c r="E858" t="str">
        <x:v>Ground Validation</x:v>
      </x:c>
      <x:c r="F858" t="str">
        <x:v>HD Seaviewer Drop Camera</x:v>
      </x:c>
      <x:c r="G858" t="str">
        <x:v>GV2016_213</x:v>
      </x:c>
      <x:c r="H858" s="28" t="n">
        <x:v>42602</x:v>
      </x:c>
      <x:c r="I858" t="str">
        <x:v>13:15:51</x:v>
      </x:c>
      <x:c r="J858" t="n">
        <x:v>2016</x:v>
      </x:c>
      <x:c r="K858" t="n">
        <x:v>18.27103425</x:v>
      </x:c>
      <x:c r="L858" t="n">
        <x:v>-65.11276884</x:v>
      </x:c>
      <x:c r="M858" t="n">
        <x:v>27.706</x:v>
      </x:c>
      <x:c r="N858" t="str">
        <x:v>https://nccospublicstor.blob.core.windows.net/biomapper/usviinsularshelf2017/videos/low/GV2016_213.mp4</x:v>
      </x:c>
      <x:c r="O858" t="n">
        <x:v>1</x:v>
      </x:c>
      <x:c r="P858" t="n">
        <x:v>0</x:v>
      </x:c>
      <x:c r="Q858" t="n">
        <x:v>0</x:v>
      </x:c>
      <x:c r="R858" t="n">
        <x:v>0</x:v>
      </x:c>
      <x:c r="S858" t="n">
        <x:v>1</x:v>
      </x:c>
      <x:c r="T858" t="n">
        <x:v>1</x:v>
      </x:c>
      <x:c r="U858" t="n">
        <x:v>1</x:v>
      </x:c>
      <x:c r="V858" t="n">
        <x:v>1</x:v>
      </x:c>
      <x:c r="W858" t="n">
        <x:v>0</x:v>
      </x:c>
      <x:c r="X858" t="n">
        <x:v>0</x:v>
      </x:c>
      <x:c r="Y858" t="n">
        <x:v>0</x:v>
      </x:c>
      <x:c r="Z858" t="n">
        <x:v>1</x:v>
      </x:c>
      <x:c r="AA858" t="n">
        <x:v>4</x:v>
      </x:c>
      <x:c r="AB858" t="str">
        <x:v>Pass</x:v>
      </x:c>
      <x:c r="AC858" t="str"/>
      <x:c r="AD858" t="str"/>
    </x:row>
    <x:row r="859">
      <x:c r="A859" t="str">
        <x:v>REC0858</x:v>
      </x:c>
      <x:c r="B859" t="n">
        <x:v>857</x:v>
      </x:c>
      <x:c r="C859" t="str">
        <x:v>St. Thomas, USVI</x:v>
      </x:c>
      <x:c r="D859" t="str">
        <x:v>GV</x:v>
      </x:c>
      <x:c r="E859" t="str">
        <x:v>Ground Validation</x:v>
      </x:c>
      <x:c r="F859" t="str">
        <x:v>HD Seaviewer Drop Camera</x:v>
      </x:c>
      <x:c r="G859" t="str">
        <x:v>GV2016_214</x:v>
      </x:c>
      <x:c r="H859" s="28" t="n">
        <x:v>42612</x:v>
      </x:c>
      <x:c r="I859" t="str">
        <x:v>13:11:19</x:v>
      </x:c>
      <x:c r="J859" t="n">
        <x:v>2016</x:v>
      </x:c>
      <x:c r="K859" t="n">
        <x:v>18.26959444</x:v>
      </x:c>
      <x:c r="L859" t="n">
        <x:v>-64.84455893</x:v>
      </x:c>
      <x:c r="M859" t="n">
        <x:v>27.198</x:v>
      </x:c>
      <x:c r="N859" t="str">
        <x:v>https://nccospublicstor.blob.core.windows.net/biomapper/usviinsularshelf2017/videos/low/GV2016_214.mp4</x:v>
      </x:c>
      <x:c r="O859" t="n">
        <x:v>1</x:v>
      </x:c>
      <x:c r="P859" t="n">
        <x:v>0</x:v>
      </x:c>
      <x:c r="Q859" t="n">
        <x:v>0</x:v>
      </x:c>
      <x:c r="R859" t="n">
        <x:v>1</x:v>
      </x:c>
      <x:c r="S859" t="n">
        <x:v>1</x:v>
      </x:c>
      <x:c r="T859" t="n">
        <x:v>1</x:v>
      </x:c>
      <x:c r="U859" t="n">
        <x:v>1</x:v>
      </x:c>
      <x:c r="V859" t="n">
        <x:v>1</x:v>
      </x:c>
      <x:c r="W859" t="n">
        <x:v>0</x:v>
      </x:c>
      <x:c r="X859" t="n">
        <x:v>0</x:v>
      </x:c>
      <x:c r="Y859" t="n">
        <x:v>0</x:v>
      </x:c>
      <x:c r="Z859" t="n">
        <x:v>2</x:v>
      </x:c>
      <x:c r="AA859" t="n">
        <x:v>4</x:v>
      </x:c>
      <x:c r="AB859" t="str">
        <x:v>Pass</x:v>
      </x:c>
      <x:c r="AC859" t="str"/>
      <x:c r="AD859" t="str"/>
    </x:row>
    <x:row r="860">
      <x:c r="A860" t="str">
        <x:v>REC0859</x:v>
      </x:c>
      <x:c r="B860" t="n">
        <x:v>858</x:v>
      </x:c>
      <x:c r="C860" t="str">
        <x:v>St. John, USVI</x:v>
      </x:c>
      <x:c r="D860" t="str">
        <x:v>GV</x:v>
      </x:c>
      <x:c r="E860" t="str">
        <x:v>Ground Validation</x:v>
      </x:c>
      <x:c r="F860" t="str">
        <x:v>HD Seaviewer Drop Camera</x:v>
      </x:c>
      <x:c r="G860" t="str">
        <x:v>GV2016_215</x:v>
      </x:c>
      <x:c r="H860" s="28" t="n">
        <x:v>42630</x:v>
      </x:c>
      <x:c r="I860" t="str">
        <x:v>07:20:54</x:v>
      </x:c>
      <x:c r="J860" t="n">
        <x:v>2016</x:v>
      </x:c>
      <x:c r="K860" t="n">
        <x:v>18.25425694</x:v>
      </x:c>
      <x:c r="L860" t="n">
        <x:v>-64.75525845</x:v>
      </x:c>
      <x:c r="M860" t="n">
        <x:v>45.003</x:v>
      </x:c>
      <x:c r="N860" t="str">
        <x:v>https://nccospublicstor.blob.core.windows.net/biomapper/usviinsularshelf2017/videos/low/GV2016_215.mp4</x:v>
      </x:c>
      <x:c r="O860" t="n">
        <x:v>0</x:v>
      </x:c>
      <x:c r="P860" t="n">
        <x:v>1</x:v>
      </x:c>
      <x:c r="Q860" t="n">
        <x:v>1</x:v>
      </x:c>
      <x:c r="R860" t="n">
        <x:v>0</x:v>
      </x:c>
      <x:c r="S860" t="n">
        <x:v>1</x:v>
      </x:c>
      <x:c r="T860" t="n">
        <x:v>0</x:v>
      </x:c>
      <x:c r="U860" t="n">
        <x:v>1</x:v>
      </x:c>
      <x:c r="V860" t="n">
        <x:v>1</x:v>
      </x:c>
      <x:c r="W860" t="n">
        <x:v>0</x:v>
      </x:c>
      <x:c r="X860" t="n">
        <x:v>0</x:v>
      </x:c>
      <x:c r="Y860" t="n">
        <x:v>0</x:v>
      </x:c>
      <x:c r="Z860" t="n">
        <x:v>2</x:v>
      </x:c>
      <x:c r="AA860" t="n">
        <x:v>3</x:v>
      </x:c>
      <x:c r="AB860" t="str">
        <x:v>Pass</x:v>
      </x:c>
      <x:c r="AC860" t="str"/>
      <x:c r="AD860" t="str"/>
    </x:row>
    <x:row r="861">
      <x:c r="A861" t="str">
        <x:v>REC0860</x:v>
      </x:c>
      <x:c r="B861" t="n">
        <x:v>859</x:v>
      </x:c>
      <x:c r="C861" t="str">
        <x:v>Puerto Rico</x:v>
      </x:c>
      <x:c r="D861" t="str">
        <x:v>GV</x:v>
      </x:c>
      <x:c r="E861" t="str">
        <x:v>Ground Validation</x:v>
      </x:c>
      <x:c r="F861" t="str">
        <x:v>HD Seaviewer Drop Camera</x:v>
      </x:c>
      <x:c r="G861" t="str">
        <x:v>GV2016_216</x:v>
      </x:c>
      <x:c r="H861" s="28" t="n">
        <x:v>42604</x:v>
      </x:c>
      <x:c r="I861" t="str">
        <x:v>11:43:49</x:v>
      </x:c>
      <x:c r="J861" t="n">
        <x:v>2016</x:v>
      </x:c>
      <x:c r="K861" t="n">
        <x:v>18.21209105</x:v>
      </x:c>
      <x:c r="L861" t="n">
        <x:v>-65.19850112</x:v>
      </x:c>
      <x:c r="M861" t="n">
        <x:v>30.278</x:v>
      </x:c>
      <x:c r="N861" t="str">
        <x:v>https://nccospublicstor.blob.core.windows.net/biomapper/usviinsularshelf2017/videos/low/GV2016_216.mp4</x:v>
      </x:c>
      <x:c r="O861" t="n">
        <x:v>1</x:v>
      </x:c>
      <x:c r="P861" t="n">
        <x:v>0</x:v>
      </x:c>
      <x:c r="Q861" t="n">
        <x:v>0</x:v>
      </x:c>
      <x:c r="R861" t="n">
        <x:v>0</x:v>
      </x:c>
      <x:c r="S861" t="n">
        <x:v>1</x:v>
      </x:c>
      <x:c r="T861" t="n">
        <x:v>1</x:v>
      </x:c>
      <x:c r="U861" t="n">
        <x:v>1</x:v>
      </x:c>
      <x:c r="V861" t="n">
        <x:v>1</x:v>
      </x:c>
      <x:c r="W861" t="n">
        <x:v>0</x:v>
      </x:c>
      <x:c r="X861" t="n">
        <x:v>0</x:v>
      </x:c>
      <x:c r="Y861" t="n">
        <x:v>0</x:v>
      </x:c>
      <x:c r="Z861" t="n">
        <x:v>1</x:v>
      </x:c>
      <x:c r="AA861" t="n">
        <x:v>4</x:v>
      </x:c>
      <x:c r="AB861" t="str">
        <x:v>Pass</x:v>
      </x:c>
      <x:c r="AC861" t="str"/>
      <x:c r="AD861" t="str">
        <x:v>Some coral colonies with coral bleaching</x:v>
      </x:c>
    </x:row>
    <x:row r="862">
      <x:c r="A862" t="str">
        <x:v>REC0861</x:v>
      </x:c>
      <x:c r="B862" t="n">
        <x:v>860</x:v>
      </x:c>
      <x:c r="C862" t="str">
        <x:v>Puerto Rico</x:v>
      </x:c>
      <x:c r="D862" t="str">
        <x:v>GV</x:v>
      </x:c>
      <x:c r="E862" t="str">
        <x:v>Ground Validation</x:v>
      </x:c>
      <x:c r="F862" t="str">
        <x:v>HD Seaviewer Drop Camera</x:v>
      </x:c>
      <x:c r="G862" t="str">
        <x:v>GV2016_217</x:v>
      </x:c>
      <x:c r="H862" s="28" t="n">
        <x:v>42603</x:v>
      </x:c>
      <x:c r="I862" t="str">
        <x:v>09:55:53</x:v>
      </x:c>
      <x:c r="J862" t="n">
        <x:v>2016</x:v>
      </x:c>
      <x:c r="K862" t="n">
        <x:v>18.13394577</x:v>
      </x:c>
      <x:c r="L862" t="n">
        <x:v>-65.20057674</x:v>
      </x:c>
      <x:c r="M862" t="n">
        <x:v>24.072</x:v>
      </x:c>
      <x:c r="N862" t="str">
        <x:v>https://nccospublicstor.blob.core.windows.net/biomapper/usviinsularshelf2017/videos/low/GV2016_217.mp4</x:v>
      </x:c>
      <x:c r="O862" t="n">
        <x:v>0</x:v>
      </x:c>
      <x:c r="P862" t="n">
        <x:v>1</x:v>
      </x:c>
      <x:c r="Q862" t="n">
        <x:v>0</x:v>
      </x:c>
      <x:c r="R862" t="n">
        <x:v>0</x:v>
      </x:c>
      <x:c r="S862" t="n">
        <x:v>1</x:v>
      </x:c>
      <x:c r="T862" t="n">
        <x:v>1</x:v>
      </x:c>
      <x:c r="U862" t="n">
        <x:v>1</x:v>
      </x:c>
      <x:c r="V862" t="n">
        <x:v>1</x:v>
      </x:c>
      <x:c r="W862" t="n">
        <x:v>0</x:v>
      </x:c>
      <x:c r="X862" t="n">
        <x:v>0</x:v>
      </x:c>
      <x:c r="Y862" t="n">
        <x:v>0</x:v>
      </x:c>
      <x:c r="Z862" t="n">
        <x:v>1</x:v>
      </x:c>
      <x:c r="AA862" t="n">
        <x:v>4</x:v>
      </x:c>
      <x:c r="AB862" t="str">
        <x:v>Pass</x:v>
      </x:c>
      <x:c r="AC862" t="str"/>
      <x:c r="AD862" t="str"/>
    </x:row>
    <x:row r="863">
      <x:c r="A863" t="str">
        <x:v>REC0862</x:v>
      </x:c>
      <x:c r="B863" t="n">
        <x:v>861</x:v>
      </x:c>
      <x:c r="C863" t="str">
        <x:v>St. John, USVI</x:v>
      </x:c>
      <x:c r="D863" t="str">
        <x:v>GV</x:v>
      </x:c>
      <x:c r="E863" t="str">
        <x:v>Ground Validation</x:v>
      </x:c>
      <x:c r="F863" t="str">
        <x:v>HD Seaviewer Drop Camera</x:v>
      </x:c>
      <x:c r="G863" t="str">
        <x:v>GV2016_219</x:v>
      </x:c>
      <x:c r="H863" s="28" t="n">
        <x:v>42626</x:v>
      </x:c>
      <x:c r="I863" t="str">
        <x:v>11:41:59</x:v>
      </x:c>
      <x:c r="J863" t="n">
        <x:v>2016</x:v>
      </x:c>
      <x:c r="K863" t="n">
        <x:v>18.21881902</x:v>
      </x:c>
      <x:c r="L863" t="n">
        <x:v>-64.7803869</x:v>
      </x:c>
      <x:c r="M863" t="n">
        <x:v>51.993</x:v>
      </x:c>
      <x:c r="N863" t="str">
        <x:v>https://nccospublicstor.blob.core.windows.net/biomapper/usviinsularshelf2017/videos/low/GV2016_219.mp4</x:v>
      </x:c>
      <x:c r="O863" t="n">
        <x:v>0</x:v>
      </x:c>
      <x:c r="P863" t="n">
        <x:v>1</x:v>
      </x:c>
      <x:c r="Q863" t="n">
        <x:v>0</x:v>
      </x:c>
      <x:c r="R863" t="n">
        <x:v>0</x:v>
      </x:c>
      <x:c r="S863" t="n">
        <x:v>1</x:v>
      </x:c>
      <x:c r="T863" t="n">
        <x:v>0</x:v>
      </x:c>
      <x:c r="U863" t="n">
        <x:v>1</x:v>
      </x:c>
      <x:c r="V863" t="n">
        <x:v>1</x:v>
      </x:c>
      <x:c r="W863" t="n">
        <x:v>0</x:v>
      </x:c>
      <x:c r="X863" t="n">
        <x:v>0</x:v>
      </x:c>
      <x:c r="Y863" t="n">
        <x:v>0</x:v>
      </x:c>
      <x:c r="Z863" t="n">
        <x:v>1</x:v>
      </x:c>
      <x:c r="AA863" t="n">
        <x:v>3</x:v>
      </x:c>
      <x:c r="AB863" t="str">
        <x:v>Pass</x:v>
      </x:c>
      <x:c r="AC863" t="str"/>
      <x:c r="AD863" t="str"/>
    </x:row>
    <x:row r="864">
      <x:c r="A864" t="str">
        <x:v>REC0863</x:v>
      </x:c>
      <x:c r="B864" t="n">
        <x:v>862</x:v>
      </x:c>
      <x:c r="C864" t="str">
        <x:v>St. Thomas, USVI</x:v>
      </x:c>
      <x:c r="D864" t="str">
        <x:v>GV</x:v>
      </x:c>
      <x:c r="E864" t="str">
        <x:v>Ground Validation</x:v>
      </x:c>
      <x:c r="F864" t="str">
        <x:v>HD Seaviewer Drop Camera</x:v>
      </x:c>
      <x:c r="G864" t="str">
        <x:v>GV2016_220</x:v>
      </x:c>
      <x:c r="H864" s="28" t="n">
        <x:v>42622</x:v>
      </x:c>
      <x:c r="I864" t="str">
        <x:v>13:23:15</x:v>
      </x:c>
      <x:c r="J864" t="n">
        <x:v>2016</x:v>
      </x:c>
      <x:c r="K864" t="n">
        <x:v>18.21371794</x:v>
      </x:c>
      <x:c r="L864" t="n">
        <x:v>-64.82577528</x:v>
      </x:c>
      <x:c r="M864" t="n">
        <x:v>52.317</x:v>
      </x:c>
      <x:c r="N864" t="str">
        <x:v>https://nccospublicstor.blob.core.windows.net/biomapper/usviinsularshelf2017/videos/low/GV2016_220.mp4</x:v>
      </x:c>
      <x:c r="O864" t="n">
        <x:v>0</x:v>
      </x:c>
      <x:c r="P864" t="n">
        <x:v>0</x:v>
      </x:c>
      <x:c r="Q864" t="n">
        <x:v>1</x:v>
      </x:c>
      <x:c r="R864" t="n">
        <x:v>0</x:v>
      </x:c>
      <x:c r="S864" t="n">
        <x:v>0</x:v>
      </x:c>
      <x:c r="T864" t="n">
        <x:v>0</x:v>
      </x:c>
      <x:c r="U864" t="n">
        <x:v>1</x:v>
      </x:c>
      <x:c r="V864" t="n">
        <x:v>1</x:v>
      </x:c>
      <x:c r="W864" t="n">
        <x:v>0</x:v>
      </x:c>
      <x:c r="X864" t="n">
        <x:v>0</x:v>
      </x:c>
      <x:c r="Y864" t="n">
        <x:v>0</x:v>
      </x:c>
      <x:c r="Z864" t="n">
        <x:v>1</x:v>
      </x:c>
      <x:c r="AA864" t="n">
        <x:v>2</x:v>
      </x:c>
      <x:c r="AB864" t="str">
        <x:v>Pass</x:v>
      </x:c>
      <x:c r="AC864" t="str"/>
      <x:c r="AD864" t="str"/>
    </x:row>
    <x:row r="865">
      <x:c r="A865" t="str">
        <x:v>REC0864</x:v>
      </x:c>
      <x:c r="B865" t="n">
        <x:v>863</x:v>
      </x:c>
      <x:c r="C865" t="str">
        <x:v>St. Thomas, USVI</x:v>
      </x:c>
      <x:c r="D865" t="str">
        <x:v>GV</x:v>
      </x:c>
      <x:c r="E865" t="str">
        <x:v>Ground Validation</x:v>
      </x:c>
      <x:c r="F865" t="str">
        <x:v>HD Seaviewer Drop Camera</x:v>
      </x:c>
      <x:c r="G865" t="str">
        <x:v>GV2016_221</x:v>
      </x:c>
      <x:c r="H865" s="28" t="n">
        <x:v>42611</x:v>
      </x:c>
      <x:c r="I865" t="str">
        <x:v>09:17:01</x:v>
      </x:c>
      <x:c r="J865" t="n">
        <x:v>2016</x:v>
      </x:c>
      <x:c r="K865" t="n">
        <x:v>18.22061997</x:v>
      </x:c>
      <x:c r="L865" t="n">
        <x:v>-64.85990578</x:v>
      </x:c>
      <x:c r="M865" t="n">
        <x:v>45.112</x:v>
      </x:c>
      <x:c r="N865" t="str">
        <x:v>https://nccospublicstor.blob.core.windows.net/biomapper/usviinsularshelf2017/videos/low/GV2016_221.mp4</x:v>
      </x:c>
      <x:c r="O865" t="n">
        <x:v>0</x:v>
      </x:c>
      <x:c r="P865" t="n">
        <x:v>0</x:v>
      </x:c>
      <x:c r="Q865" t="n">
        <x:v>1</x:v>
      </x:c>
      <x:c r="R865" t="n">
        <x:v>0</x:v>
      </x:c>
      <x:c r="S865" t="n">
        <x:v>0</x:v>
      </x:c>
      <x:c r="T865" t="n">
        <x:v>0</x:v>
      </x:c>
      <x:c r="U865" t="n">
        <x:v>1</x:v>
      </x:c>
      <x:c r="V865" t="n">
        <x:v>1</x:v>
      </x:c>
      <x:c r="W865" t="n">
        <x:v>0</x:v>
      </x:c>
      <x:c r="X865" t="n">
        <x:v>0</x:v>
      </x:c>
      <x:c r="Y865" t="n">
        <x:v>0</x:v>
      </x:c>
      <x:c r="Z865" t="n">
        <x:v>1</x:v>
      </x:c>
      <x:c r="AA865" t="n">
        <x:v>2</x:v>
      </x:c>
      <x:c r="AB865" t="str">
        <x:v>Pass</x:v>
      </x:c>
      <x:c r="AC865" t="str"/>
      <x:c r="AD865" t="str"/>
    </x:row>
    <x:row r="866">
      <x:c r="A866" t="str">
        <x:v>REC0865</x:v>
      </x:c>
      <x:c r="B866" t="n">
        <x:v>864</x:v>
      </x:c>
      <x:c r="C866" t="str">
        <x:v>St. John, USVI</x:v>
      </x:c>
      <x:c r="D866" t="str">
        <x:v>GV</x:v>
      </x:c>
      <x:c r="E866" t="str">
        <x:v>Ground Validation</x:v>
      </x:c>
      <x:c r="F866" t="str">
        <x:v>HD Seaviewer Drop Camera</x:v>
      </x:c>
      <x:c r="G866" t="str">
        <x:v>GV2016_222</x:v>
      </x:c>
      <x:c r="H866" s="28" t="n">
        <x:v>42625</x:v>
      </x:c>
      <x:c r="I866" t="str">
        <x:v>09:18:13</x:v>
      </x:c>
      <x:c r="J866" t="n">
        <x:v>2016</x:v>
      </x:c>
      <x:c r="K866" t="n">
        <x:v>18.26364764</x:v>
      </x:c>
      <x:c r="L866" t="n">
        <x:v>-64.66309215</x:v>
      </x:c>
      <x:c r="M866" t="n">
        <x:v>43.932</x:v>
      </x:c>
      <x:c r="N866" t="str">
        <x:v>https://nccospublicstor.blob.core.windows.net/biomapper/usviinsularshelf2017/videos/low/GV2016_222.mp4</x:v>
      </x:c>
      <x:c r="O866" t="n">
        <x:v>0</x:v>
      </x:c>
      <x:c r="P866" t="n">
        <x:v>0</x:v>
      </x:c>
      <x:c r="Q866" t="n">
        <x:v>1</x:v>
      </x:c>
      <x:c r="R866" t="n">
        <x:v>1</x:v>
      </x:c>
      <x:c r="S866" t="n">
        <x:v>0</x:v>
      </x:c>
      <x:c r="T866" t="n">
        <x:v>0</x:v>
      </x:c>
      <x:c r="U866" t="n">
        <x:v>1</x:v>
      </x:c>
      <x:c r="V866" t="n">
        <x:v>1</x:v>
      </x:c>
      <x:c r="W866" t="n">
        <x:v>0</x:v>
      </x:c>
      <x:c r="X866" t="n">
        <x:v>0</x:v>
      </x:c>
      <x:c r="Y866" t="n">
        <x:v>0</x:v>
      </x:c>
      <x:c r="Z866" t="n">
        <x:v>2</x:v>
      </x:c>
      <x:c r="AA866" t="n">
        <x:v>2</x:v>
      </x:c>
      <x:c r="AB866" t="str">
        <x:v>Pass</x:v>
      </x:c>
      <x:c r="AC866" t="str"/>
      <x:c r="AD866" t="str"/>
    </x:row>
    <x:row r="867">
      <x:c r="A867" t="str">
        <x:v>REC0866</x:v>
      </x:c>
      <x:c r="B867" t="n">
        <x:v>865</x:v>
      </x:c>
      <x:c r="C867" t="str">
        <x:v>St. Thomas, USVI</x:v>
      </x:c>
      <x:c r="D867" t="str">
        <x:v>GV</x:v>
      </x:c>
      <x:c r="E867" t="str">
        <x:v>Ground Validation</x:v>
      </x:c>
      <x:c r="F867" t="str">
        <x:v>HD Seaviewer Drop Camera</x:v>
      </x:c>
      <x:c r="G867" t="str">
        <x:v>GV2016_223</x:v>
      </x:c>
      <x:c r="H867" s="28" t="n">
        <x:v>42608</x:v>
      </x:c>
      <x:c r="I867" t="str">
        <x:v>09:52:58</x:v>
      </x:c>
      <x:c r="J867" t="n">
        <x:v>2016</x:v>
      </x:c>
      <x:c r="K867" t="n">
        <x:v>18.21669052</x:v>
      </x:c>
      <x:c r="L867" t="n">
        <x:v>-64.96857995</x:v>
      </x:c>
      <x:c r="M867" t="n">
        <x:v>42.045</x:v>
      </x:c>
      <x:c r="N867" t="str">
        <x:v>https://nccospublicstor.blob.core.windows.net/biomapper/usviinsularshelf2017/videos/low/GV2016_223.mp4</x:v>
      </x:c>
      <x:c r="O867" t="n">
        <x:v>0</x:v>
      </x:c>
      <x:c r="P867" t="n">
        <x:v>0</x:v>
      </x:c>
      <x:c r="Q867" t="n">
        <x:v>1</x:v>
      </x:c>
      <x:c r="R867" t="n">
        <x:v>1</x:v>
      </x:c>
      <x:c r="S867" t="n">
        <x:v>0</x:v>
      </x:c>
      <x:c r="T867" t="n">
        <x:v>0</x:v>
      </x:c>
      <x:c r="U867" t="n">
        <x:v>1</x:v>
      </x:c>
      <x:c r="V867" t="n">
        <x:v>1</x:v>
      </x:c>
      <x:c r="W867" t="n">
        <x:v>0</x:v>
      </x:c>
      <x:c r="X867" t="n">
        <x:v>0</x:v>
      </x:c>
      <x:c r="Y867" t="n">
        <x:v>0</x:v>
      </x:c>
      <x:c r="Z867" t="n">
        <x:v>2</x:v>
      </x:c>
      <x:c r="AA867" t="n">
        <x:v>2</x:v>
      </x:c>
      <x:c r="AB867" t="str">
        <x:v>Pass</x:v>
      </x:c>
      <x:c r="AC867" t="str"/>
      <x:c r="AD867" t="str"/>
    </x:row>
    <x:row r="868">
      <x:c r="A868" t="str">
        <x:v>REC0867</x:v>
      </x:c>
      <x:c r="B868" t="n">
        <x:v>866</x:v>
      </x:c>
      <x:c r="C868" t="str">
        <x:v>St. Thomas, USVI</x:v>
      </x:c>
      <x:c r="D868" t="str">
        <x:v>GV</x:v>
      </x:c>
      <x:c r="E868" t="str">
        <x:v>Ground Validation</x:v>
      </x:c>
      <x:c r="F868" t="str">
        <x:v>HD Seaviewer Drop Camera</x:v>
      </x:c>
      <x:c r="G868" t="str">
        <x:v>GV2016_224</x:v>
      </x:c>
      <x:c r="H868" s="28" t="n">
        <x:v>42610</x:v>
      </x:c>
      <x:c r="I868" t="str">
        <x:v>10:57:45</x:v>
      </x:c>
      <x:c r="J868" t="n">
        <x:v>2016</x:v>
      </x:c>
      <x:c r="K868" t="n">
        <x:v>18.2084228</x:v>
      </x:c>
      <x:c r="L868" t="n">
        <x:v>-64.91050818</x:v>
      </x:c>
      <x:c r="M868" t="n">
        <x:v>43.269</x:v>
      </x:c>
      <x:c r="N868" t="str">
        <x:v>https://nccospublicstor.blob.core.windows.net/biomapper/usviinsularshelf2017/videos/low/GV2016_224.mp4</x:v>
      </x:c>
      <x:c r="O868" t="n">
        <x:v>1</x:v>
      </x:c>
      <x:c r="P868" t="n">
        <x:v>0</x:v>
      </x:c>
      <x:c r="Q868" t="n">
        <x:v>0</x:v>
      </x:c>
      <x:c r="R868" t="n">
        <x:v>1</x:v>
      </x:c>
      <x:c r="S868" t="n">
        <x:v>1</x:v>
      </x:c>
      <x:c r="T868" t="n">
        <x:v>1</x:v>
      </x:c>
      <x:c r="U868" t="n">
        <x:v>1</x:v>
      </x:c>
      <x:c r="V868" t="n">
        <x:v>1</x:v>
      </x:c>
      <x:c r="W868" t="n">
        <x:v>0</x:v>
      </x:c>
      <x:c r="X868" t="n">
        <x:v>0</x:v>
      </x:c>
      <x:c r="Y868" t="n">
        <x:v>0</x:v>
      </x:c>
      <x:c r="Z868" t="n">
        <x:v>2</x:v>
      </x:c>
      <x:c r="AA868" t="n">
        <x:v>4</x:v>
      </x:c>
      <x:c r="AB868" t="str">
        <x:v>Pass</x:v>
      </x:c>
      <x:c r="AC868" t="str"/>
      <x:c r="AD868" t="str"/>
    </x:row>
    <x:row r="869">
      <x:c r="A869" t="str">
        <x:v>REC0868</x:v>
      </x:c>
      <x:c r="B869" t="n">
        <x:v>867</x:v>
      </x:c>
      <x:c r="C869" t="str">
        <x:v>St. Thomas, USVI</x:v>
      </x:c>
      <x:c r="D869" t="str">
        <x:v>GV</x:v>
      </x:c>
      <x:c r="E869" t="str">
        <x:v>Ground Validation</x:v>
      </x:c>
      <x:c r="F869" t="str">
        <x:v>HD Seaviewer Drop Camera</x:v>
      </x:c>
      <x:c r="G869" t="str">
        <x:v>GV2016_225</x:v>
      </x:c>
      <x:c r="H869" s="28" t="n">
        <x:v>42613</x:v>
      </x:c>
      <x:c r="I869" t="str">
        <x:v>12:48:49</x:v>
      </x:c>
      <x:c r="J869" t="n">
        <x:v>2016</x:v>
      </x:c>
      <x:c r="K869" t="n">
        <x:v>18.28254864</x:v>
      </x:c>
      <x:c r="L869" t="n">
        <x:v>-64.81677747</x:v>
      </x:c>
      <x:c r="M869" t="n">
        <x:v>28.579</x:v>
      </x:c>
      <x:c r="N869" t="str">
        <x:v>https://nccospublicstor.blob.core.windows.net/biomapper/usviinsularshelf2017/videos/low/GV2016_225.mp4</x:v>
      </x:c>
      <x:c r="O869" t="n">
        <x:v>0</x:v>
      </x:c>
      <x:c r="P869" t="n">
        <x:v>0</x:v>
      </x:c>
      <x:c r="Q869" t="n">
        <x:v>1</x:v>
      </x:c>
      <x:c r="R869" t="n">
        <x:v>0</x:v>
      </x:c>
      <x:c r="S869" t="n">
        <x:v>0</x:v>
      </x:c>
      <x:c r="T869" t="n">
        <x:v>0</x:v>
      </x:c>
      <x:c r="U869" t="n">
        <x:v>1</x:v>
      </x:c>
      <x:c r="V869" t="n">
        <x:v>1</x:v>
      </x:c>
      <x:c r="W869" t="n">
        <x:v>0</x:v>
      </x:c>
      <x:c r="X869" t="n">
        <x:v>0</x:v>
      </x:c>
      <x:c r="Y869" t="n">
        <x:v>0</x:v>
      </x:c>
      <x:c r="Z869" t="n">
        <x:v>1</x:v>
      </x:c>
      <x:c r="AA869" t="n">
        <x:v>2</x:v>
      </x:c>
      <x:c r="AB869" t="str">
        <x:v>Pass</x:v>
      </x:c>
      <x:c r="AC869" t="str"/>
      <x:c r="AD869" t="str"/>
    </x:row>
    <x:row r="870">
      <x:c r="A870" t="str">
        <x:v>REC0869</x:v>
      </x:c>
      <x:c r="B870" t="n">
        <x:v>868</x:v>
      </x:c>
      <x:c r="C870" t="str">
        <x:v>St. John, USVI</x:v>
      </x:c>
      <x:c r="D870" t="str">
        <x:v>GV</x:v>
      </x:c>
      <x:c r="E870" t="str">
        <x:v>Ground Validation</x:v>
      </x:c>
      <x:c r="F870" t="str">
        <x:v>HD Seaviewer Drop Camera</x:v>
      </x:c>
      <x:c r="G870" t="str">
        <x:v>GV2016_226</x:v>
      </x:c>
      <x:c r="H870" s="28" t="n">
        <x:v>42624</x:v>
      </x:c>
      <x:c r="I870" t="str">
        <x:v>08:48:31</x:v>
      </x:c>
      <x:c r="J870" t="n">
        <x:v>2016</x:v>
      </x:c>
      <x:c r="K870" t="n">
        <x:v>18.27370419</x:v>
      </x:c>
      <x:c r="L870" t="n">
        <x:v>-64.74559472</x:v>
      </x:c>
      <x:c r="M870" t="n">
        <x:v>35.014</x:v>
      </x:c>
      <x:c r="N870" t="str">
        <x:v>https://nccospublicstor.blob.core.windows.net/biomapper/usviinsularshelf2017/videos/low/GV2016_226.mp4</x:v>
      </x:c>
      <x:c r="O870" t="n">
        <x:v>0</x:v>
      </x:c>
      <x:c r="P870" t="n">
        <x:v>0</x:v>
      </x:c>
      <x:c r="Q870" t="n">
        <x:v>0</x:v>
      </x:c>
      <x:c r="R870" t="n">
        <x:v>1</x:v>
      </x:c>
      <x:c r="S870" t="n">
        <x:v>0</x:v>
      </x:c>
      <x:c r="T870" t="n">
        <x:v>0</x:v>
      </x:c>
      <x:c r="U870" t="n">
        <x:v>1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1</x:v>
      </x:c>
      <x:c r="AA870" t="n">
        <x:v>1</x:v>
      </x:c>
      <x:c r="AB870" t="str">
        <x:v>Pass</x:v>
      </x:c>
      <x:c r="AC870" t="str"/>
      <x:c r="AD870" t="str"/>
    </x:row>
    <x:row r="871">
      <x:c r="A871" t="str">
        <x:v>REC0870</x:v>
      </x:c>
      <x:c r="B871" t="n">
        <x:v>869</x:v>
      </x:c>
      <x:c r="C871" t="str">
        <x:v>St. Thomas, USVI</x:v>
      </x:c>
      <x:c r="D871" t="str">
        <x:v>GV</x:v>
      </x:c>
      <x:c r="E871" t="str">
        <x:v>Ground Validation</x:v>
      </x:c>
      <x:c r="F871" t="str">
        <x:v>HD Seaviewer Drop Camera</x:v>
      </x:c>
      <x:c r="G871" t="str">
        <x:v>GV2016_227</x:v>
      </x:c>
      <x:c r="H871" s="28" t="n">
        <x:v>42609</x:v>
      </x:c>
      <x:c r="I871" t="str">
        <x:v>12:25:17</x:v>
      </x:c>
      <x:c r="J871" t="n">
        <x:v>2016</x:v>
      </x:c>
      <x:c r="K871" t="n">
        <x:v>18.25531682</x:v>
      </x:c>
      <x:c r="L871" t="n">
        <x:v>-64.99076121</x:v>
      </x:c>
      <x:c r="M871" t="n">
        <x:v>36.942</x:v>
      </x:c>
      <x:c r="N871" t="str">
        <x:v>https://nccospublicstor.blob.core.windows.net/biomapper/usviinsularshelf2017/videos/low/GV2016_227.mp4</x:v>
      </x:c>
      <x:c r="O871" t="n">
        <x:v>0</x:v>
      </x:c>
      <x:c r="P871" t="n">
        <x:v>0</x:v>
      </x:c>
      <x:c r="Q871" t="n">
        <x:v>1</x:v>
      </x:c>
      <x:c r="R871" t="n">
        <x:v>1</x:v>
      </x:c>
      <x:c r="S871" t="n">
        <x:v>0</x:v>
      </x:c>
      <x:c r="T871" t="n">
        <x:v>0</x:v>
      </x:c>
      <x:c r="U871" t="n">
        <x:v>1</x:v>
      </x:c>
      <x:c r="V871" t="n">
        <x:v>1</x:v>
      </x:c>
      <x:c r="W871" t="n">
        <x:v>0</x:v>
      </x:c>
      <x:c r="X871" t="n">
        <x:v>0</x:v>
      </x:c>
      <x:c r="Y871" t="n">
        <x:v>0</x:v>
      </x:c>
      <x:c r="Z871" t="n">
        <x:v>2</x:v>
      </x:c>
      <x:c r="AA871" t="n">
        <x:v>2</x:v>
      </x:c>
      <x:c r="AB871" t="str">
        <x:v>Pass</x:v>
      </x:c>
      <x:c r="AC871" t="str"/>
      <x:c r="AD871" t="str"/>
    </x:row>
    <x:row r="872">
      <x:c r="A872" t="str">
        <x:v>REC0871</x:v>
      </x:c>
      <x:c r="B872" t="n">
        <x:v>870</x:v>
      </x:c>
      <x:c r="C872" t="str">
        <x:v>St. John, USVI</x:v>
      </x:c>
      <x:c r="D872" t="str">
        <x:v>GV</x:v>
      </x:c>
      <x:c r="E872" t="str">
        <x:v>Ground Validation</x:v>
      </x:c>
      <x:c r="F872" t="str">
        <x:v>HD Seaviewer Drop Camera</x:v>
      </x:c>
      <x:c r="G872" t="str">
        <x:v>GV2016_228</x:v>
      </x:c>
      <x:c r="H872" s="28" t="n">
        <x:v>42629</x:v>
      </x:c>
      <x:c r="I872" t="str">
        <x:v>11:36:51</x:v>
      </x:c>
      <x:c r="J872" t="n">
        <x:v>2016</x:v>
      </x:c>
      <x:c r="K872" t="n">
        <x:v>18.18804045</x:v>
      </x:c>
      <x:c r="L872" t="n">
        <x:v>-64.78610328</x:v>
      </x:c>
      <x:c r="M872" t="n">
        <x:v>57.688</x:v>
      </x:c>
      <x:c r="N872" t="str">
        <x:v>https://nccospublicstor.blob.core.windows.net/biomapper/usviinsularshelf2017/videos/low/GV2016_228.mp4</x:v>
      </x:c>
      <x:c r="O872" t="n">
        <x:v>0</x:v>
      </x:c>
      <x:c r="P872" t="n">
        <x:v>0</x:v>
      </x:c>
      <x:c r="Q872" t="n">
        <x:v>1</x:v>
      </x:c>
      <x:c r="R872" t="n">
        <x:v>0</x:v>
      </x:c>
      <x:c r="S872" t="n">
        <x:v>0</x:v>
      </x:c>
      <x:c r="T872" t="n">
        <x:v>0</x:v>
      </x:c>
      <x:c r="U872" t="n">
        <x:v>1</x:v>
      </x:c>
      <x:c r="V872" t="n">
        <x:v>1</x:v>
      </x:c>
      <x:c r="W872" t="n">
        <x:v>0</x:v>
      </x:c>
      <x:c r="X872" t="n">
        <x:v>0</x:v>
      </x:c>
      <x:c r="Y872" t="n">
        <x:v>0</x:v>
      </x:c>
      <x:c r="Z872" t="n">
        <x:v>1</x:v>
      </x:c>
      <x:c r="AA872" t="n">
        <x:v>2</x:v>
      </x:c>
      <x:c r="AB872" t="str">
        <x:v>Pass</x:v>
      </x:c>
      <x:c r="AC872" t="str"/>
      <x:c r="AD872" t="str"/>
    </x:row>
    <x:row r="873">
      <x:c r="A873" t="str">
        <x:v>REC0872</x:v>
      </x:c>
      <x:c r="B873" t="n">
        <x:v>871</x:v>
      </x:c>
      <x:c r="C873" t="str">
        <x:v>St. Thomas, USVI</x:v>
      </x:c>
      <x:c r="D873" t="str">
        <x:v>GV</x:v>
      </x:c>
      <x:c r="E873" t="str">
        <x:v>Ground Validation</x:v>
      </x:c>
      <x:c r="F873" t="str">
        <x:v>HD Seaviewer Drop Camera</x:v>
      </x:c>
      <x:c r="G873" t="str">
        <x:v>GV2016_229</x:v>
      </x:c>
      <x:c r="H873" s="28" t="n">
        <x:v>42610</x:v>
      </x:c>
      <x:c r="I873" t="str">
        <x:v>12:59:50</x:v>
      </x:c>
      <x:c r="J873" t="n">
        <x:v>2016</x:v>
      </x:c>
      <x:c r="K873" t="n">
        <x:v>18.22329484</x:v>
      </x:c>
      <x:c r="L873" t="n">
        <x:v>-64.89727525</x:v>
      </x:c>
      <x:c r="M873" t="n">
        <x:v>44.487</x:v>
      </x:c>
      <x:c r="N873" t="str">
        <x:v>https://nccospublicstor.blob.core.windows.net/biomapper/usviinsularshelf2017/videos/low/GV2016_229.mp4</x:v>
      </x:c>
      <x:c r="O873" t="n">
        <x:v>1</x:v>
      </x:c>
      <x:c r="P873" t="n">
        <x:v>0</x:v>
      </x:c>
      <x:c r="Q873" t="n">
        <x:v>0</x:v>
      </x:c>
      <x:c r="R873" t="n">
        <x:v>0</x:v>
      </x:c>
      <x:c r="S873" t="n">
        <x:v>1</x:v>
      </x:c>
      <x:c r="T873" t="n">
        <x:v>0</x:v>
      </x:c>
      <x:c r="U873" t="n">
        <x:v>1</x:v>
      </x:c>
      <x:c r="V873" t="n">
        <x:v>1</x:v>
      </x:c>
      <x:c r="W873" t="n">
        <x:v>0</x:v>
      </x:c>
      <x:c r="X873" t="n">
        <x:v>0</x:v>
      </x:c>
      <x:c r="Y873" t="n">
        <x:v>0</x:v>
      </x:c>
      <x:c r="Z873" t="n">
        <x:v>1</x:v>
      </x:c>
      <x:c r="AA873" t="n">
        <x:v>3</x:v>
      </x:c>
      <x:c r="AB873" t="str">
        <x:v>Pass</x:v>
      </x:c>
      <x:c r="AC873" t="str"/>
      <x:c r="AD873" t="str"/>
    </x:row>
    <x:row r="874">
      <x:c r="A874" t="str">
        <x:v>REC0873</x:v>
      </x:c>
      <x:c r="B874" t="n">
        <x:v>872</x:v>
      </x:c>
      <x:c r="C874" t="str">
        <x:v>St. Thomas, USVI</x:v>
      </x:c>
      <x:c r="D874" t="str">
        <x:v>GV</x:v>
      </x:c>
      <x:c r="E874" t="str">
        <x:v>Ground Validation</x:v>
      </x:c>
      <x:c r="F874" t="str">
        <x:v>HD Seaviewer Drop Camera</x:v>
      </x:c>
      <x:c r="G874" t="str">
        <x:v>GV2016_230</x:v>
      </x:c>
      <x:c r="H874" s="28" t="n">
        <x:v>42611</x:v>
      </x:c>
      <x:c r="I874" t="str">
        <x:v>10:31:57</x:v>
      </x:c>
      <x:c r="J874" t="n">
        <x:v>2016</x:v>
      </x:c>
      <x:c r="K874" t="n">
        <x:v>18.25659344</x:v>
      </x:c>
      <x:c r="L874" t="n">
        <x:v>-64.87840683</x:v>
      </x:c>
      <x:c r="M874" t="n">
        <x:v>37.658</x:v>
      </x:c>
      <x:c r="N874" t="str">
        <x:v>https://nccospublicstor.blob.core.windows.net/biomapper/usviinsularshelf2017/videos/low/GV2016_230.mp4</x:v>
      </x:c>
      <x:c r="O874" t="n">
        <x:v>0</x:v>
      </x:c>
      <x:c r="P874" t="n">
        <x:v>0</x:v>
      </x:c>
      <x:c r="Q874" t="n">
        <x:v>1</x:v>
      </x:c>
      <x:c r="R874" t="n">
        <x:v>1</x:v>
      </x:c>
      <x:c r="S874" t="n">
        <x:v>0</x:v>
      </x:c>
      <x:c r="T874" t="n">
        <x:v>0</x:v>
      </x:c>
      <x:c r="U874" t="n">
        <x:v>1</x:v>
      </x:c>
      <x:c r="V874" t="n">
        <x:v>1</x:v>
      </x:c>
      <x:c r="W874" t="n">
        <x:v>0</x:v>
      </x:c>
      <x:c r="X874" t="n">
        <x:v>0</x:v>
      </x:c>
      <x:c r="Y874" t="n">
        <x:v>0</x:v>
      </x:c>
      <x:c r="Z874" t="n">
        <x:v>2</x:v>
      </x:c>
      <x:c r="AA874" t="n">
        <x:v>2</x:v>
      </x:c>
      <x:c r="AB874" t="str">
        <x:v>Pass</x:v>
      </x:c>
      <x:c r="AC874" t="str"/>
      <x:c r="AD874" t="str"/>
    </x:row>
    <x:row r="875">
      <x:c r="A875" t="str">
        <x:v>REC0874</x:v>
      </x:c>
      <x:c r="B875" t="n">
        <x:v>873</x:v>
      </x:c>
      <x:c r="C875" t="str">
        <x:v>St. Thomas, USVI</x:v>
      </x:c>
      <x:c r="D875" t="str">
        <x:v>GV</x:v>
      </x:c>
      <x:c r="E875" t="str">
        <x:v>Ground Validation</x:v>
      </x:c>
      <x:c r="F875" t="str">
        <x:v>HD Seaviewer Drop Camera</x:v>
      </x:c>
      <x:c r="G875" t="str">
        <x:v>GV2016_231</x:v>
      </x:c>
      <x:c r="H875" s="28" t="n">
        <x:v>42613</x:v>
      </x:c>
      <x:c r="I875" t="str">
        <x:v>08:39:32</x:v>
      </x:c>
      <x:c r="J875" t="n">
        <x:v>2016</x:v>
      </x:c>
      <x:c r="K875" t="n">
        <x:v>18.21982461</x:v>
      </x:c>
      <x:c r="L875" t="n">
        <x:v>-64.92148898</x:v>
      </x:c>
      <x:c r="M875" t="n">
        <x:v>44.077</x:v>
      </x:c>
      <x:c r="N875" t="str">
        <x:v>https://nccospublicstor.blob.core.windows.net/biomapper/usviinsularshelf2017/videos/low/GV2016_231.mp4</x:v>
      </x:c>
      <x:c r="O875" t="n">
        <x:v>0</x:v>
      </x:c>
      <x:c r="P875" t="n">
        <x:v>0</x:v>
      </x:c>
      <x:c r="Q875" t="n">
        <x:v>1</x:v>
      </x:c>
      <x:c r="R875" t="n">
        <x:v>1</x:v>
      </x:c>
      <x:c r="S875" t="n">
        <x:v>0</x:v>
      </x:c>
      <x:c r="T875" t="n">
        <x:v>0</x:v>
      </x:c>
      <x:c r="U875" t="n">
        <x:v>1</x:v>
      </x:c>
      <x:c r="V875" t="n">
        <x:v>1</x:v>
      </x:c>
      <x:c r="W875" t="n">
        <x:v>0</x:v>
      </x:c>
      <x:c r="X875" t="n">
        <x:v>0</x:v>
      </x:c>
      <x:c r="Y875" t="n">
        <x:v>0</x:v>
      </x:c>
      <x:c r="Z875" t="n">
        <x:v>2</x:v>
      </x:c>
      <x:c r="AA875" t="n">
        <x:v>2</x:v>
      </x:c>
      <x:c r="AB875" t="str">
        <x:v>Pass</x:v>
      </x:c>
      <x:c r="AC875" t="str"/>
      <x:c r="AD875" t="str"/>
    </x:row>
    <x:row r="876">
      <x:c r="A876" t="str">
        <x:v>REC0875</x:v>
      </x:c>
      <x:c r="B876" t="n">
        <x:v>874</x:v>
      </x:c>
      <x:c r="C876" t="str">
        <x:v>St. Thomas, USVI</x:v>
      </x:c>
      <x:c r="D876" t="str">
        <x:v>GV</x:v>
      </x:c>
      <x:c r="E876" t="str">
        <x:v>Ground Validation</x:v>
      </x:c>
      <x:c r="F876" t="str">
        <x:v>HD Seaviewer Drop Camera</x:v>
      </x:c>
      <x:c r="G876" t="str">
        <x:v>GV2016_232</x:v>
      </x:c>
      <x:c r="H876" s="28" t="n">
        <x:v>42622</x:v>
      </x:c>
      <x:c r="I876" t="str">
        <x:v>12:18:56</x:v>
      </x:c>
      <x:c r="J876" t="n">
        <x:v>2016</x:v>
      </x:c>
      <x:c r="K876" t="n">
        <x:v>18.24984848</x:v>
      </x:c>
      <x:c r="L876" t="n">
        <x:v>-64.85032383</x:v>
      </x:c>
      <x:c r="M876" t="n">
        <x:v>38.818</x:v>
      </x:c>
      <x:c r="N876" t="str">
        <x:v>https://nccospublicstor.blob.core.windows.net/biomapper/usviinsularshelf2017/videos/low/GV2016_232.mp4</x:v>
      </x:c>
      <x:c r="O876" t="n">
        <x:v>0</x:v>
      </x:c>
      <x:c r="P876" t="n">
        <x:v>0</x:v>
      </x:c>
      <x:c r="Q876" t="n">
        <x:v>1</x:v>
      </x:c>
      <x:c r="R876" t="n">
        <x:v>1</x:v>
      </x:c>
      <x:c r="S876" t="n">
        <x:v>0</x:v>
      </x:c>
      <x:c r="T876" t="n">
        <x:v>0</x:v>
      </x:c>
      <x:c r="U876" t="n">
        <x:v>1</x:v>
      </x:c>
      <x:c r="V876" t="n">
        <x:v>1</x:v>
      </x:c>
      <x:c r="W876" t="n">
        <x:v>0</x:v>
      </x:c>
      <x:c r="X876" t="n">
        <x:v>0</x:v>
      </x:c>
      <x:c r="Y876" t="n">
        <x:v>0</x:v>
      </x:c>
      <x:c r="Z876" t="n">
        <x:v>2</x:v>
      </x:c>
      <x:c r="AA876" t="n">
        <x:v>2</x:v>
      </x:c>
      <x:c r="AB876" t="str">
        <x:v>Pass</x:v>
      </x:c>
      <x:c r="AC876" t="str"/>
      <x:c r="AD876" t="str"/>
    </x:row>
    <x:row r="877">
      <x:c r="A877" t="str">
        <x:v>REC0876</x:v>
      </x:c>
      <x:c r="B877" t="n">
        <x:v>875</x:v>
      </x:c>
      <x:c r="C877" t="str">
        <x:v>Puerto Rico</x:v>
      </x:c>
      <x:c r="D877" t="str">
        <x:v>GV</x:v>
      </x:c>
      <x:c r="E877" t="str">
        <x:v>Ground Validation</x:v>
      </x:c>
      <x:c r="F877" t="str">
        <x:v>HD Seaviewer Drop Camera</x:v>
      </x:c>
      <x:c r="G877" t="str">
        <x:v>GV2016_234</x:v>
      </x:c>
      <x:c r="H877" s="28" t="n">
        <x:v>42605</x:v>
      </x:c>
      <x:c r="I877" t="str">
        <x:v>14:05:29</x:v>
      </x:c>
      <x:c r="J877" t="n">
        <x:v>2016</x:v>
      </x:c>
      <x:c r="K877" t="n">
        <x:v>18.16659784</x:v>
      </x:c>
      <x:c r="L877" t="n">
        <x:v>-65.19223672</x:v>
      </x:c>
      <x:c r="M877" t="n">
        <x:v>36.502</x:v>
      </x:c>
      <x:c r="N877" t="str">
        <x:v>https://nccospublicstor.blob.core.windows.net/biomapper/usviinsularshelf2017/videos/low/GV2016_234.mp4</x:v>
      </x:c>
      <x:c r="O877" t="n">
        <x:v>1</x:v>
      </x:c>
      <x:c r="P877" t="n">
        <x:v>0</x:v>
      </x:c>
      <x:c r="Q877" t="n">
        <x:v>0</x:v>
      </x:c>
      <x:c r="R877" t="n">
        <x:v>0</x:v>
      </x:c>
      <x:c r="S877" t="n">
        <x:v>1</x:v>
      </x:c>
      <x:c r="T877" t="n">
        <x:v>1</x:v>
      </x:c>
      <x:c r="U877" t="n">
        <x:v>1</x:v>
      </x:c>
      <x:c r="V877" t="n">
        <x:v>1</x:v>
      </x:c>
      <x:c r="W877" t="n">
        <x:v>0</x:v>
      </x:c>
      <x:c r="X877" t="n">
        <x:v>0</x:v>
      </x:c>
      <x:c r="Y877" t="n">
        <x:v>0</x:v>
      </x:c>
      <x:c r="Z877" t="n">
        <x:v>1</x:v>
      </x:c>
      <x:c r="AA877" t="n">
        <x:v>4</x:v>
      </x:c>
      <x:c r="AB877" t="str">
        <x:v>Pass</x:v>
      </x:c>
      <x:c r="AC877" t="str"/>
      <x:c r="AD877" t="str"/>
    </x:row>
    <x:row r="878">
      <x:c r="A878" t="str">
        <x:v>REC0877</x:v>
      </x:c>
      <x:c r="B878" t="n">
        <x:v>876</x:v>
      </x:c>
      <x:c r="C878" t="str">
        <x:v>St. Thomas, USVI</x:v>
      </x:c>
      <x:c r="D878" t="str">
        <x:v>GV</x:v>
      </x:c>
      <x:c r="E878" t="str">
        <x:v>Ground Validation</x:v>
      </x:c>
      <x:c r="F878" t="str">
        <x:v>HD Seaviewer Drop Camera</x:v>
      </x:c>
      <x:c r="G878" t="str">
        <x:v>GV2016_235</x:v>
      </x:c>
      <x:c r="H878" s="28" t="n">
        <x:v>42607</x:v>
      </x:c>
      <x:c r="I878" t="str">
        <x:v>14:57:28</x:v>
      </x:c>
      <x:c r="J878" t="n">
        <x:v>2016</x:v>
      </x:c>
      <x:c r="K878" t="n">
        <x:v>18.28340356</x:v>
      </x:c>
      <x:c r="L878" t="n">
        <x:v>-65.0547093</x:v>
      </x:c>
      <x:c r="M878" t="n">
        <x:v>33.161</x:v>
      </x:c>
      <x:c r="N878" t="str">
        <x:v>https://nccospublicstor.blob.core.windows.net/biomapper/usviinsularshelf2017/videos/low/GV2016_235.mp4</x:v>
      </x:c>
      <x:c r="O878" t="n">
        <x:v>0</x:v>
      </x:c>
      <x:c r="P878" t="n">
        <x:v>0</x:v>
      </x:c>
      <x:c r="Q878" t="n">
        <x:v>1</x:v>
      </x:c>
      <x:c r="R878" t="n">
        <x:v>1</x:v>
      </x:c>
      <x:c r="S878" t="n">
        <x:v>0</x:v>
      </x:c>
      <x:c r="T878" t="n">
        <x:v>0</x:v>
      </x:c>
      <x:c r="U878" t="n">
        <x:v>1</x:v>
      </x:c>
      <x:c r="V878" t="n">
        <x:v>1</x:v>
      </x:c>
      <x:c r="W878" t="n">
        <x:v>0</x:v>
      </x:c>
      <x:c r="X878" t="n">
        <x:v>0</x:v>
      </x:c>
      <x:c r="Y878" t="n">
        <x:v>0</x:v>
      </x:c>
      <x:c r="Z878" t="n">
        <x:v>2</x:v>
      </x:c>
      <x:c r="AA878" t="n">
        <x:v>2</x:v>
      </x:c>
      <x:c r="AB878" t="str">
        <x:v>Pass</x:v>
      </x:c>
      <x:c r="AC878" t="str"/>
      <x:c r="AD878" t="str"/>
    </x:row>
    <x:row r="879">
      <x:c r="A879" t="str">
        <x:v>REC0878</x:v>
      </x:c>
      <x:c r="B879" t="n">
        <x:v>877</x:v>
      </x:c>
      <x:c r="C879" t="str">
        <x:v>St. John, USVI</x:v>
      </x:c>
      <x:c r="D879" t="str">
        <x:v>GV</x:v>
      </x:c>
      <x:c r="E879" t="str">
        <x:v>Ground Validation</x:v>
      </x:c>
      <x:c r="F879" t="str">
        <x:v>HD Seaviewer Drop Camera</x:v>
      </x:c>
      <x:c r="G879" t="str">
        <x:v>GV2016_236</x:v>
      </x:c>
      <x:c r="H879" s="28" t="n">
        <x:v>42615</x:v>
      </x:c>
      <x:c r="I879" t="str">
        <x:v>11:24:44</x:v>
      </x:c>
      <x:c r="J879" t="n">
        <x:v>2016</x:v>
      </x:c>
      <x:c r="K879" t="n">
        <x:v>18.29793722</x:v>
      </x:c>
      <x:c r="L879" t="n">
        <x:v>-64.71068697</x:v>
      </x:c>
      <x:c r="M879" t="n">
        <x:v>25.981</x:v>
      </x:c>
      <x:c r="N879" t="str">
        <x:v>https://nccospublicstor.blob.core.windows.net/biomapper/usviinsularshelf2017/videos/low/GV2016_236.mp4</x:v>
      </x:c>
      <x:c r="O879" t="n">
        <x:v>0</x:v>
      </x:c>
      <x:c r="P879" t="n">
        <x:v>0</x:v>
      </x:c>
      <x:c r="Q879" t="n">
        <x:v>0</x:v>
      </x:c>
      <x:c r="R879" t="n">
        <x:v>1</x:v>
      </x:c>
      <x:c r="S879" t="n">
        <x:v>0</x:v>
      </x:c>
      <x:c r="T879" t="n">
        <x:v>0</x:v>
      </x:c>
      <x:c r="U879" t="n">
        <x:v>0</x:v>
      </x:c>
      <x:c r="V879" t="n">
        <x:v>1</x:v>
      </x:c>
      <x:c r="W879" t="n">
        <x:v>1</x:v>
      </x:c>
      <x:c r="X879" t="n">
        <x:v>0</x:v>
      </x:c>
      <x:c r="Y879" t="n">
        <x:v>0</x:v>
      </x:c>
      <x:c r="Z879" t="n">
        <x:v>1</x:v>
      </x:c>
      <x:c r="AA879" t="n">
        <x:v>1</x:v>
      </x:c>
      <x:c r="AB879" t="str">
        <x:v>Pass</x:v>
      </x:c>
      <x:c r="AC879" t="str"/>
      <x:c r="AD879" t="str"/>
    </x:row>
    <x:row r="880">
      <x:c r="A880" t="str">
        <x:v>REC0879</x:v>
      </x:c>
      <x:c r="B880" t="n">
        <x:v>878</x:v>
      </x:c>
      <x:c r="C880" t="str">
        <x:v>St. Thomas, USVI</x:v>
      </x:c>
      <x:c r="D880" t="str">
        <x:v>GV</x:v>
      </x:c>
      <x:c r="E880" t="str">
        <x:v>Ground Validation</x:v>
      </x:c>
      <x:c r="F880" t="str">
        <x:v>HD Seaviewer Drop Camera</x:v>
      </x:c>
      <x:c r="G880" t="str">
        <x:v>GV2016_237</x:v>
      </x:c>
      <x:c r="H880" s="28" t="n">
        <x:v>42609</x:v>
      </x:c>
      <x:c r="I880" t="str">
        <x:v>10:33:50</x:v>
      </x:c>
      <x:c r="J880" t="n">
        <x:v>2016</x:v>
      </x:c>
      <x:c r="K880" t="n">
        <x:v>18.24507526</x:v>
      </x:c>
      <x:c r="L880" t="n">
        <x:v>-65.05092428</x:v>
      </x:c>
      <x:c r="M880" t="n">
        <x:v>36.998</x:v>
      </x:c>
      <x:c r="N880" t="str">
        <x:v>https://nccospublicstor.blob.core.windows.net/biomapper/usviinsularshelf2017/videos/low/GV2016_237.mp4</x:v>
      </x:c>
      <x:c r="O880" t="n">
        <x:v>0</x:v>
      </x:c>
      <x:c r="P880" t="n">
        <x:v>1</x:v>
      </x:c>
      <x:c r="Q880" t="n">
        <x:v>0</x:v>
      </x:c>
      <x:c r="R880" t="n">
        <x:v>1</x:v>
      </x:c>
      <x:c r="S880" t="n">
        <x:v>1</x:v>
      </x:c>
      <x:c r="T880" t="n">
        <x:v>0</x:v>
      </x:c>
      <x:c r="U880" t="n">
        <x:v>1</x:v>
      </x:c>
      <x:c r="V880" t="n">
        <x:v>1</x:v>
      </x:c>
      <x:c r="W880" t="n">
        <x:v>0</x:v>
      </x:c>
      <x:c r="X880" t="n">
        <x:v>0</x:v>
      </x:c>
      <x:c r="Y880" t="n">
        <x:v>0</x:v>
      </x:c>
      <x:c r="Z880" t="n">
        <x:v>2</x:v>
      </x:c>
      <x:c r="AA880" t="n">
        <x:v>3</x:v>
      </x:c>
      <x:c r="AB880" t="str">
        <x:v>Pass</x:v>
      </x:c>
      <x:c r="AC880" t="str"/>
      <x:c r="AD880" t="str"/>
    </x:row>
    <x:row r="881">
      <x:c r="A881" t="str">
        <x:v>REC0880</x:v>
      </x:c>
      <x:c r="B881" t="n">
        <x:v>879</x:v>
      </x:c>
      <x:c r="C881" t="str">
        <x:v>St. John, USVI</x:v>
      </x:c>
      <x:c r="D881" t="str">
        <x:v>GV</x:v>
      </x:c>
      <x:c r="E881" t="str">
        <x:v>Ground Validation</x:v>
      </x:c>
      <x:c r="F881" t="str">
        <x:v>HD Seaviewer Drop Camera</x:v>
      </x:c>
      <x:c r="G881" t="str">
        <x:v>GV2016_238</x:v>
      </x:c>
      <x:c r="H881" s="28" t="n">
        <x:v>42625</x:v>
      </x:c>
      <x:c r="I881" t="str">
        <x:v>11:50:24</x:v>
      </x:c>
      <x:c r="J881" t="n">
        <x:v>2016</x:v>
      </x:c>
      <x:c r="K881" t="n">
        <x:v>18.2232336</x:v>
      </x:c>
      <x:c r="L881" t="n">
        <x:v>-64.70700153</x:v>
      </x:c>
      <x:c r="M881" t="n">
        <x:v>55.615</x:v>
      </x:c>
      <x:c r="N881" t="str">
        <x:v>https://nccospublicstor.blob.core.windows.net/biomapper/usviinsularshelf2017/videos/low/GV2016_238.mp4</x:v>
      </x:c>
      <x:c r="O881" t="n">
        <x:v>0</x:v>
      </x:c>
      <x:c r="P881" t="n">
        <x:v>1</x:v>
      </x:c>
      <x:c r="Q881" t="n">
        <x:v>0</x:v>
      </x:c>
      <x:c r="R881" t="n">
        <x:v>0</x:v>
      </x:c>
      <x:c r="S881" t="n">
        <x:v>1</x:v>
      </x:c>
      <x:c r="T881" t="n">
        <x:v>0</x:v>
      </x:c>
      <x:c r="U881" t="n">
        <x:v>1</x:v>
      </x:c>
      <x:c r="V881" t="n">
        <x:v>1</x:v>
      </x:c>
      <x:c r="W881" t="n">
        <x:v>0</x:v>
      </x:c>
      <x:c r="X881" t="n">
        <x:v>0</x:v>
      </x:c>
      <x:c r="Y881" t="n">
        <x:v>0</x:v>
      </x:c>
      <x:c r="Z881" t="n">
        <x:v>1</x:v>
      </x:c>
      <x:c r="AA881" t="n">
        <x:v>3</x:v>
      </x:c>
      <x:c r="AB881" t="str">
        <x:v>Pass</x:v>
      </x:c>
      <x:c r="AC881" t="str"/>
      <x:c r="AD881" t="str"/>
    </x:row>
    <x:row r="882">
      <x:c r="A882" t="str">
        <x:v>REC0881</x:v>
      </x:c>
      <x:c r="B882" t="n">
        <x:v>880</x:v>
      </x:c>
      <x:c r="C882" t="str">
        <x:v>St. John, USVI</x:v>
      </x:c>
      <x:c r="D882" t="str">
        <x:v>GV</x:v>
      </x:c>
      <x:c r="E882" t="str">
        <x:v>Ground Validation</x:v>
      </x:c>
      <x:c r="F882" t="str">
        <x:v>HD Seaviewer Drop Camera</x:v>
      </x:c>
      <x:c r="G882" t="str">
        <x:v>GV2016_239</x:v>
      </x:c>
      <x:c r="H882" s="28" t="n">
        <x:v>42613</x:v>
      </x:c>
      <x:c r="I882" t="str">
        <x:v>11:38:42</x:v>
      </x:c>
      <x:c r="J882" t="n">
        <x:v>2016</x:v>
      </x:c>
      <x:c r="K882" t="n">
        <x:v>18.29055657</x:v>
      </x:c>
      <x:c r="L882" t="n">
        <x:v>-64.8036626</x:v>
      </x:c>
      <x:c r="M882" t="n">
        <x:v>23.364</x:v>
      </x:c>
      <x:c r="N882" t="str">
        <x:v>https://nccospublicstor.blob.core.windows.net/biomapper/usviinsularshelf2017/videos/low/GV2016_239.mp4</x:v>
      </x:c>
      <x:c r="O882" t="n">
        <x:v>0</x:v>
      </x:c>
      <x:c r="P882" t="n">
        <x:v>1</x:v>
      </x:c>
      <x:c r="Q882" t="n">
        <x:v>0</x:v>
      </x:c>
      <x:c r="R882" t="n">
        <x:v>1</x:v>
      </x:c>
      <x:c r="S882" t="n">
        <x:v>1</x:v>
      </x:c>
      <x:c r="T882" t="n">
        <x:v>0</x:v>
      </x:c>
      <x:c r="U882" t="n">
        <x:v>1</x:v>
      </x:c>
      <x:c r="V882" t="n">
        <x:v>1</x:v>
      </x:c>
      <x:c r="W882" t="n">
        <x:v>0</x:v>
      </x:c>
      <x:c r="X882" t="n">
        <x:v>0</x:v>
      </x:c>
      <x:c r="Y882" t="n">
        <x:v>0</x:v>
      </x:c>
      <x:c r="Z882" t="n">
        <x:v>2</x:v>
      </x:c>
      <x:c r="AA882" t="n">
        <x:v>3</x:v>
      </x:c>
      <x:c r="AB882" t="str">
        <x:v>Pass</x:v>
      </x:c>
      <x:c r="AC882" t="str"/>
      <x:c r="AD882" t="str"/>
    </x:row>
    <x:row r="883">
      <x:c r="A883" t="str">
        <x:v>REC0882</x:v>
      </x:c>
      <x:c r="B883" t="n">
        <x:v>881</x:v>
      </x:c>
      <x:c r="C883" t="str">
        <x:v>St. John, USVI</x:v>
      </x:c>
      <x:c r="D883" t="str">
        <x:v>GV</x:v>
      </x:c>
      <x:c r="E883" t="str">
        <x:v>Ground Validation</x:v>
      </x:c>
      <x:c r="F883" t="str">
        <x:v>HD Seaviewer Drop Camera</x:v>
      </x:c>
      <x:c r="G883" t="str">
        <x:v>GV2016_240</x:v>
      </x:c>
      <x:c r="H883" s="28" t="n">
        <x:v>42630</x:v>
      </x:c>
      <x:c r="I883" t="str">
        <x:v>10:12:23</x:v>
      </x:c>
      <x:c r="J883" t="n">
        <x:v>2016</x:v>
      </x:c>
      <x:c r="K883" t="n">
        <x:v>18.21947267</x:v>
      </x:c>
      <x:c r="L883" t="n">
        <x:v>-64.73304548</x:v>
      </x:c>
      <x:c r="M883" t="n">
        <x:v>51.66</x:v>
      </x:c>
      <x:c r="N883" t="str">
        <x:v>https://nccospublicstor.blob.core.windows.net/biomapper/usviinsularshelf2017/videos/low/GV2016_240.mp4</x:v>
      </x:c>
      <x:c r="O883" t="n">
        <x:v>0</x:v>
      </x:c>
      <x:c r="P883" t="n">
        <x:v>1</x:v>
      </x:c>
      <x:c r="Q883" t="n">
        <x:v>1</x:v>
      </x:c>
      <x:c r="R883" t="n">
        <x:v>0</x:v>
      </x:c>
      <x:c r="S883" t="n">
        <x:v>1</x:v>
      </x:c>
      <x:c r="T883" t="n">
        <x:v>0</x:v>
      </x:c>
      <x:c r="U883" t="n">
        <x:v>1</x:v>
      </x:c>
      <x:c r="V883" t="n">
        <x:v>1</x:v>
      </x:c>
      <x:c r="W883" t="n">
        <x:v>0</x:v>
      </x:c>
      <x:c r="X883" t="n">
        <x:v>0</x:v>
      </x:c>
      <x:c r="Y883" t="n">
        <x:v>0</x:v>
      </x:c>
      <x:c r="Z883" t="n">
        <x:v>2</x:v>
      </x:c>
      <x:c r="AA883" t="n">
        <x:v>3</x:v>
      </x:c>
      <x:c r="AB883" t="str">
        <x:v>Pass</x:v>
      </x:c>
      <x:c r="AC883" t="str"/>
      <x:c r="AD883" t="str"/>
    </x:row>
    <x:row r="884">
      <x:c r="A884" t="str">
        <x:v>REC0883</x:v>
      </x:c>
      <x:c r="B884" t="n">
        <x:v>882</x:v>
      </x:c>
      <x:c r="C884" t="str">
        <x:v>St. Thomas, USVI</x:v>
      </x:c>
      <x:c r="D884" t="str">
        <x:v>GV</x:v>
      </x:c>
      <x:c r="E884" t="str">
        <x:v>Ground Validation</x:v>
      </x:c>
      <x:c r="F884" t="str">
        <x:v>HD Seaviewer Drop Camera</x:v>
      </x:c>
      <x:c r="G884" t="str">
        <x:v>GV2016_243</x:v>
      </x:c>
      <x:c r="H884" s="28" t="n">
        <x:v>42609</x:v>
      </x:c>
      <x:c r="I884" t="str">
        <x:v>11:38:09</x:v>
      </x:c>
      <x:c r="J884" t="n">
        <x:v>2016</x:v>
      </x:c>
      <x:c r="K884" t="n">
        <x:v>18.27420981</x:v>
      </x:c>
      <x:c r="L884" t="n">
        <x:v>-65.0342775</x:v>
      </x:c>
      <x:c r="M884" t="n">
        <x:v>32.386</x:v>
      </x:c>
      <x:c r="N884" t="str">
        <x:v>https://nccospublicstor.blob.core.windows.net/biomapper/usviinsularshelf2017/videos/low/GV2016_243.mp4</x:v>
      </x:c>
      <x:c r="O884" t="n">
        <x:v>0</x:v>
      </x:c>
      <x:c r="P884" t="n">
        <x:v>0</x:v>
      </x:c>
      <x:c r="Q884" t="n">
        <x:v>1</x:v>
      </x:c>
      <x:c r="R884" t="n">
        <x:v>0</x:v>
      </x:c>
      <x:c r="S884" t="n">
        <x:v>0</x:v>
      </x:c>
      <x:c r="T884" t="n">
        <x:v>0</x:v>
      </x:c>
      <x:c r="U884" t="n">
        <x:v>1</x:v>
      </x:c>
      <x:c r="V884" t="n">
        <x:v>1</x:v>
      </x:c>
      <x:c r="W884" t="n">
        <x:v>0</x:v>
      </x:c>
      <x:c r="X884" t="n">
        <x:v>0</x:v>
      </x:c>
      <x:c r="Y884" t="n">
        <x:v>0</x:v>
      </x:c>
      <x:c r="Z884" t="n">
        <x:v>1</x:v>
      </x:c>
      <x:c r="AA884" t="n">
        <x:v>2</x:v>
      </x:c>
      <x:c r="AB884" t="str">
        <x:v>Pass</x:v>
      </x:c>
      <x:c r="AC884" t="str"/>
      <x:c r="AD884" t="str"/>
    </x:row>
    <x:row r="885">
      <x:c r="A885" t="str">
        <x:v>REC0884</x:v>
      </x:c>
      <x:c r="B885" t="n">
        <x:v>883</x:v>
      </x:c>
      <x:c r="C885" t="str">
        <x:v>Puerto Rico</x:v>
      </x:c>
      <x:c r="D885" t="str">
        <x:v>GV</x:v>
      </x:c>
      <x:c r="E885" t="str">
        <x:v>Ground Validation</x:v>
      </x:c>
      <x:c r="F885" t="str">
        <x:v>HD Seaviewer Drop Camera</x:v>
      </x:c>
      <x:c r="G885" t="str">
        <x:v>GV2016_244</x:v>
      </x:c>
      <x:c r="H885" s="28" t="n">
        <x:v>42605</x:v>
      </x:c>
      <x:c r="I885" t="str">
        <x:v>10:20:52</x:v>
      </x:c>
      <x:c r="J885" t="n">
        <x:v>2016</x:v>
      </x:c>
      <x:c r="K885" t="n">
        <x:v>18.20357828</x:v>
      </x:c>
      <x:c r="L885" t="n">
        <x:v>-65.15839146</x:v>
      </x:c>
      <x:c r="M885" t="n">
        <x:v>38.58</x:v>
      </x:c>
      <x:c r="N885" t="str">
        <x:v>https://nccospublicstor.blob.core.windows.net/biomapper/usviinsularshelf2017/videos/low/GV2016_244.mp4</x:v>
      </x:c>
      <x:c r="O885" t="n">
        <x:v>1</x:v>
      </x:c>
      <x:c r="P885" t="n">
        <x:v>0</x:v>
      </x:c>
      <x:c r="Q885" t="n">
        <x:v>0</x:v>
      </x:c>
      <x:c r="R885" t="n">
        <x:v>0</x:v>
      </x:c>
      <x:c r="S885" t="n">
        <x:v>1</x:v>
      </x:c>
      <x:c r="T885" t="n">
        <x:v>0</x:v>
      </x:c>
      <x:c r="U885" t="n">
        <x:v>1</x:v>
      </x:c>
      <x:c r="V885" t="n">
        <x:v>1</x:v>
      </x:c>
      <x:c r="W885" t="n">
        <x:v>0</x:v>
      </x:c>
      <x:c r="X885" t="n">
        <x:v>0</x:v>
      </x:c>
      <x:c r="Y885" t="n">
        <x:v>0</x:v>
      </x:c>
      <x:c r="Z885" t="n">
        <x:v>1</x:v>
      </x:c>
      <x:c r="AA885" t="n">
        <x:v>3</x:v>
      </x:c>
      <x:c r="AB885" t="str">
        <x:v>Pass</x:v>
      </x:c>
      <x:c r="AC885" t="str"/>
      <x:c r="AD885" t="str"/>
    </x:row>
    <x:row r="886">
      <x:c r="A886" t="str">
        <x:v>REC0885</x:v>
      </x:c>
      <x:c r="B886" t="n">
        <x:v>884</x:v>
      </x:c>
      <x:c r="C886" t="str">
        <x:v>St. John, USVI</x:v>
      </x:c>
      <x:c r="D886" t="str">
        <x:v>GV</x:v>
      </x:c>
      <x:c r="E886" t="str">
        <x:v>Ground Validation</x:v>
      </x:c>
      <x:c r="F886" t="str">
        <x:v>HD Seaviewer Drop Camera</x:v>
      </x:c>
      <x:c r="G886" t="str">
        <x:v>GV2016_245</x:v>
      </x:c>
      <x:c r="H886" s="28" t="n">
        <x:v>42625</x:v>
      </x:c>
      <x:c r="I886" t="str">
        <x:v>11:17:56</x:v>
      </x:c>
      <x:c r="J886" t="n">
        <x:v>2016</x:v>
      </x:c>
      <x:c r="K886" t="n">
        <x:v>18.21477042</x:v>
      </x:c>
      <x:c r="L886" t="n">
        <x:v>-64.69227041</x:v>
      </x:c>
      <x:c r="M886" t="n">
        <x:v>45.146</x:v>
      </x:c>
      <x:c r="N886" t="str">
        <x:v>https://nccospublicstor.blob.core.windows.net/biomapper/usviinsularshelf2017/videos/low/GV2016_245.mp4</x:v>
      </x:c>
      <x:c r="O886" t="n">
        <x:v>0</x:v>
      </x:c>
      <x:c r="P886" t="n">
        <x:v>0</x:v>
      </x:c>
      <x:c r="Q886" t="n">
        <x:v>0</x:v>
      </x:c>
      <x:c r="R886" t="n">
        <x:v>1</x:v>
      </x:c>
      <x:c r="S886" t="n">
        <x:v>0</x:v>
      </x:c>
      <x:c r="T886" t="n">
        <x:v>0</x:v>
      </x:c>
      <x:c r="U886" t="n">
        <x:v>1</x:v>
      </x:c>
      <x:c r="V886" t="n">
        <x:v>1</x:v>
      </x:c>
      <x:c r="W886" t="n">
        <x:v>0</x:v>
      </x:c>
      <x:c r="X886" t="n">
        <x:v>0</x:v>
      </x:c>
      <x:c r="Y886" t="n">
        <x:v>0</x:v>
      </x:c>
      <x:c r="Z886" t="n">
        <x:v>1</x:v>
      </x:c>
      <x:c r="AA886" t="n">
        <x:v>2</x:v>
      </x:c>
      <x:c r="AB886" t="str">
        <x:v>Pass</x:v>
      </x:c>
      <x:c r="AC886" t="str"/>
      <x:c r="AD886" t="str">
        <x:v>large jack</x:v>
      </x:c>
    </x:row>
    <x:row r="887">
      <x:c r="A887" t="str">
        <x:v>REC0886</x:v>
      </x:c>
      <x:c r="B887" t="n">
        <x:v>885</x:v>
      </x:c>
      <x:c r="C887" t="str">
        <x:v>St. John, USVI</x:v>
      </x:c>
      <x:c r="D887" t="str">
        <x:v>GV</x:v>
      </x:c>
      <x:c r="E887" t="str">
        <x:v>Ground Validation</x:v>
      </x:c>
      <x:c r="F887" t="str">
        <x:v>HD Seaviewer Drop Camera</x:v>
      </x:c>
      <x:c r="G887" t="str">
        <x:v>GV2016_246</x:v>
      </x:c>
      <x:c r="H887" s="28" t="n">
        <x:v>42630</x:v>
      </x:c>
      <x:c r="I887" t="str">
        <x:v>08:33:44</x:v>
      </x:c>
      <x:c r="J887" t="n">
        <x:v>2016</x:v>
      </x:c>
      <x:c r="K887" t="n">
        <x:v>18.25346313</x:v>
      </x:c>
      <x:c r="L887" t="n">
        <x:v>-64.70240501</x:v>
      </x:c>
      <x:c r="M887" t="n">
        <x:v>47.056</x:v>
      </x:c>
      <x:c r="N887" t="str">
        <x:v>https://nccospublicstor.blob.core.windows.net/biomapper/usviinsularshelf2017/videos/low/GV2016_246.mp4</x:v>
      </x:c>
      <x:c r="O887" t="n">
        <x:v>0</x:v>
      </x:c>
      <x:c r="P887" t="n">
        <x:v>0</x:v>
      </x:c>
      <x:c r="Q887" t="n">
        <x:v>1</x:v>
      </x:c>
      <x:c r="R887" t="n">
        <x:v>0</x:v>
      </x:c>
      <x:c r="S887" t="n">
        <x:v>1</x:v>
      </x:c>
      <x:c r="T887" t="n">
        <x:v>0</x:v>
      </x:c>
      <x:c r="U887" t="n">
        <x:v>1</x:v>
      </x:c>
      <x:c r="V887" t="n">
        <x:v>1</x:v>
      </x:c>
      <x:c r="W887" t="n">
        <x:v>0</x:v>
      </x:c>
      <x:c r="X887" t="n">
        <x:v>0</x:v>
      </x:c>
      <x:c r="Y887" t="n">
        <x:v>0</x:v>
      </x:c>
      <x:c r="Z887" t="n">
        <x:v>1</x:v>
      </x:c>
      <x:c r="AA887" t="n">
        <x:v>3</x:v>
      </x:c>
      <x:c r="AB887" t="str">
        <x:v>Pass</x:v>
      </x:c>
      <x:c r="AC887" t="str"/>
      <x:c r="AD887" t="str"/>
    </x:row>
    <x:row r="888">
      <x:c r="A888" t="str">
        <x:v>REC0887</x:v>
      </x:c>
      <x:c r="B888" t="n">
        <x:v>886</x:v>
      </x:c>
      <x:c r="C888" t="str">
        <x:v>St. Thomas, USVI</x:v>
      </x:c>
      <x:c r="D888" t="str">
        <x:v>GV</x:v>
      </x:c>
      <x:c r="E888" t="str">
        <x:v>Ground Validation</x:v>
      </x:c>
      <x:c r="F888" t="str">
        <x:v>HD Seaviewer Drop Camera</x:v>
      </x:c>
      <x:c r="G888" t="str">
        <x:v>GV2016_247</x:v>
      </x:c>
      <x:c r="H888" s="28" t="n">
        <x:v>42622</x:v>
      </x:c>
      <x:c r="I888" t="str">
        <x:v>12:27:30</x:v>
      </x:c>
      <x:c r="J888" t="n">
        <x:v>2016</x:v>
      </x:c>
      <x:c r="K888" t="n">
        <x:v>18.24210011</x:v>
      </x:c>
      <x:c r="L888" t="n">
        <x:v>-64.84481427</x:v>
      </x:c>
      <x:c r="M888" t="n">
        <x:v>41.264</x:v>
      </x:c>
      <x:c r="N888" t="str">
        <x:v>https://nccospublicstor.blob.core.windows.net/biomapper/usviinsularshelf2017/videos/low/GV2016_247.mp4</x:v>
      </x:c>
      <x:c r="O888" t="n">
        <x:v>0</x:v>
      </x:c>
      <x:c r="P888" t="n">
        <x:v>0</x:v>
      </x:c>
      <x:c r="Q888" t="n">
        <x:v>1</x:v>
      </x:c>
      <x:c r="R888" t="n">
        <x:v>1</x:v>
      </x:c>
      <x:c r="S888" t="n">
        <x:v>0</x:v>
      </x:c>
      <x:c r="T888" t="n">
        <x:v>0</x:v>
      </x:c>
      <x:c r="U888" t="n">
        <x:v>1</x:v>
      </x:c>
      <x:c r="V888" t="n">
        <x:v>1</x:v>
      </x:c>
      <x:c r="W888" t="n">
        <x:v>0</x:v>
      </x:c>
      <x:c r="X888" t="n">
        <x:v>0</x:v>
      </x:c>
      <x:c r="Y888" t="n">
        <x:v>0</x:v>
      </x:c>
      <x:c r="Z888" t="n">
        <x:v>2</x:v>
      </x:c>
      <x:c r="AA888" t="n">
        <x:v>2</x:v>
      </x:c>
      <x:c r="AB888" t="str">
        <x:v>Pass</x:v>
      </x:c>
      <x:c r="AC888" t="str"/>
      <x:c r="AD888" t="str">
        <x:v>Shark at the bottom attrackted to the camera</x:v>
      </x:c>
    </x:row>
    <x:row r="889">
      <x:c r="A889" t="str">
        <x:v>REC0888</x:v>
      </x:c>
      <x:c r="B889" t="n">
        <x:v>887</x:v>
      </x:c>
      <x:c r="C889" t="str">
        <x:v>St. Thomas, USVI</x:v>
      </x:c>
      <x:c r="D889" t="str">
        <x:v>GV</x:v>
      </x:c>
      <x:c r="E889" t="str">
        <x:v>Ground Validation</x:v>
      </x:c>
      <x:c r="F889" t="str">
        <x:v>HD Seaviewer Drop Camera</x:v>
      </x:c>
      <x:c r="G889" t="str">
        <x:v>GV2016_248</x:v>
      </x:c>
      <x:c r="H889" s="28" t="n">
        <x:v>42611</x:v>
      </x:c>
      <x:c r="I889" t="str">
        <x:v>14:28:54</x:v>
      </x:c>
      <x:c r="J889" t="n">
        <x:v>2016</x:v>
      </x:c>
      <x:c r="K889" t="n">
        <x:v>18.2221725</x:v>
      </x:c>
      <x:c r="L889" t="n">
        <x:v>-64.99053939</x:v>
      </x:c>
      <x:c r="M889" t="n">
        <x:v>41.891</x:v>
      </x:c>
      <x:c r="N889" t="str">
        <x:v>https://nccospublicstor.blob.core.windows.net/biomapper/usviinsularshelf2017/videos/low/GV2016_248.mp4</x:v>
      </x:c>
      <x:c r="O889" t="n">
        <x:v>0</x:v>
      </x:c>
      <x:c r="P889" t="n">
        <x:v>0</x:v>
      </x:c>
      <x:c r="Q889" t="n">
        <x:v>1</x:v>
      </x:c>
      <x:c r="R889" t="n">
        <x:v>1</x:v>
      </x:c>
      <x:c r="S889" t="n">
        <x:v>0</x:v>
      </x:c>
      <x:c r="T889" t="n">
        <x:v>0</x:v>
      </x:c>
      <x:c r="U889" t="n">
        <x:v>1</x:v>
      </x:c>
      <x:c r="V889" t="n">
        <x:v>1</x:v>
      </x:c>
      <x:c r="W889" t="n">
        <x:v>0</x:v>
      </x:c>
      <x:c r="X889" t="n">
        <x:v>0</x:v>
      </x:c>
      <x:c r="Y889" t="n">
        <x:v>0</x:v>
      </x:c>
      <x:c r="Z889" t="n">
        <x:v>2</x:v>
      </x:c>
      <x:c r="AA889" t="n">
        <x:v>2</x:v>
      </x:c>
      <x:c r="AB889" t="str">
        <x:v>Pass</x:v>
      </x:c>
      <x:c r="AC889" t="str"/>
      <x:c r="AD889" t="str">
        <x:v>Queen Triggerfish</x:v>
      </x:c>
    </x:row>
    <x:row r="890">
      <x:c r="A890" t="str">
        <x:v>REC0889</x:v>
      </x:c>
      <x:c r="B890" t="n">
        <x:v>888</x:v>
      </x:c>
      <x:c r="C890" t="str">
        <x:v>St. Thomas, USVI</x:v>
      </x:c>
      <x:c r="D890" t="str">
        <x:v>GV</x:v>
      </x:c>
      <x:c r="E890" t="str">
        <x:v>Ground Validation</x:v>
      </x:c>
      <x:c r="F890" t="str">
        <x:v>HD Seaviewer Drop Camera</x:v>
      </x:c>
      <x:c r="G890" t="str">
        <x:v>GV2016_249</x:v>
      </x:c>
      <x:c r="H890" s="28" t="n">
        <x:v>42611</x:v>
      </x:c>
      <x:c r="I890" t="str">
        <x:v>10:01:46</x:v>
      </x:c>
      <x:c r="J890" t="n">
        <x:v>2016</x:v>
      </x:c>
      <x:c r="K890" t="n">
        <x:v>18.23571828</x:v>
      </x:c>
      <x:c r="L890" t="n">
        <x:v>-64.87469185</x:v>
      </x:c>
      <x:c r="M890" t="n">
        <x:v>42.638</x:v>
      </x:c>
      <x:c r="N890" t="str">
        <x:v>https://nccospublicstor.blob.core.windows.net/biomapper/usviinsularshelf2017/videos/low/GV2016_249.mp4</x:v>
      </x:c>
      <x:c r="O890" t="n">
        <x:v>0</x:v>
      </x:c>
      <x:c r="P890" t="n">
        <x:v>0</x:v>
      </x:c>
      <x:c r="Q890" t="n">
        <x:v>0</x:v>
      </x:c>
      <x:c r="R890" t="n">
        <x:v>1</x:v>
      </x:c>
      <x:c r="S890" t="n">
        <x:v>0</x:v>
      </x:c>
      <x:c r="T890" t="n">
        <x:v>0</x:v>
      </x:c>
      <x:c r="U890" t="n">
        <x:v>1</x:v>
      </x:c>
      <x:c r="V890" t="n">
        <x:v>1</x:v>
      </x:c>
      <x:c r="W890" t="n">
        <x:v>0</x:v>
      </x:c>
      <x:c r="X890" t="n">
        <x:v>0</x:v>
      </x:c>
      <x:c r="Y890" t="n">
        <x:v>0</x:v>
      </x:c>
      <x:c r="Z890" t="n">
        <x:v>1</x:v>
      </x:c>
      <x:c r="AA890" t="n">
        <x:v>2</x:v>
      </x:c>
      <x:c r="AB890" t="str">
        <x:v>Pass</x:v>
      </x:c>
      <x:c r="AC890" t="str"/>
      <x:c r="AD890" t="str"/>
    </x:row>
    <x:row r="891">
      <x:c r="A891" t="str">
        <x:v>REC0890</x:v>
      </x:c>
      <x:c r="B891" t="n">
        <x:v>889</x:v>
      </x:c>
      <x:c r="C891" t="str">
        <x:v>St. John, USVI</x:v>
      </x:c>
      <x:c r="D891" t="str">
        <x:v>GV</x:v>
      </x:c>
      <x:c r="E891" t="str">
        <x:v>Ground Validation</x:v>
      </x:c>
      <x:c r="F891" t="str">
        <x:v>HD Seaviewer Drop Camera</x:v>
      </x:c>
      <x:c r="G891" t="str">
        <x:v>GV2016_250</x:v>
      </x:c>
      <x:c r="H891" s="28" t="n">
        <x:v>42630</x:v>
      </x:c>
      <x:c r="I891" t="str">
        <x:v>06:52:41</x:v>
      </x:c>
      <x:c r="J891" t="n">
        <x:v>2016</x:v>
      </x:c>
      <x:c r="K891" t="n">
        <x:v>18.24757745</x:v>
      </x:c>
      <x:c r="L891" t="n">
        <x:v>-64.77445376</x:v>
      </x:c>
      <x:c r="M891" t="n">
        <x:v>46.159</x:v>
      </x:c>
      <x:c r="N891" t="str">
        <x:v>https://nccospublicstor.blob.core.windows.net/biomapper/usviinsularshelf2017/videos/low/GV2016_250.mp4</x:v>
      </x:c>
      <x:c r="O891" t="n">
        <x:v>0</x:v>
      </x:c>
      <x:c r="P891" t="n">
        <x:v>0</x:v>
      </x:c>
      <x:c r="Q891" t="n">
        <x:v>1</x:v>
      </x:c>
      <x:c r="R891" t="n">
        <x:v>0</x:v>
      </x:c>
      <x:c r="S891" t="n">
        <x:v>0</x:v>
      </x:c>
      <x:c r="T891" t="n">
        <x:v>0</x:v>
      </x:c>
      <x:c r="U891" t="n">
        <x:v>1</x:v>
      </x:c>
      <x:c r="V891" t="n">
        <x:v>1</x:v>
      </x:c>
      <x:c r="W891" t="n">
        <x:v>0</x:v>
      </x:c>
      <x:c r="X891" t="n">
        <x:v>0</x:v>
      </x:c>
      <x:c r="Y891" t="n">
        <x:v>0</x:v>
      </x:c>
      <x:c r="Z891" t="n">
        <x:v>1</x:v>
      </x:c>
      <x:c r="AA891" t="n">
        <x:v>2</x:v>
      </x:c>
      <x:c r="AB891" t="str">
        <x:v>Pass</x:v>
      </x:c>
      <x:c r="AC891" t="str"/>
      <x:c r="AD891" t="str"/>
    </x:row>
    <x:row r="892">
      <x:c r="A892" t="str">
        <x:v>REC0891</x:v>
      </x:c>
      <x:c r="B892" t="n">
        <x:v>890</x:v>
      </x:c>
      <x:c r="C892" t="str">
        <x:v>St. Thomas, USVI</x:v>
      </x:c>
      <x:c r="D892" t="str">
        <x:v>GV</x:v>
      </x:c>
      <x:c r="E892" t="str">
        <x:v>Ground Validation</x:v>
      </x:c>
      <x:c r="F892" t="str">
        <x:v>HD Seaviewer Drop Camera</x:v>
      </x:c>
      <x:c r="G892" t="str">
        <x:v>GV2016_251</x:v>
      </x:c>
      <x:c r="H892" s="28" t="n">
        <x:v>42609</x:v>
      </x:c>
      <x:c r="I892" t="str">
        <x:v>14:53:45</x:v>
      </x:c>
      <x:c r="J892" t="n">
        <x:v>2016</x:v>
      </x:c>
      <x:c r="K892" t="n">
        <x:v>18.25540858</x:v>
      </x:c>
      <x:c r="L892" t="n">
        <x:v>-65.0258804</x:v>
      </x:c>
      <x:c r="M892" t="n">
        <x:v>36.115</x:v>
      </x:c>
      <x:c r="N892" t="str">
        <x:v>https://nccospublicstor.blob.core.windows.net/biomapper/usviinsularshelf2017/videos/low/GV2016_251.mp4</x:v>
      </x:c>
      <x:c r="O892" t="n">
        <x:v>0</x:v>
      </x:c>
      <x:c r="P892" t="n">
        <x:v>0</x:v>
      </x:c>
      <x:c r="Q892" t="n">
        <x:v>1</x:v>
      </x:c>
      <x:c r="R892" t="n">
        <x:v>1</x:v>
      </x:c>
      <x:c r="S892" t="n">
        <x:v>0</x:v>
      </x:c>
      <x:c r="T892" t="n">
        <x:v>0</x:v>
      </x:c>
      <x:c r="U892" t="n">
        <x:v>1</x:v>
      </x:c>
      <x:c r="V892" t="n">
        <x:v>1</x:v>
      </x:c>
      <x:c r="W892" t="n">
        <x:v>0</x:v>
      </x:c>
      <x:c r="X892" t="n">
        <x:v>0</x:v>
      </x:c>
      <x:c r="Y892" t="n">
        <x:v>0</x:v>
      </x:c>
      <x:c r="Z892" t="n">
        <x:v>2</x:v>
      </x:c>
      <x:c r="AA892" t="n">
        <x:v>2</x:v>
      </x:c>
      <x:c r="AB892" t="str">
        <x:v>Pass</x:v>
      </x:c>
      <x:c r="AC892" t="str"/>
      <x:c r="AD892" t="str"/>
    </x:row>
    <x:row r="893">
      <x:c r="A893" t="str">
        <x:v>REC0892</x:v>
      </x:c>
      <x:c r="B893" t="n">
        <x:v>891</x:v>
      </x:c>
      <x:c r="C893" t="str">
        <x:v>St. Thomas, USVI</x:v>
      </x:c>
      <x:c r="D893" t="str">
        <x:v>GV</x:v>
      </x:c>
      <x:c r="E893" t="str">
        <x:v>Ground Validation</x:v>
      </x:c>
      <x:c r="F893" t="str">
        <x:v>HD Seaviewer Drop Camera</x:v>
      </x:c>
      <x:c r="G893" t="str">
        <x:v>GV2016_252</x:v>
      </x:c>
      <x:c r="H893" s="28" t="n">
        <x:v>42612</x:v>
      </x:c>
      <x:c r="I893" t="str">
        <x:v>11:22:36</x:v>
      </x:c>
      <x:c r="J893" t="n">
        <x:v>2016</x:v>
      </x:c>
      <x:c r="K893" t="n">
        <x:v>18.26597688</x:v>
      </x:c>
      <x:c r="L893" t="n">
        <x:v>-64.94790911</x:v>
      </x:c>
      <x:c r="M893" t="n">
        <x:v>33.383</x:v>
      </x:c>
      <x:c r="N893" t="str">
        <x:v>https://nccospublicstor.blob.core.windows.net/biomapper/usviinsularshelf2017/videos/low/GV2016_252.mp4</x:v>
      </x:c>
      <x:c r="O893" t="n">
        <x:v>0</x:v>
      </x:c>
      <x:c r="P893" t="n">
        <x:v>0</x:v>
      </x:c>
      <x:c r="Q893" t="n">
        <x:v>1</x:v>
      </x:c>
      <x:c r="R893" t="n">
        <x:v>1</x:v>
      </x:c>
      <x:c r="S893" t="n">
        <x:v>0</x:v>
      </x:c>
      <x:c r="T893" t="n">
        <x:v>0</x:v>
      </x:c>
      <x:c r="U893" t="n">
        <x:v>1</x:v>
      </x:c>
      <x:c r="V893" t="n">
        <x:v>1</x:v>
      </x:c>
      <x:c r="W893" t="n">
        <x:v>0</x:v>
      </x:c>
      <x:c r="X893" t="n">
        <x:v>0</x:v>
      </x:c>
      <x:c r="Y893" t="n">
        <x:v>0</x:v>
      </x:c>
      <x:c r="Z893" t="n">
        <x:v>2</x:v>
      </x:c>
      <x:c r="AA893" t="n">
        <x:v>2</x:v>
      </x:c>
      <x:c r="AB893" t="str">
        <x:v>Pass</x:v>
      </x:c>
      <x:c r="AC893" t="str"/>
      <x:c r="AD893" t="str"/>
    </x:row>
    <x:row r="894">
      <x:c r="A894" t="str">
        <x:v>REC0893</x:v>
      </x:c>
      <x:c r="B894" t="n">
        <x:v>892</x:v>
      </x:c>
      <x:c r="C894" t="str">
        <x:v>St. Thomas, USVI</x:v>
      </x:c>
      <x:c r="D894" t="str">
        <x:v>GV</x:v>
      </x:c>
      <x:c r="E894" t="str">
        <x:v>Ground Validation</x:v>
      </x:c>
      <x:c r="F894" t="str">
        <x:v>HD Seaviewer Drop Camera</x:v>
      </x:c>
      <x:c r="G894" t="str">
        <x:v>GV2016_253</x:v>
      </x:c>
      <x:c r="H894" s="28" t="n">
        <x:v>42610</x:v>
      </x:c>
      <x:c r="I894" t="str">
        <x:v>10:43:13</x:v>
      </x:c>
      <x:c r="J894" t="n">
        <x:v>2016</x:v>
      </x:c>
      <x:c r="K894" t="n">
        <x:v>18.21535274</x:v>
      </x:c>
      <x:c r="L894" t="n">
        <x:v>-64.91217186</x:v>
      </x:c>
      <x:c r="M894" t="n">
        <x:v>43.537</x:v>
      </x:c>
      <x:c r="N894" t="str">
        <x:v>https://nccospublicstor.blob.core.windows.net/biomapper/usviinsularshelf2017/videos/low/GV2016_253.mp4</x:v>
      </x:c>
      <x:c r="O894" t="n">
        <x:v>1</x:v>
      </x:c>
      <x:c r="P894" t="n">
        <x:v>0</x:v>
      </x:c>
      <x:c r="Q894" t="n">
        <x:v>0</x:v>
      </x:c>
      <x:c r="R894" t="n">
        <x:v>1</x:v>
      </x:c>
      <x:c r="S894" t="n">
        <x:v>1</x:v>
      </x:c>
      <x:c r="T894" t="n">
        <x:v>1</x:v>
      </x:c>
      <x:c r="U894" t="n">
        <x:v>1</x:v>
      </x:c>
      <x:c r="V894" t="n">
        <x:v>1</x:v>
      </x:c>
      <x:c r="W894" t="n">
        <x:v>0</x:v>
      </x:c>
      <x:c r="X894" t="n">
        <x:v>0</x:v>
      </x:c>
      <x:c r="Y894" t="n">
        <x:v>0</x:v>
      </x:c>
      <x:c r="Z894" t="n">
        <x:v>2</x:v>
      </x:c>
      <x:c r="AA894" t="n">
        <x:v>4</x:v>
      </x:c>
      <x:c r="AB894" t="str">
        <x:v>Pass</x:v>
      </x:c>
      <x:c r="AC894" t="str"/>
      <x:c r="AD894" t="str"/>
    </x:row>
    <x:row r="895">
      <x:c r="A895" t="str">
        <x:v>REC0894</x:v>
      </x:c>
      <x:c r="B895" t="n">
        <x:v>893</x:v>
      </x:c>
      <x:c r="C895" t="str">
        <x:v>St. John, USVI</x:v>
      </x:c>
      <x:c r="D895" t="str">
        <x:v>GV</x:v>
      </x:c>
      <x:c r="E895" t="str">
        <x:v>Ground Validation</x:v>
      </x:c>
      <x:c r="F895" t="str">
        <x:v>HD Seaviewer Drop Camera</x:v>
      </x:c>
      <x:c r="G895" t="str">
        <x:v>GV2016_254</x:v>
      </x:c>
      <x:c r="H895" s="28" t="n">
        <x:v>42613</x:v>
      </x:c>
      <x:c r="I895" t="str">
        <x:v>11:46:30</x:v>
      </x:c>
      <x:c r="J895" t="n">
        <x:v>2016</x:v>
      </x:c>
      <x:c r="K895" t="n">
        <x:v>18.27861803</x:v>
      </x:c>
      <x:c r="L895" t="n">
        <x:v>-64.8029545</x:v>
      </x:c>
      <x:c r="M895" t="n">
        <x:v>33.081</x:v>
      </x:c>
      <x:c r="N895" t="str">
        <x:v>https://nccospublicstor.blob.core.windows.net/biomapper/usviinsularshelf2017/videos/low/GV2016_254.mp4</x:v>
      </x:c>
      <x:c r="O895" t="n">
        <x:v>0</x:v>
      </x:c>
      <x:c r="P895" t="n">
        <x:v>1</x:v>
      </x:c>
      <x:c r="Q895" t="n">
        <x:v>1</x:v>
      </x:c>
      <x:c r="R895" t="n">
        <x:v>0</x:v>
      </x:c>
      <x:c r="S895" t="n">
        <x:v>0</x:v>
      </x:c>
      <x:c r="T895" t="n">
        <x:v>0</x:v>
      </x:c>
      <x:c r="U895" t="n">
        <x:v>1</x:v>
      </x:c>
      <x:c r="V895" t="n">
        <x:v>1</x:v>
      </x:c>
      <x:c r="W895" t="n">
        <x:v>0</x:v>
      </x:c>
      <x:c r="X895" t="n">
        <x:v>0</x:v>
      </x:c>
      <x:c r="Y895" t="n">
        <x:v>0</x:v>
      </x:c>
      <x:c r="Z895" t="n">
        <x:v>2</x:v>
      </x:c>
      <x:c r="AA895" t="n">
        <x:v>2</x:v>
      </x:c>
      <x:c r="AB895" t="str">
        <x:v>Pass</x:v>
      </x:c>
      <x:c r="AC895" t="str"/>
      <x:c r="AD895" t="str"/>
    </x:row>
    <x:row r="896">
      <x:c r="A896" t="str">
        <x:v>REC0895</x:v>
      </x:c>
      <x:c r="B896" t="n">
        <x:v>894</x:v>
      </x:c>
      <x:c r="C896" t="str">
        <x:v>St. Thomas, USVI</x:v>
      </x:c>
      <x:c r="D896" t="str">
        <x:v>GV</x:v>
      </x:c>
      <x:c r="E896" t="str">
        <x:v>Ground Validation</x:v>
      </x:c>
      <x:c r="F896" t="str">
        <x:v>HD Seaviewer Drop Camera</x:v>
      </x:c>
      <x:c r="G896" t="str">
        <x:v>GV2016_255</x:v>
      </x:c>
      <x:c r="H896" s="28" t="n">
        <x:v>42612</x:v>
      </x:c>
      <x:c r="I896" t="str">
        <x:v>13:47:48</x:v>
      </x:c>
      <x:c r="J896" t="n">
        <x:v>2016</x:v>
      </x:c>
      <x:c r="K896" t="n">
        <x:v>18.28525511</x:v>
      </x:c>
      <x:c r="L896" t="n">
        <x:v>-64.83086865</x:v>
      </x:c>
      <x:c r="M896" t="n">
        <x:v>27.484</x:v>
      </x:c>
      <x:c r="N896" t="str">
        <x:v>https://nccospublicstor.blob.core.windows.net/biomapper/usviinsularshelf2017/videos/low/GV2016_255.mp4</x:v>
      </x:c>
      <x:c r="O896" t="n">
        <x:v>0</x:v>
      </x:c>
      <x:c r="P896" t="n">
        <x:v>0</x:v>
      </x:c>
      <x:c r="Q896" t="n">
        <x:v>1</x:v>
      </x:c>
      <x:c r="R896" t="n">
        <x:v>1</x:v>
      </x:c>
      <x:c r="S896" t="n">
        <x:v>0</x:v>
      </x:c>
      <x:c r="T896" t="n">
        <x:v>0</x:v>
      </x:c>
      <x:c r="U896" t="n">
        <x:v>1</x:v>
      </x:c>
      <x:c r="V896" t="n">
        <x:v>1</x:v>
      </x:c>
      <x:c r="W896" t="n">
        <x:v>0</x:v>
      </x:c>
      <x:c r="X896" t="n">
        <x:v>1</x:v>
      </x:c>
      <x:c r="Y896" t="n">
        <x:v>0</x:v>
      </x:c>
      <x:c r="Z896" t="n">
        <x:v>2</x:v>
      </x:c>
      <x:c r="AA896" t="n">
        <x:v>2</x:v>
      </x:c>
      <x:c r="AB896" t="str">
        <x:v>Pass</x:v>
      </x:c>
      <x:c r="AC896" t="str"/>
      <x:c r="AD896" t="str">
        <x:v>Derelict trap, queen trigger, baracuda, bar jack</x:v>
      </x:c>
    </x:row>
    <x:row r="897">
      <x:c r="A897" t="str">
        <x:v>REC0896</x:v>
      </x:c>
      <x:c r="B897" t="n">
        <x:v>895</x:v>
      </x:c>
      <x:c r="C897" t="str">
        <x:v>St. Thomas, USVI</x:v>
      </x:c>
      <x:c r="D897" t="str">
        <x:v>GV</x:v>
      </x:c>
      <x:c r="E897" t="str">
        <x:v>Ground Validation</x:v>
      </x:c>
      <x:c r="F897" t="str">
        <x:v>HD Seaviewer Drop Camera</x:v>
      </x:c>
      <x:c r="G897" t="str">
        <x:v>GV2016_256</x:v>
      </x:c>
      <x:c r="H897" s="28" t="n">
        <x:v>42602</x:v>
      </x:c>
      <x:c r="I897" t="str">
        <x:v>11:57:02</x:v>
      </x:c>
      <x:c r="J897" t="n">
        <x:v>2016</x:v>
      </x:c>
      <x:c r="K897" t="n">
        <x:v>18.27111612</x:v>
      </x:c>
      <x:c r="L897" t="n">
        <x:v>-65.07417227</x:v>
      </x:c>
      <x:c r="M897" t="n">
        <x:v>34.295</x:v>
      </x:c>
      <x:c r="N897" t="str">
        <x:v>https://nccospublicstor.blob.core.windows.net/biomapper/usviinsularshelf2017/videos/low/GV2016_256.mp4</x:v>
      </x:c>
      <x:c r="O897" t="n">
        <x:v>0</x:v>
      </x:c>
      <x:c r="P897" t="n">
        <x:v>0</x:v>
      </x:c>
      <x:c r="Q897" t="n">
        <x:v>1</x:v>
      </x:c>
      <x:c r="R897" t="n">
        <x:v>0</x:v>
      </x:c>
      <x:c r="S897" t="n">
        <x:v>0</x:v>
      </x:c>
      <x:c r="T897" t="n">
        <x:v>0</x:v>
      </x:c>
      <x:c r="U897" t="n">
        <x:v>1</x:v>
      </x:c>
      <x:c r="V897" t="n">
        <x:v>1</x:v>
      </x:c>
      <x:c r="W897" t="n">
        <x:v>0</x:v>
      </x:c>
      <x:c r="X897" t="n">
        <x:v>0</x:v>
      </x:c>
      <x:c r="Y897" t="n">
        <x:v>0</x:v>
      </x:c>
      <x:c r="Z897" t="n">
        <x:v>1</x:v>
      </x:c>
      <x:c r="AA897" t="n">
        <x:v>2</x:v>
      </x:c>
      <x:c r="AB897" t="str">
        <x:v>Pass</x:v>
      </x:c>
      <x:c r="AC897" t="str"/>
      <x:c r="AD897" t="str"/>
    </x:row>
    <x:row r="898">
      <x:c r="A898" t="str">
        <x:v>REC0897</x:v>
      </x:c>
      <x:c r="B898" t="n">
        <x:v>896</x:v>
      </x:c>
      <x:c r="C898" t="str">
        <x:v>St. Thomas, USVI</x:v>
      </x:c>
      <x:c r="D898" t="str">
        <x:v>GV</x:v>
      </x:c>
      <x:c r="E898" t="str">
        <x:v>Ground Validation</x:v>
      </x:c>
      <x:c r="F898" t="str">
        <x:v>HD Seaviewer Drop Camera</x:v>
      </x:c>
      <x:c r="G898" t="str">
        <x:v>GV2016_257</x:v>
      </x:c>
      <x:c r="H898" s="28" t="n">
        <x:v>42609</x:v>
      </x:c>
      <x:c r="I898" t="str">
        <x:v>13:37:11</x:v>
      </x:c>
      <x:c r="J898" t="n">
        <x:v>2016</x:v>
      </x:c>
      <x:c r="K898" t="n">
        <x:v>18.2246997</x:v>
      </x:c>
      <x:c r="L898" t="n">
        <x:v>-65.01628978</x:v>
      </x:c>
      <x:c r="M898" t="n">
        <x:v>40.584</x:v>
      </x:c>
      <x:c r="N898" t="str">
        <x:v>https://nccospublicstor.blob.core.windows.net/biomapper/usviinsularshelf2017/videos/low/GV2016_257.mp4</x:v>
      </x:c>
      <x:c r="O898" t="n">
        <x:v>0</x:v>
      </x:c>
      <x:c r="P898" t="n">
        <x:v>0</x:v>
      </x:c>
      <x:c r="Q898" t="n">
        <x:v>1</x:v>
      </x:c>
      <x:c r="R898" t="n">
        <x:v>1</x:v>
      </x:c>
      <x:c r="S898" t="n">
        <x:v>0</x:v>
      </x:c>
      <x:c r="T898" t="n">
        <x:v>0</x:v>
      </x:c>
      <x:c r="U898" t="n">
        <x:v>1</x:v>
      </x:c>
      <x:c r="V898" t="n">
        <x:v>1</x:v>
      </x:c>
      <x:c r="W898" t="n">
        <x:v>0</x:v>
      </x:c>
      <x:c r="X898" t="n">
        <x:v>0</x:v>
      </x:c>
      <x:c r="Y898" t="n">
        <x:v>0</x:v>
      </x:c>
      <x:c r="Z898" t="n">
        <x:v>2</x:v>
      </x:c>
      <x:c r="AA898" t="n">
        <x:v>2</x:v>
      </x:c>
      <x:c r="AB898" t="str">
        <x:v>Pass</x:v>
      </x:c>
      <x:c r="AC898" t="str"/>
      <x:c r="AD898" t="str"/>
    </x:row>
    <x:row r="899">
      <x:c r="A899" t="str">
        <x:v>REC0898</x:v>
      </x:c>
      <x:c r="B899" t="n">
        <x:v>897</x:v>
      </x:c>
      <x:c r="C899" t="str">
        <x:v>St. John, USVI</x:v>
      </x:c>
      <x:c r="D899" t="str">
        <x:v>GV</x:v>
      </x:c>
      <x:c r="E899" t="str">
        <x:v>Ground Validation</x:v>
      </x:c>
      <x:c r="F899" t="str">
        <x:v>HD Seaviewer Drop Camera</x:v>
      </x:c>
      <x:c r="G899" t="str">
        <x:v>GV2016_258</x:v>
      </x:c>
      <x:c r="H899" s="28" t="n">
        <x:v>42613</x:v>
      </x:c>
      <x:c r="I899" t="str">
        <x:v>10:27:27</x:v>
      </x:c>
      <x:c r="J899" t="n">
        <x:v>2016</x:v>
      </x:c>
      <x:c r="K899" t="n">
        <x:v>18.29083255</x:v>
      </x:c>
      <x:c r="L899" t="n">
        <x:v>-64.79170089</x:v>
      </x:c>
      <x:c r="M899" t="n">
        <x:v>31.2</x:v>
      </x:c>
      <x:c r="N899" t="str">
        <x:v>https://nccospublicstor.blob.core.windows.net/biomapper/usviinsularshelf2017/videos/low/GV2016_258.mp4</x:v>
      </x:c>
      <x:c r="O899" t="n">
        <x:v>0</x:v>
      </x:c>
      <x:c r="P899" t="n">
        <x:v>1</x:v>
      </x:c>
      <x:c r="Q899" t="n">
        <x:v>1</x:v>
      </x:c>
      <x:c r="R899" t="n">
        <x:v>0</x:v>
      </x:c>
      <x:c r="S899" t="n">
        <x:v>0</x:v>
      </x:c>
      <x:c r="T899" t="n">
        <x:v>0</x:v>
      </x:c>
      <x:c r="U899" t="n">
        <x:v>1</x:v>
      </x:c>
      <x:c r="V899" t="n">
        <x:v>1</x:v>
      </x:c>
      <x:c r="W899" t="n">
        <x:v>0</x:v>
      </x:c>
      <x:c r="X899" t="n">
        <x:v>0</x:v>
      </x:c>
      <x:c r="Y899" t="n">
        <x:v>0</x:v>
      </x:c>
      <x:c r="Z899" t="n">
        <x:v>2</x:v>
      </x:c>
      <x:c r="AA899" t="n">
        <x:v>2</x:v>
      </x:c>
      <x:c r="AB899" t="str">
        <x:v>Pass</x:v>
      </x:c>
      <x:c r="AC899" t="str"/>
      <x:c r="AD899" t="str"/>
    </x:row>
    <x:row r="900">
      <x:c r="A900" t="str">
        <x:v>REC0899</x:v>
      </x:c>
      <x:c r="B900" t="n">
        <x:v>898</x:v>
      </x:c>
      <x:c r="C900" t="str">
        <x:v>Puerto Rico</x:v>
      </x:c>
      <x:c r="D900" t="str">
        <x:v>GV</x:v>
      </x:c>
      <x:c r="E900" t="str">
        <x:v>Ground Validation</x:v>
      </x:c>
      <x:c r="F900" t="str">
        <x:v>HD Seaviewer Drop Camera</x:v>
      </x:c>
      <x:c r="G900" t="str">
        <x:v>GV2016_259</x:v>
      </x:c>
      <x:c r="H900" s="28" t="n">
        <x:v>42605</x:v>
      </x:c>
      <x:c r="I900" t="str">
        <x:v>14:35:52</x:v>
      </x:c>
      <x:c r="J900" t="n">
        <x:v>2016</x:v>
      </x:c>
      <x:c r="K900" t="n">
        <x:v>18.22227247</x:v>
      </x:c>
      <x:c r="L900" t="n">
        <x:v>-65.16690498</x:v>
      </x:c>
      <x:c r="M900" t="n">
        <x:v>33.896</x:v>
      </x:c>
      <x:c r="N900" t="str">
        <x:v>https://nccospublicstor.blob.core.windows.net/biomapper/usviinsularshelf2017/videos/low/GV2016_259.mp4</x:v>
      </x:c>
      <x:c r="O900" t="n">
        <x:v>1</x:v>
      </x:c>
      <x:c r="P900" t="n">
        <x:v>0</x:v>
      </x:c>
      <x:c r="Q900" t="n">
        <x:v>0</x:v>
      </x:c>
      <x:c r="R900" t="n">
        <x:v>0</x:v>
      </x:c>
      <x:c r="S900" t="n">
        <x:v>1</x:v>
      </x:c>
      <x:c r="T900" t="n">
        <x:v>0</x:v>
      </x:c>
      <x:c r="U900" t="n">
        <x:v>1</x:v>
      </x:c>
      <x:c r="V900" t="n">
        <x:v>1</x:v>
      </x:c>
      <x:c r="W900" t="n">
        <x:v>0</x:v>
      </x:c>
      <x:c r="X900" t="n">
        <x:v>0</x:v>
      </x:c>
      <x:c r="Y900" t="n">
        <x:v>0</x:v>
      </x:c>
      <x:c r="Z900" t="n">
        <x:v>1</x:v>
      </x:c>
      <x:c r="AA900" t="n">
        <x:v>3</x:v>
      </x:c>
      <x:c r="AB900" t="str">
        <x:v>Pass</x:v>
      </x:c>
      <x:c r="AC900" t="str"/>
      <x:c r="AD900" t="str"/>
    </x:row>
    <x:row r="901">
      <x:c r="A901" t="str">
        <x:v>REC0900</x:v>
      </x:c>
      <x:c r="B901" t="n">
        <x:v>899</x:v>
      </x:c>
      <x:c r="C901" t="str">
        <x:v>St. John, USVI</x:v>
      </x:c>
      <x:c r="D901" t="str">
        <x:v>GV</x:v>
      </x:c>
      <x:c r="E901" t="str">
        <x:v>Ground Validation</x:v>
      </x:c>
      <x:c r="F901" t="str">
        <x:v>HD Seaviewer Drop Camera</x:v>
      </x:c>
      <x:c r="G901" t="str">
        <x:v>GV2016_260</x:v>
      </x:c>
      <x:c r="H901" s="28" t="n">
        <x:v>42626</x:v>
      </x:c>
      <x:c r="I901" t="str">
        <x:v>09:36:32</x:v>
      </x:c>
      <x:c r="J901" t="n">
        <x:v>2016</x:v>
      </x:c>
      <x:c r="K901" t="n">
        <x:v>18.25901631</x:v>
      </x:c>
      <x:c r="L901" t="n">
        <x:v>-64.80087828</x:v>
      </x:c>
      <x:c r="M901" t="n">
        <x:v>41.129</x:v>
      </x:c>
      <x:c r="N901" t="str">
        <x:v>https://nccospublicstor.blob.core.windows.net/biomapper/usviinsularshelf2017/videos/low/GV2016_260.mp4</x:v>
      </x:c>
      <x:c r="O901" t="n">
        <x:v>0</x:v>
      </x:c>
      <x:c r="P901" t="n">
        <x:v>0</x:v>
      </x:c>
      <x:c r="Q901" t="n">
        <x:v>1</x:v>
      </x:c>
      <x:c r="R901" t="n">
        <x:v>0</x:v>
      </x:c>
      <x:c r="S901" t="n">
        <x:v>0</x:v>
      </x:c>
      <x:c r="T901" t="n">
        <x:v>0</x:v>
      </x:c>
      <x:c r="U901" t="n">
        <x:v>1</x:v>
      </x:c>
      <x:c r="V901" t="n">
        <x:v>1</x:v>
      </x:c>
      <x:c r="W901" t="n">
        <x:v>0</x:v>
      </x:c>
      <x:c r="X901" t="n">
        <x:v>0</x:v>
      </x:c>
      <x:c r="Y901" t="n">
        <x:v>0</x:v>
      </x:c>
      <x:c r="Z901" t="n">
        <x:v>1</x:v>
      </x:c>
      <x:c r="AA901" t="n">
        <x:v>2</x:v>
      </x:c>
      <x:c r="AB901" t="str">
        <x:v>Pass</x:v>
      </x:c>
      <x:c r="AC901" t="str"/>
      <x:c r="AD901" t="str"/>
    </x:row>
    <x:row r="902">
      <x:c r="A902" t="str">
        <x:v>REC0901</x:v>
      </x:c>
      <x:c r="B902" t="n">
        <x:v>900</x:v>
      </x:c>
      <x:c r="C902" t="str">
        <x:v>St. John, USVI</x:v>
      </x:c>
      <x:c r="D902" t="str">
        <x:v>GV</x:v>
      </x:c>
      <x:c r="E902" t="str">
        <x:v>Ground Validation</x:v>
      </x:c>
      <x:c r="F902" t="str">
        <x:v>HD Seaviewer Drop Camera</x:v>
      </x:c>
      <x:c r="G902" t="str">
        <x:v>GV2016_261</x:v>
      </x:c>
      <x:c r="H902" s="28" t="n">
        <x:v>42629</x:v>
      </x:c>
      <x:c r="I902" t="str">
        <x:v>11:47:44</x:v>
      </x:c>
      <x:c r="J902" t="n">
        <x:v>2016</x:v>
      </x:c>
      <x:c r="K902" t="n">
        <x:v>18.1926561</x:v>
      </x:c>
      <x:c r="L902" t="n">
        <x:v>-64.79023643</x:v>
      </x:c>
      <x:c r="M902" t="n">
        <x:v>58.082</x:v>
      </x:c>
      <x:c r="N902" t="str">
        <x:v>https://nccospublicstor.blob.core.windows.net/biomapper/usviinsularshelf2017/videos/low/GV2016_261.mp4</x:v>
      </x:c>
      <x:c r="O902" t="n">
        <x:v>0</x:v>
      </x:c>
      <x:c r="P902" t="n">
        <x:v>0</x:v>
      </x:c>
      <x:c r="Q902" t="n">
        <x:v>1</x:v>
      </x:c>
      <x:c r="R902" t="n">
        <x:v>0</x:v>
      </x:c>
      <x:c r="S902" t="n">
        <x:v>1</x:v>
      </x:c>
      <x:c r="T902" t="n">
        <x:v>0</x:v>
      </x:c>
      <x:c r="U902" t="n">
        <x:v>1</x:v>
      </x:c>
      <x:c r="V902" t="n">
        <x:v>1</x:v>
      </x:c>
      <x:c r="W902" t="n">
        <x:v>0</x:v>
      </x:c>
      <x:c r="X902" t="n">
        <x:v>0</x:v>
      </x:c>
      <x:c r="Y902" t="n">
        <x:v>0</x:v>
      </x:c>
      <x:c r="Z902" t="n">
        <x:v>1</x:v>
      </x:c>
      <x:c r="AA902" t="n">
        <x:v>3</x:v>
      </x:c>
      <x:c r="AB902" t="str">
        <x:v>Pass</x:v>
      </x:c>
      <x:c r="AC902" t="str"/>
      <x:c r="AD902" t="str"/>
    </x:row>
    <x:row r="903">
      <x:c r="A903" t="str">
        <x:v>REC0902</x:v>
      </x:c>
      <x:c r="B903" t="n">
        <x:v>901</x:v>
      </x:c>
      <x:c r="C903" t="str">
        <x:v>St. John, USVI</x:v>
      </x:c>
      <x:c r="D903" t="str">
        <x:v>GV</x:v>
      </x:c>
      <x:c r="E903" t="str">
        <x:v>Ground Validation</x:v>
      </x:c>
      <x:c r="F903" t="str">
        <x:v>HD Seaviewer Drop Camera</x:v>
      </x:c>
      <x:c r="G903" t="str">
        <x:v>GV2016_262</x:v>
      </x:c>
      <x:c r="H903" s="28" t="n">
        <x:v>42626</x:v>
      </x:c>
      <x:c r="I903" t="str">
        <x:v>12:08:50</x:v>
      </x:c>
      <x:c r="J903" t="n">
        <x:v>2016</x:v>
      </x:c>
      <x:c r="K903" t="n">
        <x:v>18.22815495</x:v>
      </x:c>
      <x:c r="L903" t="n">
        <x:v>-64.7962085</x:v>
      </x:c>
      <x:c r="M903" t="n">
        <x:v>52.193</x:v>
      </x:c>
      <x:c r="N903" t="str">
        <x:v>https://nccospublicstor.blob.core.windows.net/biomapper/usviinsularshelf2017/videos/low/GV2016_262.mp4</x:v>
      </x:c>
      <x:c r="O903" t="n">
        <x:v>0</x:v>
      </x:c>
      <x:c r="P903" t="n">
        <x:v>1</x:v>
      </x:c>
      <x:c r="Q903" t="n">
        <x:v>1</x:v>
      </x:c>
      <x:c r="R903" t="n">
        <x:v>1</x:v>
      </x:c>
      <x:c r="S903" t="n">
        <x:v>1</x:v>
      </x:c>
      <x:c r="T903" t="n">
        <x:v>1</x:v>
      </x:c>
      <x:c r="U903" t="n">
        <x:v>1</x:v>
      </x:c>
      <x:c r="V903" t="n">
        <x:v>1</x:v>
      </x:c>
      <x:c r="W903" t="n">
        <x:v>0</x:v>
      </x:c>
      <x:c r="X903" t="n">
        <x:v>0</x:v>
      </x:c>
      <x:c r="Y903" t="n">
        <x:v>0</x:v>
      </x:c>
      <x:c r="Z903" t="n">
        <x:v>3</x:v>
      </x:c>
      <x:c r="AA903" t="n">
        <x:v>4</x:v>
      </x:c>
      <x:c r="AB903" t="str">
        <x:v>Pass</x:v>
      </x:c>
      <x:c r="AC903" t="str"/>
      <x:c r="AD903" t="str"/>
    </x:row>
    <x:row r="904">
      <x:c r="A904" t="str">
        <x:v>REC0903</x:v>
      </x:c>
      <x:c r="B904" t="n">
        <x:v>902</x:v>
      </x:c>
      <x:c r="C904" t="str">
        <x:v>Puerto Rico</x:v>
      </x:c>
      <x:c r="D904" t="str">
        <x:v>GV</x:v>
      </x:c>
      <x:c r="E904" t="str">
        <x:v>Ground Validation</x:v>
      </x:c>
      <x:c r="F904" t="str">
        <x:v>HD Seaviewer Drop Camera</x:v>
      </x:c>
      <x:c r="G904" t="str">
        <x:v>GV2016_263</x:v>
      </x:c>
      <x:c r="H904" s="28" t="n">
        <x:v>42603</x:v>
      </x:c>
      <x:c r="I904" t="str">
        <x:v>08:54:35</x:v>
      </x:c>
      <x:c r="J904" t="n">
        <x:v>2016</x:v>
      </x:c>
      <x:c r="K904" t="n">
        <x:v>18.14532128</x:v>
      </x:c>
      <x:c r="L904" t="n">
        <x:v>-65.20320564</x:v>
      </x:c>
      <x:c r="M904" t="n">
        <x:v>40.959</x:v>
      </x:c>
      <x:c r="N904" t="str">
        <x:v>https://nccospublicstor.blob.core.windows.net/biomapper/usviinsularshelf2017/videos/low/GV2016_263.mp4</x:v>
      </x:c>
      <x:c r="O904" t="n">
        <x:v>1</x:v>
      </x:c>
      <x:c r="P904" t="n">
        <x:v>0</x:v>
      </x:c>
      <x:c r="Q904" t="n">
        <x:v>0</x:v>
      </x:c>
      <x:c r="R904" t="n">
        <x:v>0</x:v>
      </x:c>
      <x:c r="S904" t="n">
        <x:v>1</x:v>
      </x:c>
      <x:c r="T904" t="n">
        <x:v>1</x:v>
      </x:c>
      <x:c r="U904" t="n">
        <x:v>1</x:v>
      </x:c>
      <x:c r="V904" t="n">
        <x:v>1</x:v>
      </x:c>
      <x:c r="W904" t="n">
        <x:v>0</x:v>
      </x:c>
      <x:c r="X904" t="n">
        <x:v>0</x:v>
      </x:c>
      <x:c r="Y904" t="n">
        <x:v>0</x:v>
      </x:c>
      <x:c r="Z904" t="n">
        <x:v>1</x:v>
      </x:c>
      <x:c r="AA904" t="n">
        <x:v>4</x:v>
      </x:c>
      <x:c r="AB904" t="str">
        <x:v>Pass</x:v>
      </x:c>
      <x:c r="AC904" t="str"/>
      <x:c r="AD904" t="str">
        <x:v>Coral Bleaching</x:v>
      </x:c>
    </x:row>
    <x:row r="905">
      <x:c r="A905" t="str">
        <x:v>REC0904</x:v>
      </x:c>
      <x:c r="B905" t="n">
        <x:v>903</x:v>
      </x:c>
      <x:c r="C905" t="str">
        <x:v>St. John, USVI</x:v>
      </x:c>
      <x:c r="D905" t="str">
        <x:v>GV</x:v>
      </x:c>
      <x:c r="E905" t="str">
        <x:v>Ground Validation</x:v>
      </x:c>
      <x:c r="F905" t="str">
        <x:v>HD Seaviewer Drop Camera</x:v>
      </x:c>
      <x:c r="G905" t="str">
        <x:v>GV2016_264</x:v>
      </x:c>
      <x:c r="H905" s="28" t="n">
        <x:v>42613</x:v>
      </x:c>
      <x:c r="I905" t="str">
        <x:v>12:30:01</x:v>
      </x:c>
      <x:c r="J905" t="n">
        <x:v>2016</x:v>
      </x:c>
      <x:c r="K905" t="n">
        <x:v>18.2641141</x:v>
      </x:c>
      <x:c r="L905" t="n">
        <x:v>-64.79290898</x:v>
      </x:c>
      <x:c r="M905" t="n">
        <x:v>37.63</x:v>
      </x:c>
      <x:c r="N905" t="str">
        <x:v>https://nccospublicstor.blob.core.windows.net/biomapper/usviinsularshelf2017/videos/low/GV2016_264.mp4</x:v>
      </x:c>
      <x:c r="O905" t="n">
        <x:v>0</x:v>
      </x:c>
      <x:c r="P905" t="n">
        <x:v>0</x:v>
      </x:c>
      <x:c r="Q905" t="n">
        <x:v>1</x:v>
      </x:c>
      <x:c r="R905" t="n">
        <x:v>0</x:v>
      </x:c>
      <x:c r="S905" t="n">
        <x:v>0</x:v>
      </x:c>
      <x:c r="T905" t="n">
        <x:v>0</x:v>
      </x:c>
      <x:c r="U905" t="n">
        <x:v>1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1</x:v>
      </x:c>
      <x:c r="AA905" t="n">
        <x:v>1</x:v>
      </x:c>
      <x:c r="AB905" t="str">
        <x:v>Pass</x:v>
      </x:c>
      <x:c r="AC905" t="str"/>
      <x:c r="AD905" t="str"/>
    </x:row>
    <x:row r="906">
      <x:c r="A906" t="str">
        <x:v>REC0905</x:v>
      </x:c>
      <x:c r="B906" t="n">
        <x:v>904</x:v>
      </x:c>
      <x:c r="C906" t="str">
        <x:v>St. Thomas, USVI</x:v>
      </x:c>
      <x:c r="D906" t="str">
        <x:v>GV</x:v>
      </x:c>
      <x:c r="E906" t="str">
        <x:v>Ground Validation</x:v>
      </x:c>
      <x:c r="F906" t="str">
        <x:v>HD Seaviewer Drop Camera</x:v>
      </x:c>
      <x:c r="G906" t="str">
        <x:v>GV2016_265</x:v>
      </x:c>
      <x:c r="H906" s="28" t="n">
        <x:v>42610</x:v>
      </x:c>
      <x:c r="I906" t="str">
        <x:v>14:32:55</x:v>
      </x:c>
      <x:c r="J906" t="n">
        <x:v>2016</x:v>
      </x:c>
      <x:c r="K906" t="n">
        <x:v>18.2519569</x:v>
      </x:c>
      <x:c r="L906" t="n">
        <x:v>-64.89562205</x:v>
      </x:c>
      <x:c r="M906" t="n">
        <x:v>40.18</x:v>
      </x:c>
      <x:c r="N906" t="str">
        <x:v>https://nccospublicstor.blob.core.windows.net/biomapper/usviinsularshelf2017/videos/low/GV2016_265.mp4</x:v>
      </x:c>
      <x:c r="O906" t="n">
        <x:v>0</x:v>
      </x:c>
      <x:c r="P906" t="n">
        <x:v>0</x:v>
      </x:c>
      <x:c r="Q906" t="n">
        <x:v>1</x:v>
      </x:c>
      <x:c r="R906" t="n">
        <x:v>0</x:v>
      </x:c>
      <x:c r="S906" t="n">
        <x:v>0</x:v>
      </x:c>
      <x:c r="T906" t="n">
        <x:v>0</x:v>
      </x:c>
      <x:c r="U906" t="n">
        <x:v>1</x:v>
      </x:c>
      <x:c r="V906" t="n">
        <x:v>1</x:v>
      </x:c>
      <x:c r="W906" t="n">
        <x:v>0</x:v>
      </x:c>
      <x:c r="X906" t="n">
        <x:v>0</x:v>
      </x:c>
      <x:c r="Y906" t="n">
        <x:v>0</x:v>
      </x:c>
      <x:c r="Z906" t="n">
        <x:v>1</x:v>
      </x:c>
      <x:c r="AA906" t="n">
        <x:v>2</x:v>
      </x:c>
      <x:c r="AB906" t="str">
        <x:v>Pass</x:v>
      </x:c>
      <x:c r="AC906" t="str"/>
      <x:c r="AD906" t="str"/>
    </x:row>
    <x:row r="907">
      <x:c r="A907" t="str">
        <x:v>REC0906</x:v>
      </x:c>
      <x:c r="B907" t="n">
        <x:v>905</x:v>
      </x:c>
      <x:c r="C907" t="str">
        <x:v>St. John, USVI</x:v>
      </x:c>
      <x:c r="D907" t="str">
        <x:v>GV</x:v>
      </x:c>
      <x:c r="E907" t="str">
        <x:v>Ground Validation</x:v>
      </x:c>
      <x:c r="F907" t="str">
        <x:v>HD Seaviewer Drop Camera</x:v>
      </x:c>
      <x:c r="G907" t="str">
        <x:v>GV2016_266</x:v>
      </x:c>
      <x:c r="H907" s="28" t="n">
        <x:v>42625</x:v>
      </x:c>
      <x:c r="I907" t="str">
        <x:v>09:47:09</x:v>
      </x:c>
      <x:c r="J907" t="n">
        <x:v>2016</x:v>
      </x:c>
      <x:c r="K907" t="n">
        <x:v>18.25067112</x:v>
      </x:c>
      <x:c r="L907" t="n">
        <x:v>-64.66049262</x:v>
      </x:c>
      <x:c r="M907" t="n">
        <x:v>43.892</x:v>
      </x:c>
      <x:c r="N907" t="str">
        <x:v>https://nccospublicstor.blob.core.windows.net/biomapper/usviinsularshelf2017/videos/low/GV2016_266.mp4</x:v>
      </x:c>
      <x:c r="O907" t="n">
        <x:v>1</x:v>
      </x:c>
      <x:c r="P907" t="n">
        <x:v>0</x:v>
      </x:c>
      <x:c r="Q907" t="n">
        <x:v>0</x:v>
      </x:c>
      <x:c r="R907" t="n">
        <x:v>1</x:v>
      </x:c>
      <x:c r="S907" t="n">
        <x:v>1</x:v>
      </x:c>
      <x:c r="T907" t="n">
        <x:v>0</x:v>
      </x:c>
      <x:c r="U907" t="n">
        <x:v>1</x:v>
      </x:c>
      <x:c r="V907" t="n">
        <x:v>1</x:v>
      </x:c>
      <x:c r="W907" t="n">
        <x:v>0</x:v>
      </x:c>
      <x:c r="X907" t="n">
        <x:v>0</x:v>
      </x:c>
      <x:c r="Y907" t="n">
        <x:v>0</x:v>
      </x:c>
      <x:c r="Z907" t="n">
        <x:v>2</x:v>
      </x:c>
      <x:c r="AA907" t="n">
        <x:v>3</x:v>
      </x:c>
      <x:c r="AB907" t="str">
        <x:v>Pass</x:v>
      </x:c>
      <x:c r="AC907" t="str"/>
      <x:c r="AD907" t="str"/>
    </x:row>
    <x:row r="908">
      <x:c r="A908" t="str">
        <x:v>REC0907</x:v>
      </x:c>
      <x:c r="B908" t="n">
        <x:v>906</x:v>
      </x:c>
      <x:c r="C908" t="str">
        <x:v>St. John, USVI</x:v>
      </x:c>
      <x:c r="D908" t="str">
        <x:v>GV</x:v>
      </x:c>
      <x:c r="E908" t="str">
        <x:v>Ground Validation</x:v>
      </x:c>
      <x:c r="F908" t="str">
        <x:v>HD Seaviewer Drop Camera</x:v>
      </x:c>
      <x:c r="G908" t="str">
        <x:v>GV2016_267</x:v>
      </x:c>
      <x:c r="H908" s="28" t="n">
        <x:v>42625</x:v>
      </x:c>
      <x:c r="I908" t="str">
        <x:v>13:42:38</x:v>
      </x:c>
      <x:c r="J908" t="n">
        <x:v>2016</x:v>
      </x:c>
      <x:c r="K908" t="n">
        <x:v>18.25267779</x:v>
      </x:c>
      <x:c r="L908" t="n">
        <x:v>-64.68111494</x:v>
      </x:c>
      <x:c r="M908" t="n">
        <x:v>46.219</x:v>
      </x:c>
      <x:c r="N908" t="str">
        <x:v>https://nccospublicstor.blob.core.windows.net/biomapper/usviinsularshelf2017/videos/low/GV2016_267.mp4</x:v>
      </x:c>
      <x:c r="O908" t="n">
        <x:v>1</x:v>
      </x:c>
      <x:c r="P908" t="n">
        <x:v>0</x:v>
      </x:c>
      <x:c r="Q908" t="n">
        <x:v>0</x:v>
      </x:c>
      <x:c r="R908" t="n">
        <x:v>1</x:v>
      </x:c>
      <x:c r="S908" t="n">
        <x:v>1</x:v>
      </x:c>
      <x:c r="T908" t="n">
        <x:v>0</x:v>
      </x:c>
      <x:c r="U908" t="n">
        <x:v>1</x:v>
      </x:c>
      <x:c r="V908" t="n">
        <x:v>1</x:v>
      </x:c>
      <x:c r="W908" t="n">
        <x:v>0</x:v>
      </x:c>
      <x:c r="X908" t="n">
        <x:v>0</x:v>
      </x:c>
      <x:c r="Y908" t="n">
        <x:v>0</x:v>
      </x:c>
      <x:c r="Z908" t="n">
        <x:v>2</x:v>
      </x:c>
      <x:c r="AA908" t="n">
        <x:v>3</x:v>
      </x:c>
      <x:c r="AB908" t="str">
        <x:v>Pass</x:v>
      </x:c>
      <x:c r="AC908" t="str"/>
      <x:c r="AD908" t="str"/>
    </x:row>
    <x:row r="909">
      <x:c r="A909" t="str">
        <x:v>REC0908</x:v>
      </x:c>
      <x:c r="B909" t="n">
        <x:v>907</x:v>
      </x:c>
      <x:c r="C909" t="str">
        <x:v>Puerto Rico</x:v>
      </x:c>
      <x:c r="D909" t="str">
        <x:v>GV</x:v>
      </x:c>
      <x:c r="E909" t="str">
        <x:v>Ground Validation</x:v>
      </x:c>
      <x:c r="F909" t="str">
        <x:v>HD Seaviewer Drop Camera</x:v>
      </x:c>
      <x:c r="G909" t="str">
        <x:v>GV2016_268</x:v>
      </x:c>
      <x:c r="H909" s="28" t="n">
        <x:v>42605</x:v>
      </x:c>
      <x:c r="I909" t="str">
        <x:v>12:58:17</x:v>
      </x:c>
      <x:c r="J909" t="n">
        <x:v>2016</x:v>
      </x:c>
      <x:c r="K909" t="n">
        <x:v>18.17019633</x:v>
      </x:c>
      <x:c r="L909" t="n">
        <x:v>-65.15893297</x:v>
      </x:c>
      <x:c r="M909" t="n">
        <x:v>47.682</x:v>
      </x:c>
      <x:c r="N909" t="str">
        <x:v>https://nccospublicstor.blob.core.windows.net/biomapper/usviinsularshelf2017/videos/low/GV2016_268.mp4</x:v>
      </x:c>
      <x:c r="O909" t="n">
        <x:v>1</x:v>
      </x:c>
      <x:c r="P909" t="n">
        <x:v>0</x:v>
      </x:c>
      <x:c r="Q909" t="n">
        <x:v>0</x:v>
      </x:c>
      <x:c r="R909" t="n">
        <x:v>1</x:v>
      </x:c>
      <x:c r="S909" t="n">
        <x:v>1</x:v>
      </x:c>
      <x:c r="T909" t="n">
        <x:v>0</x:v>
      </x:c>
      <x:c r="U909" t="n">
        <x:v>1</x:v>
      </x:c>
      <x:c r="V909" t="n">
        <x:v>1</x:v>
      </x:c>
      <x:c r="W909" t="n">
        <x:v>0</x:v>
      </x:c>
      <x:c r="X909" t="n">
        <x:v>0</x:v>
      </x:c>
      <x:c r="Y909" t="n">
        <x:v>0</x:v>
      </x:c>
      <x:c r="Z909" t="n">
        <x:v>2</x:v>
      </x:c>
      <x:c r="AA909" t="n">
        <x:v>3</x:v>
      </x:c>
      <x:c r="AB909" t="str">
        <x:v>Pass</x:v>
      </x:c>
      <x:c r="AC909" t="str"/>
      <x:c r="AD909" t="str"/>
    </x:row>
    <x:row r="910">
      <x:c r="A910" t="str">
        <x:v>REC0909</x:v>
      </x:c>
      <x:c r="B910" t="n">
        <x:v>908</x:v>
      </x:c>
      <x:c r="C910" t="str">
        <x:v>St. Thomas, USVI</x:v>
      </x:c>
      <x:c r="D910" t="str">
        <x:v>GV</x:v>
      </x:c>
      <x:c r="E910" t="str">
        <x:v>Ground Validation</x:v>
      </x:c>
      <x:c r="F910" t="str">
        <x:v>HD Seaviewer Drop Camera</x:v>
      </x:c>
      <x:c r="G910" t="str">
        <x:v>GV2016_269</x:v>
      </x:c>
      <x:c r="H910" s="28" t="n">
        <x:v>42611</x:v>
      </x:c>
      <x:c r="I910" t="str">
        <x:v>08:25:29</x:v>
      </x:c>
      <x:c r="J910" t="n">
        <x:v>2016</x:v>
      </x:c>
      <x:c r="K910" t="n">
        <x:v>18.26584751</x:v>
      </x:c>
      <x:c r="L910" t="n">
        <x:v>-64.8598076</x:v>
      </x:c>
      <x:c r="M910" t="n">
        <x:v>30.689</x:v>
      </x:c>
      <x:c r="N910" t="str">
        <x:v>https://nccospublicstor.blob.core.windows.net/biomapper/usviinsularshelf2017/videos/low/GV2016_269.mp4</x:v>
      </x:c>
      <x:c r="O910" t="n">
        <x:v>0</x:v>
      </x:c>
      <x:c r="P910" t="n">
        <x:v>1</x:v>
      </x:c>
      <x:c r="Q910" t="n">
        <x:v>0</x:v>
      </x:c>
      <x:c r="R910" t="n">
        <x:v>1</x:v>
      </x:c>
      <x:c r="S910" t="n">
        <x:v>1</x:v>
      </x:c>
      <x:c r="T910" t="n">
        <x:v>1</x:v>
      </x:c>
      <x:c r="U910" t="n">
        <x:v>1</x:v>
      </x:c>
      <x:c r="V910" t="n">
        <x:v>1</x:v>
      </x:c>
      <x:c r="W910" t="n">
        <x:v>0</x:v>
      </x:c>
      <x:c r="X910" t="n">
        <x:v>0</x:v>
      </x:c>
      <x:c r="Y910" t="n">
        <x:v>0</x:v>
      </x:c>
      <x:c r="Z910" t="n">
        <x:v>2</x:v>
      </x:c>
      <x:c r="AA910" t="n">
        <x:v>4</x:v>
      </x:c>
      <x:c r="AB910" t="str">
        <x:v>Pass</x:v>
      </x:c>
      <x:c r="AC910" t="str"/>
      <x:c r="AD910" t="str"/>
    </x:row>
    <x:row r="911">
      <x:c r="A911" t="str">
        <x:v>REC0910</x:v>
      </x:c>
      <x:c r="B911" t="n">
        <x:v>909</x:v>
      </x:c>
      <x:c r="C911" t="str">
        <x:v>St. Thomas, USVI</x:v>
      </x:c>
      <x:c r="D911" t="str">
        <x:v>GV</x:v>
      </x:c>
      <x:c r="E911" t="str">
        <x:v>Ground Validation</x:v>
      </x:c>
      <x:c r="F911" t="str">
        <x:v>HD Seaviewer Drop Camera</x:v>
      </x:c>
      <x:c r="G911" t="str">
        <x:v>GV2016_270</x:v>
      </x:c>
      <x:c r="H911" s="28" t="n">
        <x:v>42610</x:v>
      </x:c>
      <x:c r="I911" t="str">
        <x:v>09:14:52</x:v>
      </x:c>
      <x:c r="J911" t="n">
        <x:v>2016</x:v>
      </x:c>
      <x:c r="K911" t="n">
        <x:v>18.19267528</x:v>
      </x:c>
      <x:c r="L911" t="n">
        <x:v>-64.87678368</x:v>
      </x:c>
      <x:c r="M911" t="n">
        <x:v>45.35</x:v>
      </x:c>
      <x:c r="N911" t="str">
        <x:v>https://nccospublicstor.blob.core.windows.net/biomapper/usviinsularshelf2017/videos/low/GV2016_270.mp4</x:v>
      </x:c>
      <x:c r="O911" t="n">
        <x:v>1</x:v>
      </x:c>
      <x:c r="P911" t="n">
        <x:v>0</x:v>
      </x:c>
      <x:c r="Q911" t="n">
        <x:v>0</x:v>
      </x:c>
      <x:c r="R911" t="n">
        <x:v>0</x:v>
      </x:c>
      <x:c r="S911" t="n">
        <x:v>1</x:v>
      </x:c>
      <x:c r="T911" t="n">
        <x:v>1</x:v>
      </x:c>
      <x:c r="U911" t="n">
        <x:v>1</x:v>
      </x:c>
      <x:c r="V911" t="n">
        <x:v>1</x:v>
      </x:c>
      <x:c r="W911" t="n">
        <x:v>0</x:v>
      </x:c>
      <x:c r="X911" t="n">
        <x:v>0</x:v>
      </x:c>
      <x:c r="Y911" t="n">
        <x:v>0</x:v>
      </x:c>
      <x:c r="Z911" t="n">
        <x:v>1</x:v>
      </x:c>
      <x:c r="AA911" t="n">
        <x:v>4</x:v>
      </x:c>
      <x:c r="AB911" t="str">
        <x:v>Pass</x:v>
      </x:c>
      <x:c r="AC911" t="str"/>
      <x:c r="AD911" t="str">
        <x:v>Lionfish, Pork fish, Jacks and big school of Snappers</x:v>
      </x:c>
    </x:row>
    <x:row r="912">
      <x:c r="A912" t="str">
        <x:v>REC0911</x:v>
      </x:c>
      <x:c r="B912" t="n">
        <x:v>910</x:v>
      </x:c>
      <x:c r="C912" t="str">
        <x:v>St. Thomas, USVI</x:v>
      </x:c>
      <x:c r="D912" t="str">
        <x:v>GV</x:v>
      </x:c>
      <x:c r="E912" t="str">
        <x:v>Ground Validation</x:v>
      </x:c>
      <x:c r="F912" t="str">
        <x:v>HD Seaviewer Drop Camera</x:v>
      </x:c>
      <x:c r="G912" t="str">
        <x:v>GV2016_271</x:v>
      </x:c>
      <x:c r="H912" s="28" t="n">
        <x:v>42622</x:v>
      </x:c>
      <x:c r="I912" t="str">
        <x:v>14:12:27</x:v>
      </x:c>
      <x:c r="J912" t="n">
        <x:v>2016</x:v>
      </x:c>
      <x:c r="K912" t="n">
        <x:v>18.25082055</x:v>
      </x:c>
      <x:c r="L912" t="n">
        <x:v>-64.82927332</x:v>
      </x:c>
      <x:c r="M912" t="n">
        <x:v>30.273</x:v>
      </x:c>
      <x:c r="N912" t="str">
        <x:v>https://nccospublicstor.blob.core.windows.net/biomapper/usviinsularshelf2017/videos/low/GV2016_271.mp4</x:v>
      </x:c>
      <x:c r="O912" t="n">
        <x:v>1</x:v>
      </x:c>
      <x:c r="P912" t="n">
        <x:v>0</x:v>
      </x:c>
      <x:c r="Q912" t="n">
        <x:v>0</x:v>
      </x:c>
      <x:c r="R912" t="n">
        <x:v>1</x:v>
      </x:c>
      <x:c r="S912" t="n">
        <x:v>1</x:v>
      </x:c>
      <x:c r="T912" t="n">
        <x:v>1</x:v>
      </x:c>
      <x:c r="U912" t="n">
        <x:v>1</x:v>
      </x:c>
      <x:c r="V912" t="n">
        <x:v>1</x:v>
      </x:c>
      <x:c r="W912" t="n">
        <x:v>0</x:v>
      </x:c>
      <x:c r="X912" t="n">
        <x:v>0</x:v>
      </x:c>
      <x:c r="Y912" t="n">
        <x:v>0</x:v>
      </x:c>
      <x:c r="Z912" t="n">
        <x:v>2</x:v>
      </x:c>
      <x:c r="AA912" t="n">
        <x:v>4</x:v>
      </x:c>
      <x:c r="AB912" t="str">
        <x:v>Pass</x:v>
      </x:c>
      <x:c r="AC912" t="str"/>
      <x:c r="AD912" t="str"/>
    </x:row>
    <x:row r="913">
      <x:c r="A913" t="str">
        <x:v>REC0912</x:v>
      </x:c>
      <x:c r="B913" t="n">
        <x:v>911</x:v>
      </x:c>
      <x:c r="C913" t="str">
        <x:v>St. Thomas, USVI</x:v>
      </x:c>
      <x:c r="D913" t="str">
        <x:v>GV</x:v>
      </x:c>
      <x:c r="E913" t="str">
        <x:v>Ground Validation</x:v>
      </x:c>
      <x:c r="F913" t="str">
        <x:v>HD Seaviewer Drop Camera</x:v>
      </x:c>
      <x:c r="G913" t="str">
        <x:v>GV2016_273</x:v>
      </x:c>
      <x:c r="H913" s="28" t="n">
        <x:v>42609</x:v>
      </x:c>
      <x:c r="I913" t="str">
        <x:v>09:10:19</x:v>
      </x:c>
      <x:c r="J913" t="n">
        <x:v>2016</x:v>
      </x:c>
      <x:c r="K913" t="n">
        <x:v>18.22020578</x:v>
      </x:c>
      <x:c r="L913" t="n">
        <x:v>-65.10786628</x:v>
      </x:c>
      <x:c r="M913" t="n">
        <x:v>31.786</x:v>
      </x:c>
      <x:c r="N913" t="str">
        <x:v>https://nccospublicstor.blob.core.windows.net/biomapper/usviinsularshelf2017/videos/low/GV2016_273.mp4</x:v>
      </x:c>
      <x:c r="O913" t="n">
        <x:v>1</x:v>
      </x:c>
      <x:c r="P913" t="n">
        <x:v>0</x:v>
      </x:c>
      <x:c r="Q913" t="n">
        <x:v>0</x:v>
      </x:c>
      <x:c r="R913" t="n">
        <x:v>0</x:v>
      </x:c>
      <x:c r="S913" t="n">
        <x:v>1</x:v>
      </x:c>
      <x:c r="T913" t="n">
        <x:v>1</x:v>
      </x:c>
      <x:c r="U913" t="n">
        <x:v>1</x:v>
      </x:c>
      <x:c r="V913" t="n">
        <x:v>1</x:v>
      </x:c>
      <x:c r="W913" t="n">
        <x:v>0</x:v>
      </x:c>
      <x:c r="X913" t="n">
        <x:v>0</x:v>
      </x:c>
      <x:c r="Y913" t="n">
        <x:v>0</x:v>
      </x:c>
      <x:c r="Z913" t="n">
        <x:v>1</x:v>
      </x:c>
      <x:c r="AA913" t="n">
        <x:v>4</x:v>
      </x:c>
      <x:c r="AB913" t="str">
        <x:v>Pass</x:v>
      </x:c>
      <x:c r="AC913" t="str"/>
      <x:c r="AD913" t="str"/>
    </x:row>
    <x:row r="914">
      <x:c r="A914" t="str">
        <x:v>REC0913</x:v>
      </x:c>
      <x:c r="B914" t="n">
        <x:v>912</x:v>
      </x:c>
      <x:c r="C914" t="str">
        <x:v>St. John, USVI</x:v>
      </x:c>
      <x:c r="D914" t="str">
        <x:v>GV</x:v>
      </x:c>
      <x:c r="E914" t="str">
        <x:v>Ground Validation</x:v>
      </x:c>
      <x:c r="F914" t="str">
        <x:v>HD Seaviewer Drop Camera</x:v>
      </x:c>
      <x:c r="G914" t="str">
        <x:v>GV2016_275</x:v>
      </x:c>
      <x:c r="H914" s="28" t="n">
        <x:v>42624</x:v>
      </x:c>
      <x:c r="I914" t="str">
        <x:v>09:33:38</x:v>
      </x:c>
      <x:c r="J914" t="n">
        <x:v>2016</x:v>
      </x:c>
      <x:c r="K914" t="n">
        <x:v>18.28918049</x:v>
      </x:c>
      <x:c r="L914" t="n">
        <x:v>-64.68859833</x:v>
      </x:c>
      <x:c r="M914" t="n">
        <x:v>32.301</x:v>
      </x:c>
      <x:c r="N914" t="str">
        <x:v>https://nccospublicstor.blob.core.windows.net/biomapper/usviinsularshelf2017/videos/low/GV2016_275.mp4</x:v>
      </x:c>
      <x:c r="O914" t="n">
        <x:v>0</x:v>
      </x:c>
      <x:c r="P914" t="n">
        <x:v>0</x:v>
      </x:c>
      <x:c r="Q914" t="n">
        <x:v>1</x:v>
      </x:c>
      <x:c r="R914" t="n">
        <x:v>1</x:v>
      </x:c>
      <x:c r="S914" t="n">
        <x:v>0</x:v>
      </x:c>
      <x:c r="T914" t="n">
        <x:v>0</x:v>
      </x:c>
      <x:c r="U914" t="n">
        <x:v>1</x:v>
      </x:c>
      <x:c r="V914" t="n">
        <x:v>1</x:v>
      </x:c>
      <x:c r="W914" t="n">
        <x:v>0</x:v>
      </x:c>
      <x:c r="X914" t="n">
        <x:v>0</x:v>
      </x:c>
      <x:c r="Y914" t="n">
        <x:v>0</x:v>
      </x:c>
      <x:c r="Z914" t="n">
        <x:v>2</x:v>
      </x:c>
      <x:c r="AA914" t="n">
        <x:v>2</x:v>
      </x:c>
      <x:c r="AB914" t="str">
        <x:v>Pass</x:v>
      </x:c>
      <x:c r="AC914" t="str"/>
      <x:c r="AD914" t="str"/>
    </x:row>
    <x:row r="915">
      <x:c r="A915" t="str">
        <x:v>REC0914</x:v>
      </x:c>
      <x:c r="B915" t="n">
        <x:v>913</x:v>
      </x:c>
      <x:c r="C915" t="str">
        <x:v>St. John, USVI</x:v>
      </x:c>
      <x:c r="D915" t="str">
        <x:v>GV</x:v>
      </x:c>
      <x:c r="E915" t="str">
        <x:v>Ground Validation</x:v>
      </x:c>
      <x:c r="F915" t="str">
        <x:v>HD Seaviewer Drop Camera</x:v>
      </x:c>
      <x:c r="G915" t="str">
        <x:v>GV2016_276</x:v>
      </x:c>
      <x:c r="H915" s="28" t="n">
        <x:v>42626</x:v>
      </x:c>
      <x:c r="I915" t="str">
        <x:v>11:49:51</x:v>
      </x:c>
      <x:c r="J915" t="n">
        <x:v>2016</x:v>
      </x:c>
      <x:c r="K915" t="n">
        <x:v>18.21735937</x:v>
      </x:c>
      <x:c r="L915" t="n">
        <x:v>-64.78795579</x:v>
      </x:c>
      <x:c r="M915" t="n">
        <x:v>52.882</x:v>
      </x:c>
      <x:c r="N915" t="str">
        <x:v>https://nccospublicstor.blob.core.windows.net/biomapper/usviinsularshelf2017/videos/low/GV2016_276.mp4</x:v>
      </x:c>
      <x:c r="O915" t="n">
        <x:v>0</x:v>
      </x:c>
      <x:c r="P915" t="n">
        <x:v>1</x:v>
      </x:c>
      <x:c r="Q915" t="n">
        <x:v>1</x:v>
      </x:c>
      <x:c r="R915" t="n">
        <x:v>0</x:v>
      </x:c>
      <x:c r="S915" t="n">
        <x:v>1</x:v>
      </x:c>
      <x:c r="T915" t="n">
        <x:v>0</x:v>
      </x:c>
      <x:c r="U915" t="n">
        <x:v>1</x:v>
      </x:c>
      <x:c r="V915" t="n">
        <x:v>1</x:v>
      </x:c>
      <x:c r="W915" t="n">
        <x:v>0</x:v>
      </x:c>
      <x:c r="X915" t="n">
        <x:v>0</x:v>
      </x:c>
      <x:c r="Y915" t="n">
        <x:v>0</x:v>
      </x:c>
      <x:c r="Z915" t="n">
        <x:v>2</x:v>
      </x:c>
      <x:c r="AA915" t="n">
        <x:v>3</x:v>
      </x:c>
      <x:c r="AB915" t="str">
        <x:v>Pass</x:v>
      </x:c>
      <x:c r="AC915" t="str"/>
      <x:c r="AD915" t="str"/>
    </x:row>
    <x:row r="916">
      <x:c r="A916" t="str">
        <x:v>REC0915</x:v>
      </x:c>
      <x:c r="B916" t="n">
        <x:v>914</x:v>
      </x:c>
      <x:c r="C916" t="str">
        <x:v>Puerto Rico</x:v>
      </x:c>
      <x:c r="D916" t="str">
        <x:v>GV</x:v>
      </x:c>
      <x:c r="E916" t="str">
        <x:v>Ground Validation</x:v>
      </x:c>
      <x:c r="F916" t="str">
        <x:v>HD Seaviewer Drop Camera</x:v>
      </x:c>
      <x:c r="G916" t="str">
        <x:v>GV2016_277</x:v>
      </x:c>
      <x:c r="H916" s="28" t="n">
        <x:v>42603</x:v>
      </x:c>
      <x:c r="I916" t="str">
        <x:v>13:47:35</x:v>
      </x:c>
      <x:c r="J916" t="n">
        <x:v>2016</x:v>
      </x:c>
      <x:c r="K916" t="n">
        <x:v>18.17416275</x:v>
      </x:c>
      <x:c r="L916" t="n">
        <x:v>-65.25760972</x:v>
      </x:c>
      <x:c r="M916" t="n">
        <x:v>30.335</x:v>
      </x:c>
      <x:c r="N916" t="str">
        <x:v>https://nccospublicstor.blob.core.windows.net/biomapper/usviinsularshelf2017/videos/low/GV2016_277.mp4</x:v>
      </x:c>
      <x:c r="O916" t="n">
        <x:v>0</x:v>
      </x:c>
      <x:c r="P916" t="n">
        <x:v>0</x:v>
      </x:c>
      <x:c r="Q916" t="n">
        <x:v>1</x:v>
      </x:c>
      <x:c r="R916" t="n">
        <x:v>0</x:v>
      </x:c>
      <x:c r="S916" t="n">
        <x:v>1</x:v>
      </x:c>
      <x:c r="T916" t="n">
        <x:v>0</x:v>
      </x:c>
      <x:c r="U916" t="n">
        <x:v>1</x:v>
      </x:c>
      <x:c r="V916" t="n">
        <x:v>1</x:v>
      </x:c>
      <x:c r="W916" t="n">
        <x:v>0</x:v>
      </x:c>
      <x:c r="X916" t="n">
        <x:v>0</x:v>
      </x:c>
      <x:c r="Y916" t="n">
        <x:v>0</x:v>
      </x:c>
      <x:c r="Z916" t="n">
        <x:v>1</x:v>
      </x:c>
      <x:c r="AA916" t="n">
        <x:v>3</x:v>
      </x:c>
      <x:c r="AB916" t="str">
        <x:v>Pass</x:v>
      </x:c>
      <x:c r="AC916" t="str"/>
      <x:c r="AD916" t="str"/>
    </x:row>
    <x:row r="917">
      <x:c r="A917" t="str">
        <x:v>REC0916</x:v>
      </x:c>
      <x:c r="B917" t="n">
        <x:v>915</x:v>
      </x:c>
      <x:c r="C917" t="str">
        <x:v>St. Thomas, USVI</x:v>
      </x:c>
      <x:c r="D917" t="str">
        <x:v>GV</x:v>
      </x:c>
      <x:c r="E917" t="str">
        <x:v>Ground Validation</x:v>
      </x:c>
      <x:c r="F917" t="str">
        <x:v>HD Seaviewer Drop Camera</x:v>
      </x:c>
      <x:c r="G917" t="str">
        <x:v>GV2016_278</x:v>
      </x:c>
      <x:c r="H917" s="28" t="n">
        <x:v>42607</x:v>
      </x:c>
      <x:c r="I917" t="str">
        <x:v>12:43:32</x:v>
      </x:c>
      <x:c r="J917" t="n">
        <x:v>2016</x:v>
      </x:c>
      <x:c r="K917" t="n">
        <x:v>18.24287388</x:v>
      </x:c>
      <x:c r="L917" t="n">
        <x:v>-65.12825236</x:v>
      </x:c>
      <x:c r="M917" t="n">
        <x:v>31.301</x:v>
      </x:c>
      <x:c r="N917" t="str">
        <x:v>https://nccospublicstor.blob.core.windows.net/biomapper/usviinsularshelf2017/videos/low/GV2016_278.mp4</x:v>
      </x:c>
      <x:c r="O917" t="n">
        <x:v>1</x:v>
      </x:c>
      <x:c r="P917" t="n">
        <x:v>0</x:v>
      </x:c>
      <x:c r="Q917" t="n">
        <x:v>0</x:v>
      </x:c>
      <x:c r="R917" t="n">
        <x:v>0</x:v>
      </x:c>
      <x:c r="S917" t="n">
        <x:v>1</x:v>
      </x:c>
      <x:c r="T917" t="n">
        <x:v>1</x:v>
      </x:c>
      <x:c r="U917" t="n">
        <x:v>1</x:v>
      </x:c>
      <x:c r="V917" t="n">
        <x:v>1</x:v>
      </x:c>
      <x:c r="W917" t="n">
        <x:v>0</x:v>
      </x:c>
      <x:c r="X917" t="n">
        <x:v>0</x:v>
      </x:c>
      <x:c r="Y917" t="n">
        <x:v>0</x:v>
      </x:c>
      <x:c r="Z917" t="n">
        <x:v>1</x:v>
      </x:c>
      <x:c r="AA917" t="n">
        <x:v>4</x:v>
      </x:c>
      <x:c r="AB917" t="str">
        <x:v>Pass</x:v>
      </x:c>
      <x:c r="AC917" t="str"/>
      <x:c r="AD917" t="str"/>
    </x:row>
    <x:row r="918">
      <x:c r="A918" t="str">
        <x:v>REC0917</x:v>
      </x:c>
      <x:c r="B918" t="n">
        <x:v>916</x:v>
      </x:c>
      <x:c r="C918" t="str">
        <x:v>St. Thomas, USVI</x:v>
      </x:c>
      <x:c r="D918" t="str">
        <x:v>GV</x:v>
      </x:c>
      <x:c r="E918" t="str">
        <x:v>Ground Validation</x:v>
      </x:c>
      <x:c r="F918" t="str">
        <x:v>HD Seaviewer Drop Camera</x:v>
      </x:c>
      <x:c r="G918" t="str">
        <x:v>GV2016_279</x:v>
      </x:c>
      <x:c r="H918" s="28" t="n">
        <x:v>42610</x:v>
      </x:c>
      <x:c r="I918" t="str">
        <x:v>13:10:06</x:v>
      </x:c>
      <x:c r="J918" t="n">
        <x:v>2016</x:v>
      </x:c>
      <x:c r="K918" t="n">
        <x:v>18.22685668</x:v>
      </x:c>
      <x:c r="L918" t="n">
        <x:v>-64.9012433</x:v>
      </x:c>
      <x:c r="M918" t="n">
        <x:v>43.106</x:v>
      </x:c>
      <x:c r="N918" t="str">
        <x:v>https://nccospublicstor.blob.core.windows.net/biomapper/usviinsularshelf2017/videos/low/GV2016_279.mp4</x:v>
      </x:c>
      <x:c r="O918" t="n">
        <x:v>0</x:v>
      </x:c>
      <x:c r="P918" t="n">
        <x:v>0</x:v>
      </x:c>
      <x:c r="Q918" t="n">
        <x:v>1</x:v>
      </x:c>
      <x:c r="R918" t="n">
        <x:v>1</x:v>
      </x:c>
      <x:c r="S918" t="n">
        <x:v>0</x:v>
      </x:c>
      <x:c r="T918" t="n">
        <x:v>0</x:v>
      </x:c>
      <x:c r="U918" t="n">
        <x:v>1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2</x:v>
      </x:c>
      <x:c r="AA918" t="n">
        <x:v>1</x:v>
      </x:c>
      <x:c r="AB918" t="str">
        <x:v>Pass</x:v>
      </x:c>
      <x:c r="AC918" t="str"/>
      <x:c r="AD918" t="str"/>
    </x:row>
    <x:row r="919">
      <x:c r="A919" t="str">
        <x:v>REC0918</x:v>
      </x:c>
      <x:c r="B919" t="n">
        <x:v>917</x:v>
      </x:c>
      <x:c r="C919" t="str">
        <x:v>St. Thomas, USVI</x:v>
      </x:c>
      <x:c r="D919" t="str">
        <x:v>GV</x:v>
      </x:c>
      <x:c r="E919" t="str">
        <x:v>Ground Validation</x:v>
      </x:c>
      <x:c r="F919" t="str">
        <x:v>HD Seaviewer Drop Camera</x:v>
      </x:c>
      <x:c r="G919" t="str">
        <x:v>GV2016_280</x:v>
      </x:c>
      <x:c r="H919" s="28" t="n">
        <x:v>42612</x:v>
      </x:c>
      <x:c r="I919" t="str">
        <x:v>10:23:02</x:v>
      </x:c>
      <x:c r="J919" t="n">
        <x:v>2016</x:v>
      </x:c>
      <x:c r="K919" t="n">
        <x:v>18.24072094</x:v>
      </x:c>
      <x:c r="L919" t="n">
        <x:v>-64.96042342</x:v>
      </x:c>
      <x:c r="M919" t="n">
        <x:v>41.036</x:v>
      </x:c>
      <x:c r="N919" t="str">
        <x:v>https://nccospublicstor.blob.core.windows.net/biomapper/usviinsularshelf2017/videos/low/GV2016_280.mp4</x:v>
      </x:c>
      <x:c r="O919" t="n">
        <x:v>0</x:v>
      </x:c>
      <x:c r="P919" t="n">
        <x:v>0</x:v>
      </x:c>
      <x:c r="Q919" t="n">
        <x:v>1</x:v>
      </x:c>
      <x:c r="R919" t="n">
        <x:v>1</x:v>
      </x:c>
      <x:c r="S919" t="n">
        <x:v>0</x:v>
      </x:c>
      <x:c r="T919" t="n">
        <x:v>0</x:v>
      </x:c>
      <x:c r="U919" t="n">
        <x:v>1</x:v>
      </x:c>
      <x:c r="V919" t="n">
        <x:v>1</x:v>
      </x:c>
      <x:c r="W919" t="n">
        <x:v>0</x:v>
      </x:c>
      <x:c r="X919" t="n">
        <x:v>0</x:v>
      </x:c>
      <x:c r="Y919" t="n">
        <x:v>0</x:v>
      </x:c>
      <x:c r="Z919" t="n">
        <x:v>2</x:v>
      </x:c>
      <x:c r="AA919" t="n">
        <x:v>2</x:v>
      </x:c>
      <x:c r="AB919" t="str">
        <x:v>Pass</x:v>
      </x:c>
      <x:c r="AC919" t="str"/>
      <x:c r="AD919" t="str"/>
    </x:row>
    <x:row r="920">
      <x:c r="A920" t="str">
        <x:v>REC0919</x:v>
      </x:c>
      <x:c r="B920" t="n">
        <x:v>918</x:v>
      </x:c>
      <x:c r="C920" t="str">
        <x:v>St. Thomas, USVI</x:v>
      </x:c>
      <x:c r="D920" t="str">
        <x:v>GV</x:v>
      </x:c>
      <x:c r="E920" t="str">
        <x:v>Ground Validation</x:v>
      </x:c>
      <x:c r="F920" t="str">
        <x:v>HD Seaviewer Drop Camera</x:v>
      </x:c>
      <x:c r="G920" t="str">
        <x:v>GV2016_281</x:v>
      </x:c>
      <x:c r="H920" s="28" t="n">
        <x:v>42612</x:v>
      </x:c>
      <x:c r="I920" t="str">
        <x:v>11:47:29</x:v>
      </x:c>
      <x:c r="J920" t="n">
        <x:v>2016</x:v>
      </x:c>
      <x:c r="K920" t="n">
        <x:v>18.27509933</x:v>
      </x:c>
      <x:c r="L920" t="n">
        <x:v>-64.94892704</x:v>
      </x:c>
      <x:c r="M920" t="n">
        <x:v>33.235</x:v>
      </x:c>
      <x:c r="N920" t="str">
        <x:v>https://nccospublicstor.blob.core.windows.net/biomapper/usviinsularshelf2017/videos/low/GV2016_281.mp4</x:v>
      </x:c>
      <x:c r="O920" t="n">
        <x:v>0</x:v>
      </x:c>
      <x:c r="P920" t="n">
        <x:v>0</x:v>
      </x:c>
      <x:c r="Q920" t="n">
        <x:v>1</x:v>
      </x:c>
      <x:c r="R920" t="n">
        <x:v>0</x:v>
      </x:c>
      <x:c r="S920" t="n">
        <x:v>0</x:v>
      </x:c>
      <x:c r="T920" t="n">
        <x:v>0</x:v>
      </x:c>
      <x:c r="U920" t="n">
        <x:v>1</x:v>
      </x:c>
      <x:c r="V920" t="n">
        <x:v>1</x:v>
      </x:c>
      <x:c r="W920" t="n">
        <x:v>0</x:v>
      </x:c>
      <x:c r="X920" t="n">
        <x:v>0</x:v>
      </x:c>
      <x:c r="Y920" t="n">
        <x:v>0</x:v>
      </x:c>
      <x:c r="Z920" t="n">
        <x:v>1</x:v>
      </x:c>
      <x:c r="AA920" t="n">
        <x:v>2</x:v>
      </x:c>
      <x:c r="AB920" t="str">
        <x:v>Pass</x:v>
      </x:c>
      <x:c r="AC920" t="str"/>
      <x:c r="AD920" t="str"/>
    </x:row>
    <x:row r="921">
      <x:c r="A921" t="str">
        <x:v>REC0920</x:v>
      </x:c>
      <x:c r="B921" t="n">
        <x:v>919</x:v>
      </x:c>
      <x:c r="C921" t="str">
        <x:v>St. Thomas, USVI</x:v>
      </x:c>
      <x:c r="D921" t="str">
        <x:v>GV</x:v>
      </x:c>
      <x:c r="E921" t="str">
        <x:v>Ground Validation</x:v>
      </x:c>
      <x:c r="F921" t="str">
        <x:v>HD Seaviewer Drop Camera</x:v>
      </x:c>
      <x:c r="G921" t="str">
        <x:v>GV2016_282</x:v>
      </x:c>
      <x:c r="H921" s="28" t="n">
        <x:v>42609</x:v>
      </x:c>
      <x:c r="I921" t="str">
        <x:v>13:23:46</x:v>
      </x:c>
      <x:c r="J921" t="n">
        <x:v>2016</x:v>
      </x:c>
      <x:c r="K921" t="n">
        <x:v>18.23607783</x:v>
      </x:c>
      <x:c r="L921" t="n">
        <x:v>-65.01271311</x:v>
      </x:c>
      <x:c r="M921" t="n">
        <x:v>40.619</x:v>
      </x:c>
      <x:c r="N921" t="str">
        <x:v>https://nccospublicstor.blob.core.windows.net/biomapper/usviinsularshelf2017/videos/low/GV2016_282.mp4</x:v>
      </x:c>
      <x:c r="O921" t="n">
        <x:v>0</x:v>
      </x:c>
      <x:c r="P921" t="n">
        <x:v>0</x:v>
      </x:c>
      <x:c r="Q921" t="n">
        <x:v>1</x:v>
      </x:c>
      <x:c r="R921" t="n">
        <x:v>1</x:v>
      </x:c>
      <x:c r="S921" t="n">
        <x:v>0</x:v>
      </x:c>
      <x:c r="T921" t="n">
        <x:v>0</x:v>
      </x:c>
      <x:c r="U921" t="n">
        <x:v>1</x:v>
      </x:c>
      <x:c r="V921" t="n">
        <x:v>1</x:v>
      </x:c>
      <x:c r="W921" t="n">
        <x:v>0</x:v>
      </x:c>
      <x:c r="X921" t="n">
        <x:v>0</x:v>
      </x:c>
      <x:c r="Y921" t="n">
        <x:v>0</x:v>
      </x:c>
      <x:c r="Z921" t="n">
        <x:v>2</x:v>
      </x:c>
      <x:c r="AA921" t="n">
        <x:v>2</x:v>
      </x:c>
      <x:c r="AB921" t="str">
        <x:v>Pass</x:v>
      </x:c>
      <x:c r="AC921" t="str"/>
      <x:c r="AD921" t="str"/>
    </x:row>
    <x:row r="922">
      <x:c r="A922" t="str">
        <x:v>REC0921</x:v>
      </x:c>
      <x:c r="B922" t="n">
        <x:v>920</x:v>
      </x:c>
      <x:c r="C922" t="str">
        <x:v>St. Thomas, USVI</x:v>
      </x:c>
      <x:c r="D922" t="str">
        <x:v>GV</x:v>
      </x:c>
      <x:c r="E922" t="str">
        <x:v>Ground Validation</x:v>
      </x:c>
      <x:c r="F922" t="str">
        <x:v>HD Seaviewer Drop Camera</x:v>
      </x:c>
      <x:c r="G922" t="str">
        <x:v>GV2016_283</x:v>
      </x:c>
      <x:c r="H922" s="28" t="n">
        <x:v>42608</x:v>
      </x:c>
      <x:c r="I922" t="str">
        <x:v>13:17:45</x:v>
      </x:c>
      <x:c r="J922" t="n">
        <x:v>2016</x:v>
      </x:c>
      <x:c r="K922" t="n">
        <x:v>18.20355552</x:v>
      </x:c>
      <x:c r="L922" t="n">
        <x:v>-65.08181178</x:v>
      </x:c>
      <x:c r="M922" t="n">
        <x:v>43.156</x:v>
      </x:c>
      <x:c r="N922" t="str">
        <x:v>https://nccospublicstor.blob.core.windows.net/biomapper/usviinsularshelf2017/videos/low/GV2016_283.mp4</x:v>
      </x:c>
      <x:c r="O922" t="n">
        <x:v>1</x:v>
      </x:c>
      <x:c r="P922" t="n">
        <x:v>0</x:v>
      </x:c>
      <x:c r="Q922" t="n">
        <x:v>0</x:v>
      </x:c>
      <x:c r="R922" t="n">
        <x:v>0</x:v>
      </x:c>
      <x:c r="S922" t="n">
        <x:v>1</x:v>
      </x:c>
      <x:c r="T922" t="n">
        <x:v>0</x:v>
      </x:c>
      <x:c r="U922" t="n">
        <x:v>1</x:v>
      </x:c>
      <x:c r="V922" t="n">
        <x:v>1</x:v>
      </x:c>
      <x:c r="W922" t="n">
        <x:v>0</x:v>
      </x:c>
      <x:c r="X922" t="n">
        <x:v>0</x:v>
      </x:c>
      <x:c r="Y922" t="n">
        <x:v>0</x:v>
      </x:c>
      <x:c r="Z922" t="n">
        <x:v>1</x:v>
      </x:c>
      <x:c r="AA922" t="n">
        <x:v>3</x:v>
      </x:c>
      <x:c r="AB922" t="str">
        <x:v>Pass</x:v>
      </x:c>
      <x:c r="AC922" t="str"/>
      <x:c r="AD922" t="str"/>
    </x:row>
    <x:row r="923">
      <x:c r="A923" t="str">
        <x:v>REC0922</x:v>
      </x:c>
      <x:c r="B923" t="n">
        <x:v>921</x:v>
      </x:c>
      <x:c r="C923" t="str">
        <x:v>St. Thomas, USVI</x:v>
      </x:c>
      <x:c r="D923" t="str">
        <x:v>GV</x:v>
      </x:c>
      <x:c r="E923" t="str">
        <x:v>Ground Validation</x:v>
      </x:c>
      <x:c r="F923" t="str">
        <x:v>HD Seaviewer Drop Camera</x:v>
      </x:c>
      <x:c r="G923" t="str">
        <x:v>GV2016_284</x:v>
      </x:c>
      <x:c r="H923" s="28" t="n">
        <x:v>42602</x:v>
      </x:c>
      <x:c r="I923" t="str">
        <x:v>12:44:40</x:v>
      </x:c>
      <x:c r="J923" t="n">
        <x:v>2016</x:v>
      </x:c>
      <x:c r="K923" t="n">
        <x:v>18.2768071</x:v>
      </x:c>
      <x:c r="L923" t="n">
        <x:v>-65.09267007</x:v>
      </x:c>
      <x:c r="M923" t="n">
        <x:v>34.857</x:v>
      </x:c>
      <x:c r="N923" t="str">
        <x:v>https://nccospublicstor.blob.core.windows.net/biomapper/usviinsularshelf2017/videos/low/GV2016_284.mp4</x:v>
      </x:c>
      <x:c r="O923" t="n">
        <x:v>1</x:v>
      </x:c>
      <x:c r="P923" t="n">
        <x:v>0</x:v>
      </x:c>
      <x:c r="Q923" t="n">
        <x:v>0</x:v>
      </x:c>
      <x:c r="R923" t="n">
        <x:v>1</x:v>
      </x:c>
      <x:c r="S923" t="n">
        <x:v>1</x:v>
      </x:c>
      <x:c r="T923" t="n">
        <x:v>1</x:v>
      </x:c>
      <x:c r="U923" t="n">
        <x:v>1</x:v>
      </x:c>
      <x:c r="V923" t="n">
        <x:v>1</x:v>
      </x:c>
      <x:c r="W923" t="n">
        <x:v>0</x:v>
      </x:c>
      <x:c r="X923" t="n">
        <x:v>0</x:v>
      </x:c>
      <x:c r="Y923" t="n">
        <x:v>0</x:v>
      </x:c>
      <x:c r="Z923" t="n">
        <x:v>2</x:v>
      </x:c>
      <x:c r="AA923" t="n">
        <x:v>4</x:v>
      </x:c>
      <x:c r="AB923" t="str">
        <x:v>Pass</x:v>
      </x:c>
      <x:c r="AC923" t="str"/>
      <x:c r="AD923" t="str"/>
    </x:row>
    <x:row r="924">
      <x:c r="A924" t="str">
        <x:v>REC0923</x:v>
      </x:c>
      <x:c r="B924" t="n">
        <x:v>922</x:v>
      </x:c>
      <x:c r="C924" t="str">
        <x:v>St. Thomas, USVI</x:v>
      </x:c>
      <x:c r="D924" t="str">
        <x:v>GV</x:v>
      </x:c>
      <x:c r="E924" t="str">
        <x:v>Ground Validation</x:v>
      </x:c>
      <x:c r="F924" t="str">
        <x:v>HD Seaviewer Drop Camera</x:v>
      </x:c>
      <x:c r="G924" t="str">
        <x:v>GV2016_285</x:v>
      </x:c>
      <x:c r="H924" s="28" t="n">
        <x:v>42609</x:v>
      </x:c>
      <x:c r="I924" t="str">
        <x:v>11:53:37</x:v>
      </x:c>
      <x:c r="J924" t="n">
        <x:v>2016</x:v>
      </x:c>
      <x:c r="K924" t="n">
        <x:v>18.26036741</x:v>
      </x:c>
      <x:c r="L924" t="n">
        <x:v>-65.01923766</x:v>
      </x:c>
      <x:c r="M924" t="n">
        <x:v>35.347</x:v>
      </x:c>
      <x:c r="N924" t="str">
        <x:v>https://nccospublicstor.blob.core.windows.net/biomapper/usviinsularshelf2017/videos/low/GV2016_285.mp4</x:v>
      </x:c>
      <x:c r="O924" t="n">
        <x:v>0</x:v>
      </x:c>
      <x:c r="P924" t="n">
        <x:v>0</x:v>
      </x:c>
      <x:c r="Q924" t="n">
        <x:v>1</x:v>
      </x:c>
      <x:c r="R924" t="n">
        <x:v>1</x:v>
      </x:c>
      <x:c r="S924" t="n">
        <x:v>0</x:v>
      </x:c>
      <x:c r="T924" t="n">
        <x:v>0</x:v>
      </x:c>
      <x:c r="U924" t="n">
        <x:v>1</x:v>
      </x:c>
      <x:c r="V924" t="n">
        <x:v>1</x:v>
      </x:c>
      <x:c r="W924" t="n">
        <x:v>0</x:v>
      </x:c>
      <x:c r="X924" t="n">
        <x:v>0</x:v>
      </x:c>
      <x:c r="Y924" t="n">
        <x:v>0</x:v>
      </x:c>
      <x:c r="Z924" t="n">
        <x:v>2</x:v>
      </x:c>
      <x:c r="AA924" t="n">
        <x:v>2</x:v>
      </x:c>
      <x:c r="AB924" t="str">
        <x:v>Pass</x:v>
      </x:c>
      <x:c r="AC924" t="str"/>
      <x:c r="AD924" t="str"/>
    </x:row>
    <x:row r="925">
      <x:c r="A925" t="str">
        <x:v>REC0924</x:v>
      </x:c>
      <x:c r="B925" t="n">
        <x:v>923</x:v>
      </x:c>
      <x:c r="C925" t="str">
        <x:v>St. John, USVI</x:v>
      </x:c>
      <x:c r="D925" t="str">
        <x:v>GV</x:v>
      </x:c>
      <x:c r="E925" t="str">
        <x:v>Ground Validation</x:v>
      </x:c>
      <x:c r="F925" t="str">
        <x:v>HD Seaviewer Drop Camera</x:v>
      </x:c>
      <x:c r="G925" t="str">
        <x:v>GV2016_286</x:v>
      </x:c>
      <x:c r="H925" s="28" t="n">
        <x:v>42630</x:v>
      </x:c>
      <x:c r="I925" t="str">
        <x:v>08:25:05</x:v>
      </x:c>
      <x:c r="J925" t="n">
        <x:v>2016</x:v>
      </x:c>
      <x:c r="K925" t="n">
        <x:v>18.24440572</x:v>
      </x:c>
      <x:c r="L925" t="n">
        <x:v>-64.70943637</x:v>
      </x:c>
      <x:c r="M925" t="n">
        <x:v>45.539</x:v>
      </x:c>
      <x:c r="N925" t="str">
        <x:v>https://nccospublicstor.blob.core.windows.net/biomapper/usviinsularshelf2017/videos/low/GV2016_286.mp4</x:v>
      </x:c>
      <x:c r="O925" t="n">
        <x:v>0</x:v>
      </x:c>
      <x:c r="P925" t="n">
        <x:v>0</x:v>
      </x:c>
      <x:c r="Q925" t="n">
        <x:v>1</x:v>
      </x:c>
      <x:c r="R925" t="n">
        <x:v>0</x:v>
      </x:c>
      <x:c r="S925" t="n">
        <x:v>1</x:v>
      </x:c>
      <x:c r="T925" t="n">
        <x:v>0</x:v>
      </x:c>
      <x:c r="U925" t="n">
        <x:v>1</x:v>
      </x:c>
      <x:c r="V925" t="n">
        <x:v>1</x:v>
      </x:c>
      <x:c r="W925" t="n">
        <x:v>0</x:v>
      </x:c>
      <x:c r="X925" t="n">
        <x:v>0</x:v>
      </x:c>
      <x:c r="Y925" t="n">
        <x:v>0</x:v>
      </x:c>
      <x:c r="Z925" t="n">
        <x:v>1</x:v>
      </x:c>
      <x:c r="AA925" t="n">
        <x:v>3</x:v>
      </x:c>
      <x:c r="AB925" t="str">
        <x:v>Pass</x:v>
      </x:c>
      <x:c r="AC925" t="str"/>
      <x:c r="AD925" t="str"/>
    </x:row>
    <x:row r="926">
      <x:c r="A926" t="str">
        <x:v>REC0925</x:v>
      </x:c>
      <x:c r="B926" t="n">
        <x:v>924</x:v>
      </x:c>
      <x:c r="C926" t="str">
        <x:v>St. John, USVI</x:v>
      </x:c>
      <x:c r="D926" t="str">
        <x:v>GV</x:v>
      </x:c>
      <x:c r="E926" t="str">
        <x:v>Ground Validation</x:v>
      </x:c>
      <x:c r="F926" t="str">
        <x:v>HD Seaviewer Drop Camera</x:v>
      </x:c>
      <x:c r="G926" t="str">
        <x:v>GV2016_287</x:v>
      </x:c>
      <x:c r="H926" s="28" t="n">
        <x:v>42626</x:v>
      </x:c>
      <x:c r="I926" t="str">
        <x:v>12:31:24</x:v>
      </x:c>
      <x:c r="J926" t="n">
        <x:v>2016</x:v>
      </x:c>
      <x:c r="K926" t="n">
        <x:v>18.22454106</x:v>
      </x:c>
      <x:c r="L926" t="n">
        <x:v>-64.80991659</x:v>
      </x:c>
      <x:c r="M926" t="n">
        <x:v>52.5</x:v>
      </x:c>
      <x:c r="N926" t="str">
        <x:v>https://nccospublicstor.blob.core.windows.net/biomapper/usviinsularshelf2017/videos/low/GV2016_287.mp4</x:v>
      </x:c>
      <x:c r="O926" t="n">
        <x:v>0</x:v>
      </x:c>
      <x:c r="P926" t="n">
        <x:v>1</x:v>
      </x:c>
      <x:c r="Q926" t="n">
        <x:v>1</x:v>
      </x:c>
      <x:c r="R926" t="n">
        <x:v>0</x:v>
      </x:c>
      <x:c r="S926" t="n">
        <x:v>0</x:v>
      </x:c>
      <x:c r="T926" t="n">
        <x:v>0</x:v>
      </x:c>
      <x:c r="U926" t="n">
        <x:v>1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2</x:v>
      </x:c>
      <x:c r="AA926" t="n">
        <x:v>1</x:v>
      </x:c>
      <x:c r="AB926" t="str">
        <x:v>Pass</x:v>
      </x:c>
      <x:c r="AC926" t="str"/>
      <x:c r="AD926" t="str"/>
    </x:row>
    <x:row r="927">
      <x:c r="A927" t="str">
        <x:v>REC0926</x:v>
      </x:c>
      <x:c r="B927" t="n">
        <x:v>925</x:v>
      </x:c>
      <x:c r="C927" t="str">
        <x:v>St. Thomas, USVI</x:v>
      </x:c>
      <x:c r="D927" t="str">
        <x:v>GV</x:v>
      </x:c>
      <x:c r="E927" t="str">
        <x:v>Ground Validation</x:v>
      </x:c>
      <x:c r="F927" t="str">
        <x:v>HD Seaviewer Drop Camera</x:v>
      </x:c>
      <x:c r="G927" t="str">
        <x:v>GV2016_288</x:v>
      </x:c>
      <x:c r="H927" s="28" t="n">
        <x:v>42610</x:v>
      </x:c>
      <x:c r="I927" t="str">
        <x:v>08:45:51</x:v>
      </x:c>
      <x:c r="J927" t="n">
        <x:v>2016</x:v>
      </x:c>
      <x:c r="K927" t="n">
        <x:v>18.20462336</x:v>
      </x:c>
      <x:c r="L927" t="n">
        <x:v>-64.85427047</x:v>
      </x:c>
      <x:c r="M927" t="n">
        <x:v>52.69</x:v>
      </x:c>
      <x:c r="N927" t="str">
        <x:v>https://nccospublicstor.blob.core.windows.net/biomapper/usviinsularshelf2017/videos/low/GV2016_288.mp4</x:v>
      </x:c>
      <x:c r="O927" t="n">
        <x:v>0</x:v>
      </x:c>
      <x:c r="P927" t="n">
        <x:v>1</x:v>
      </x:c>
      <x:c r="Q927" t="n">
        <x:v>1</x:v>
      </x:c>
      <x:c r="R927" t="n">
        <x:v>0</x:v>
      </x:c>
      <x:c r="S927" t="n">
        <x:v>0</x:v>
      </x:c>
      <x:c r="T927" t="n">
        <x:v>0</x:v>
      </x:c>
      <x:c r="U927" t="n">
        <x:v>1</x:v>
      </x:c>
      <x:c r="V927" t="n">
        <x:v>1</x:v>
      </x:c>
      <x:c r="W927" t="n">
        <x:v>0</x:v>
      </x:c>
      <x:c r="X927" t="n">
        <x:v>0</x:v>
      </x:c>
      <x:c r="Y927" t="n">
        <x:v>0</x:v>
      </x:c>
      <x:c r="Z927" t="n">
        <x:v>2</x:v>
      </x:c>
      <x:c r="AA927" t="n">
        <x:v>2</x:v>
      </x:c>
      <x:c r="AB927" t="str">
        <x:v>Pass</x:v>
      </x:c>
      <x:c r="AC927" t="str"/>
      <x:c r="AD927" t="str"/>
    </x:row>
    <x:row r="928">
      <x:c r="A928" t="str">
        <x:v>REC0927</x:v>
      </x:c>
      <x:c r="B928" t="n">
        <x:v>926</x:v>
      </x:c>
      <x:c r="C928" t="str">
        <x:v>St. John, USVI</x:v>
      </x:c>
      <x:c r="D928" t="str">
        <x:v>GV</x:v>
      </x:c>
      <x:c r="E928" t="str">
        <x:v>Ground Validation</x:v>
      </x:c>
      <x:c r="F928" t="str">
        <x:v>HD Seaviewer Drop Camera</x:v>
      </x:c>
      <x:c r="G928" t="str">
        <x:v>GV2016_289</x:v>
      </x:c>
      <x:c r="H928" s="28" t="n">
        <x:v>42624</x:v>
      </x:c>
      <x:c r="I928" t="str">
        <x:v>10:40:08</x:v>
      </x:c>
      <x:c r="J928" t="n">
        <x:v>2016</x:v>
      </x:c>
      <x:c r="K928" t="n">
        <x:v>18.2891428</x:v>
      </x:c>
      <x:c r="L928" t="n">
        <x:v>-64.70483836</x:v>
      </x:c>
      <x:c r="M928" t="n">
        <x:v>33.008</x:v>
      </x:c>
      <x:c r="N928" t="str">
        <x:v>https://nccospublicstor.blob.core.windows.net/biomapper/usviinsularshelf2017/videos/low/GV2016_289.mp4</x:v>
      </x:c>
      <x:c r="O928" t="n">
        <x:v>0</x:v>
      </x:c>
      <x:c r="P928" t="n">
        <x:v>0</x:v>
      </x:c>
      <x:c r="Q928" t="n">
        <x:v>1</x:v>
      </x:c>
      <x:c r="R928" t="n">
        <x:v>0</x:v>
      </x:c>
      <x:c r="S928" t="n">
        <x:v>0</x:v>
      </x:c>
      <x:c r="T928" t="n">
        <x:v>0</x:v>
      </x:c>
      <x:c r="U928" t="n">
        <x:v>1</x:v>
      </x:c>
      <x:c r="V928" t="n">
        <x:v>1</x:v>
      </x:c>
      <x:c r="W928" t="n">
        <x:v>0</x:v>
      </x:c>
      <x:c r="X928" t="n">
        <x:v>0</x:v>
      </x:c>
      <x:c r="Y928" t="n">
        <x:v>0</x:v>
      </x:c>
      <x:c r="Z928" t="n">
        <x:v>1</x:v>
      </x:c>
      <x:c r="AA928" t="n">
        <x:v>2</x:v>
      </x:c>
      <x:c r="AB928" t="str">
        <x:v>Pass</x:v>
      </x:c>
      <x:c r="AC928" t="str"/>
      <x:c r="AD928" t="str"/>
    </x:row>
    <x:row r="929">
      <x:c r="A929" t="str">
        <x:v>REC0928</x:v>
      </x:c>
      <x:c r="B929" t="n">
        <x:v>927</x:v>
      </x:c>
      <x:c r="C929" t="str">
        <x:v>Puerto Rico</x:v>
      </x:c>
      <x:c r="D929" t="str">
        <x:v>GV</x:v>
      </x:c>
      <x:c r="E929" t="str">
        <x:v>Ground Validation</x:v>
      </x:c>
      <x:c r="F929" t="str">
        <x:v>HD Seaviewer Drop Camera</x:v>
      </x:c>
      <x:c r="G929" t="str">
        <x:v>GV2016_290</x:v>
      </x:c>
      <x:c r="H929" s="28" t="n">
        <x:v>42607</x:v>
      </x:c>
      <x:c r="I929" t="str">
        <x:v>11:30:49</x:v>
      </x:c>
      <x:c r="J929" t="n">
        <x:v>2016</x:v>
      </x:c>
      <x:c r="K929" t="n">
        <x:v>18.21979347</x:v>
      </x:c>
      <x:c r="L929" t="n">
        <x:v>-65.13775291</x:v>
      </x:c>
      <x:c r="M929" t="n">
        <x:v>34.495</x:v>
      </x:c>
      <x:c r="N929" t="str">
        <x:v>https://nccospublicstor.blob.core.windows.net/biomapper/usviinsularshelf2017/videos/low/GV2016_290.mp4</x:v>
      </x:c>
      <x:c r="O929" t="n">
        <x:v>1</x:v>
      </x:c>
      <x:c r="P929" t="n">
        <x:v>0</x:v>
      </x:c>
      <x:c r="Q929" t="n">
        <x:v>0</x:v>
      </x:c>
      <x:c r="R929" t="n">
        <x:v>0</x:v>
      </x:c>
      <x:c r="S929" t="n">
        <x:v>1</x:v>
      </x:c>
      <x:c r="T929" t="n">
        <x:v>1</x:v>
      </x:c>
      <x:c r="U929" t="n">
        <x:v>1</x:v>
      </x:c>
      <x:c r="V929" t="n">
        <x:v>1</x:v>
      </x:c>
      <x:c r="W929" t="n">
        <x:v>0</x:v>
      </x:c>
      <x:c r="X929" t="n">
        <x:v>0</x:v>
      </x:c>
      <x:c r="Y929" t="n">
        <x:v>0</x:v>
      </x:c>
      <x:c r="Z929" t="n">
        <x:v>1</x:v>
      </x:c>
      <x:c r="AA929" t="n">
        <x:v>4</x:v>
      </x:c>
      <x:c r="AB929" t="str">
        <x:v>Pass</x:v>
      </x:c>
      <x:c r="AC929" t="str"/>
      <x:c r="AD929" t="str"/>
    </x:row>
    <x:row r="930">
      <x:c r="A930" t="str">
        <x:v>REC0929</x:v>
      </x:c>
      <x:c r="B930" t="n">
        <x:v>928</x:v>
      </x:c>
      <x:c r="C930" t="str">
        <x:v>St. Thomas, USVI</x:v>
      </x:c>
      <x:c r="D930" t="str">
        <x:v>GV</x:v>
      </x:c>
      <x:c r="E930" t="str">
        <x:v>Ground Validation</x:v>
      </x:c>
      <x:c r="F930" t="str">
        <x:v>HD Seaviewer Drop Camera</x:v>
      </x:c>
      <x:c r="G930" t="str">
        <x:v>GV2016_291</x:v>
      </x:c>
      <x:c r="H930" s="28" t="n">
        <x:v>42608</x:v>
      </x:c>
      <x:c r="I930" t="str">
        <x:v>14:40:38</x:v>
      </x:c>
      <x:c r="J930" t="n">
        <x:v>2016</x:v>
      </x:c>
      <x:c r="K930" t="n">
        <x:v>18.20649402</x:v>
      </x:c>
      <x:c r="L930" t="n">
        <x:v>-65.12448771</x:v>
      </x:c>
      <x:c r="M930" t="n">
        <x:v>40.361</x:v>
      </x:c>
      <x:c r="N930" t="str">
        <x:v>https://nccospublicstor.blob.core.windows.net/biomapper/usviinsularshelf2017/videos/low/GV2016_291.mp4</x:v>
      </x:c>
      <x:c r="O930" t="n">
        <x:v>1</x:v>
      </x:c>
      <x:c r="P930" t="n">
        <x:v>0</x:v>
      </x:c>
      <x:c r="Q930" t="n">
        <x:v>0</x:v>
      </x:c>
      <x:c r="R930" t="n">
        <x:v>0</x:v>
      </x:c>
      <x:c r="S930" t="n">
        <x:v>1</x:v>
      </x:c>
      <x:c r="T930" t="n">
        <x:v>0</x:v>
      </x:c>
      <x:c r="U930" t="n">
        <x:v>1</x:v>
      </x:c>
      <x:c r="V930" t="n">
        <x:v>1</x:v>
      </x:c>
      <x:c r="W930" t="n">
        <x:v>0</x:v>
      </x:c>
      <x:c r="X930" t="n">
        <x:v>0</x:v>
      </x:c>
      <x:c r="Y930" t="n">
        <x:v>0</x:v>
      </x:c>
      <x:c r="Z930" t="n">
        <x:v>1</x:v>
      </x:c>
      <x:c r="AA930" t="n">
        <x:v>3</x:v>
      </x:c>
      <x:c r="AB930" t="str">
        <x:v>Pass</x:v>
      </x:c>
      <x:c r="AC930" t="str"/>
      <x:c r="AD930" t="str"/>
    </x:row>
    <x:row r="931">
      <x:c r="A931" t="str">
        <x:v>REC0930</x:v>
      </x:c>
      <x:c r="B931" t="n">
        <x:v>929</x:v>
      </x:c>
      <x:c r="C931" t="str">
        <x:v>St. John, USVI</x:v>
      </x:c>
      <x:c r="D931" t="str">
        <x:v>GV</x:v>
      </x:c>
      <x:c r="E931" t="str">
        <x:v>Ground Validation</x:v>
      </x:c>
      <x:c r="F931" t="str">
        <x:v>HD Seaviewer Drop Camera</x:v>
      </x:c>
      <x:c r="G931" t="str">
        <x:v>GV2016_293</x:v>
      </x:c>
      <x:c r="H931" s="28" t="n">
        <x:v>42630</x:v>
      </x:c>
      <x:c r="I931" t="str">
        <x:v>08:56:05</x:v>
      </x:c>
      <x:c r="J931" t="n">
        <x:v>2016</x:v>
      </x:c>
      <x:c r="K931" t="n">
        <x:v>18.2480711</x:v>
      </x:c>
      <x:c r="L931" t="n">
        <x:v>-64.69903926</x:v>
      </x:c>
      <x:c r="M931" t="n">
        <x:v>48.33</x:v>
      </x:c>
      <x:c r="N931" t="str">
        <x:v>https://nccospublicstor.blob.core.windows.net/biomapper/usviinsularshelf2017/videos/low/GV2016_293.mp4</x:v>
      </x:c>
      <x:c r="O931" t="n">
        <x:v>0</x:v>
      </x:c>
      <x:c r="P931" t="n">
        <x:v>0</x:v>
      </x:c>
      <x:c r="Q931" t="n">
        <x:v>1</x:v>
      </x:c>
      <x:c r="R931" t="n">
        <x:v>1</x:v>
      </x:c>
      <x:c r="S931" t="n">
        <x:v>0</x:v>
      </x:c>
      <x:c r="T931" t="n">
        <x:v>0</x:v>
      </x:c>
      <x:c r="U931" t="n">
        <x:v>1</x:v>
      </x:c>
      <x:c r="V931" t="n">
        <x:v>1</x:v>
      </x:c>
      <x:c r="W931" t="n">
        <x:v>0</x:v>
      </x:c>
      <x:c r="X931" t="n">
        <x:v>0</x:v>
      </x:c>
      <x:c r="Y931" t="n">
        <x:v>0</x:v>
      </x:c>
      <x:c r="Z931" t="n">
        <x:v>2</x:v>
      </x:c>
      <x:c r="AA931" t="n">
        <x:v>2</x:v>
      </x:c>
      <x:c r="AB931" t="str">
        <x:v>Pass</x:v>
      </x:c>
      <x:c r="AC931" t="str"/>
      <x:c r="AD931" t="str"/>
    </x:row>
    <x:row r="932">
      <x:c r="A932" t="str">
        <x:v>REC0931</x:v>
      </x:c>
      <x:c r="B932" t="n">
        <x:v>930</x:v>
      </x:c>
      <x:c r="C932" t="str">
        <x:v>Puerto Rico</x:v>
      </x:c>
      <x:c r="D932" t="str">
        <x:v>GV</x:v>
      </x:c>
      <x:c r="E932" t="str">
        <x:v>Ground Validation</x:v>
      </x:c>
      <x:c r="F932" t="str">
        <x:v>HD Seaviewer Drop Camera</x:v>
      </x:c>
      <x:c r="G932" t="str">
        <x:v>GV2016_294</x:v>
      </x:c>
      <x:c r="H932" s="28" t="n">
        <x:v>42605</x:v>
      </x:c>
      <x:c r="I932" t="str">
        <x:v>13:12:58</x:v>
      </x:c>
      <x:c r="J932" t="n">
        <x:v>2016</x:v>
      </x:c>
      <x:c r="K932" t="n">
        <x:v>18.16885208</x:v>
      </x:c>
      <x:c r="L932" t="n">
        <x:v>-65.17411374</x:v>
      </x:c>
      <x:c r="M932" t="n">
        <x:v>49.639</x:v>
      </x:c>
      <x:c r="N932" t="str">
        <x:v>https://nccospublicstor.blob.core.windows.net/biomapper/usviinsularshelf2017/videos/low/GV2016_294.mp4</x:v>
      </x:c>
      <x:c r="O932" t="n">
        <x:v>1</x:v>
      </x:c>
      <x:c r="P932" t="n">
        <x:v>0</x:v>
      </x:c>
      <x:c r="Q932" t="n">
        <x:v>0</x:v>
      </x:c>
      <x:c r="R932" t="n">
        <x:v>1</x:v>
      </x:c>
      <x:c r="S932" t="n">
        <x:v>0</x:v>
      </x:c>
      <x:c r="T932" t="n">
        <x:v>0</x:v>
      </x:c>
      <x:c r="U932" t="n">
        <x:v>1</x:v>
      </x:c>
      <x:c r="V932" t="n">
        <x:v>1</x:v>
      </x:c>
      <x:c r="W932" t="n">
        <x:v>0</x:v>
      </x:c>
      <x:c r="X932" t="n">
        <x:v>0</x:v>
      </x:c>
      <x:c r="Y932" t="n">
        <x:v>0</x:v>
      </x:c>
      <x:c r="Z932" t="n">
        <x:v>2</x:v>
      </x:c>
      <x:c r="AA932" t="n">
        <x:v>2</x:v>
      </x:c>
      <x:c r="AB932" t="str">
        <x:v>Pass</x:v>
      </x:c>
      <x:c r="AC932" t="str"/>
      <x:c r="AD932" t="str"/>
    </x:row>
    <x:row r="933">
      <x:c r="A933" t="str">
        <x:v>REC0932</x:v>
      </x:c>
      <x:c r="B933" t="n">
        <x:v>931</x:v>
      </x:c>
      <x:c r="C933" t="str">
        <x:v>St. John, USVI</x:v>
      </x:c>
      <x:c r="D933" t="str">
        <x:v>GV</x:v>
      </x:c>
      <x:c r="E933" t="str">
        <x:v>Ground Validation</x:v>
      </x:c>
      <x:c r="F933" t="str">
        <x:v>HD Seaviewer Drop Camera</x:v>
      </x:c>
      <x:c r="G933" t="str">
        <x:v>GV2016_295</x:v>
      </x:c>
      <x:c r="H933" s="28" t="n">
        <x:v>42630</x:v>
      </x:c>
      <x:c r="I933" t="str">
        <x:v>10:35:40</x:v>
      </x:c>
      <x:c r="J933" t="n">
        <x:v>2016</x:v>
      </x:c>
      <x:c r="K933" t="n">
        <x:v>18.21195374</x:v>
      </x:c>
      <x:c r="L933" t="n">
        <x:v>-64.71689113</x:v>
      </x:c>
      <x:c r="M933" t="n">
        <x:v>56.908</x:v>
      </x:c>
      <x:c r="N933" t="str">
        <x:v>https://nccospublicstor.blob.core.windows.net/biomapper/usviinsularshelf2017/videos/low/GV2016_295.mp4</x:v>
      </x:c>
      <x:c r="O933" t="n">
        <x:v>0</x:v>
      </x:c>
      <x:c r="P933" t="n">
        <x:v>1</x:v>
      </x:c>
      <x:c r="Q933" t="n">
        <x:v>1</x:v>
      </x:c>
      <x:c r="R933" t="n">
        <x:v>0</x:v>
      </x:c>
      <x:c r="S933" t="n">
        <x:v>1</x:v>
      </x:c>
      <x:c r="T933" t="n">
        <x:v>0</x:v>
      </x:c>
      <x:c r="U933" t="n">
        <x:v>1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2</x:v>
      </x:c>
      <x:c r="AA933" t="n">
        <x:v>2</x:v>
      </x:c>
      <x:c r="AB933" t="str">
        <x:v>Pass</x:v>
      </x:c>
      <x:c r="AC933" t="str"/>
      <x:c r="AD933" t="str"/>
    </x:row>
    <x:row r="934">
      <x:c r="A934" t="str">
        <x:v>REC0933</x:v>
      </x:c>
      <x:c r="B934" t="n">
        <x:v>932</x:v>
      </x:c>
      <x:c r="C934" t="str">
        <x:v>St. Thomas, USVI</x:v>
      </x:c>
      <x:c r="D934" t="str">
        <x:v>GV</x:v>
      </x:c>
      <x:c r="E934" t="str">
        <x:v>Ground Validation</x:v>
      </x:c>
      <x:c r="F934" t="str">
        <x:v>HD Seaviewer Drop Camera</x:v>
      </x:c>
      <x:c r="G934" t="str">
        <x:v>GV2016_296</x:v>
      </x:c>
      <x:c r="H934" s="28" t="n">
        <x:v>42610</x:v>
      </x:c>
      <x:c r="I934" t="str">
        <x:v>08:52:52</x:v>
      </x:c>
      <x:c r="J934" t="n">
        <x:v>2016</x:v>
      </x:c>
      <x:c r="K934" t="n">
        <x:v>18.19903818</x:v>
      </x:c>
      <x:c r="L934" t="n">
        <x:v>-64.86261215</x:v>
      </x:c>
      <x:c r="M934" t="n">
        <x:v>47.764</x:v>
      </x:c>
      <x:c r="N934" t="str">
        <x:v>https://nccospublicstor.blob.core.windows.net/biomapper/usviinsularshelf2017/videos/low/GV2016_296.mp4</x:v>
      </x:c>
      <x:c r="O934" t="n">
        <x:v>0</x:v>
      </x:c>
      <x:c r="P934" t="n">
        <x:v>1</x:v>
      </x:c>
      <x:c r="Q934" t="n">
        <x:v>1</x:v>
      </x:c>
      <x:c r="R934" t="n">
        <x:v>0</x:v>
      </x:c>
      <x:c r="S934" t="n">
        <x:v>0</x:v>
      </x:c>
      <x:c r="T934" t="n">
        <x:v>1</x:v>
      </x:c>
      <x:c r="U934" t="n">
        <x:v>1</x:v>
      </x:c>
      <x:c r="V934" t="n">
        <x:v>1</x:v>
      </x:c>
      <x:c r="W934" t="n">
        <x:v>0</x:v>
      </x:c>
      <x:c r="X934" t="n">
        <x:v>0</x:v>
      </x:c>
      <x:c r="Y934" t="n">
        <x:v>0</x:v>
      </x:c>
      <x:c r="Z934" t="n">
        <x:v>2</x:v>
      </x:c>
      <x:c r="AA934" t="n">
        <x:v>3</x:v>
      </x:c>
      <x:c r="AB934" t="str">
        <x:v>Pass</x:v>
      </x:c>
      <x:c r="AC934" t="str"/>
      <x:c r="AD934" t="str"/>
    </x:row>
    <x:row r="935">
      <x:c r="A935" t="str">
        <x:v>REC0934</x:v>
      </x:c>
      <x:c r="B935" t="n">
        <x:v>933</x:v>
      </x:c>
      <x:c r="C935" t="str">
        <x:v>St. Thomas, USVI</x:v>
      </x:c>
      <x:c r="D935" t="str">
        <x:v>GV</x:v>
      </x:c>
      <x:c r="E935" t="str">
        <x:v>Ground Validation</x:v>
      </x:c>
      <x:c r="F935" t="str">
        <x:v>HD Seaviewer Drop Camera</x:v>
      </x:c>
      <x:c r="G935" t="str">
        <x:v>GV2016_297</x:v>
      </x:c>
      <x:c r="H935" s="28" t="n">
        <x:v>42612</x:v>
      </x:c>
      <x:c r="I935" t="str">
        <x:v>14:00:55</x:v>
      </x:c>
      <x:c r="J935" t="n">
        <x:v>2016</x:v>
      </x:c>
      <x:c r="K935" t="n">
        <x:v>18.29028586</x:v>
      </x:c>
      <x:c r="L935" t="n">
        <x:v>-64.81912099</x:v>
      </x:c>
      <x:c r="M935" t="n">
        <x:v>25.269</x:v>
      </x:c>
      <x:c r="N935" t="str">
        <x:v>https://nccospublicstor.blob.core.windows.net/biomapper/usviinsularshelf2017/videos/low/GV2016_297.mp4</x:v>
      </x:c>
      <x:c r="O935" t="n">
        <x:v>0</x:v>
      </x:c>
      <x:c r="P935" t="n">
        <x:v>0</x:v>
      </x:c>
      <x:c r="Q935" t="n">
        <x:v>1</x:v>
      </x:c>
      <x:c r="R935" t="n">
        <x:v>0</x:v>
      </x:c>
      <x:c r="S935" t="n">
        <x:v>0</x:v>
      </x:c>
      <x:c r="T935" t="n">
        <x:v>0</x:v>
      </x:c>
      <x:c r="U935" t="n">
        <x:v>1</x:v>
      </x:c>
      <x:c r="V935" t="n">
        <x:v>1</x:v>
      </x:c>
      <x:c r="W935" t="n">
        <x:v>0</x:v>
      </x:c>
      <x:c r="X935" t="n">
        <x:v>0</x:v>
      </x:c>
      <x:c r="Y935" t="n">
        <x:v>0</x:v>
      </x:c>
      <x:c r="Z935" t="n">
        <x:v>1</x:v>
      </x:c>
      <x:c r="AA935" t="n">
        <x:v>2</x:v>
      </x:c>
      <x:c r="AB935" t="str">
        <x:v>Pass</x:v>
      </x:c>
      <x:c r="AC935" t="str"/>
      <x:c r="AD935" t="str"/>
    </x:row>
    <x:row r="936">
      <x:c r="A936" t="str">
        <x:v>REC0935</x:v>
      </x:c>
      <x:c r="B936" t="n">
        <x:v>934</x:v>
      </x:c>
      <x:c r="C936" t="str">
        <x:v>St. John, USVI</x:v>
      </x:c>
      <x:c r="D936" t="str">
        <x:v>GV</x:v>
      </x:c>
      <x:c r="E936" t="str">
        <x:v>Ground Validation</x:v>
      </x:c>
      <x:c r="F936" t="str">
        <x:v>HD Seaviewer Drop Camera</x:v>
      </x:c>
      <x:c r="G936" t="str">
        <x:v>GV2016_298</x:v>
      </x:c>
      <x:c r="H936" s="28" t="n">
        <x:v>42630</x:v>
      </x:c>
      <x:c r="I936" t="str">
        <x:v>12:04:34</x:v>
      </x:c>
      <x:c r="J936" t="n">
        <x:v>2016</x:v>
      </x:c>
      <x:c r="K936" t="n">
        <x:v>18.21562682</x:v>
      </x:c>
      <x:c r="L936" t="n">
        <x:v>-64.75575177</x:v>
      </x:c>
      <x:c r="M936" t="n">
        <x:v>52.478</x:v>
      </x:c>
      <x:c r="N936" t="str">
        <x:v>https://nccospublicstor.blob.core.windows.net/biomapper/usviinsularshelf2017/videos/low/GV2016_298.mp4</x:v>
      </x:c>
      <x:c r="O936" t="n">
        <x:v>0</x:v>
      </x:c>
      <x:c r="P936" t="n">
        <x:v>0</x:v>
      </x:c>
      <x:c r="Q936" t="n">
        <x:v>1</x:v>
      </x:c>
      <x:c r="R936" t="n">
        <x:v>0</x:v>
      </x:c>
      <x:c r="S936" t="n">
        <x:v>1</x:v>
      </x:c>
      <x:c r="T936" t="n">
        <x:v>0</x:v>
      </x:c>
      <x:c r="U936" t="n">
        <x:v>1</x:v>
      </x:c>
      <x:c r="V936" t="n">
        <x:v>1</x:v>
      </x:c>
      <x:c r="W936" t="n">
        <x:v>0</x:v>
      </x:c>
      <x:c r="X936" t="n">
        <x:v>0</x:v>
      </x:c>
      <x:c r="Y936" t="n">
        <x:v>0</x:v>
      </x:c>
      <x:c r="Z936" t="n">
        <x:v>1</x:v>
      </x:c>
      <x:c r="AA936" t="n">
        <x:v>3</x:v>
      </x:c>
      <x:c r="AB936" t="str">
        <x:v>Pass</x:v>
      </x:c>
      <x:c r="AC936" t="str"/>
      <x:c r="AD936" t="str"/>
    </x:row>
    <x:row r="937">
      <x:c r="A937" t="str">
        <x:v>REC0936</x:v>
      </x:c>
      <x:c r="B937" t="n">
        <x:v>935</x:v>
      </x:c>
      <x:c r="C937" t="str">
        <x:v>Puerto Rico</x:v>
      </x:c>
      <x:c r="D937" t="str">
        <x:v>GV</x:v>
      </x:c>
      <x:c r="E937" t="str">
        <x:v>Ground Validation</x:v>
      </x:c>
      <x:c r="F937" t="str">
        <x:v>HD Seaviewer Drop Camera</x:v>
      </x:c>
      <x:c r="G937" t="str">
        <x:v>GV2016_299</x:v>
      </x:c>
      <x:c r="H937" s="28" t="n">
        <x:v>42605</x:v>
      </x:c>
      <x:c r="I937" t="str">
        <x:v>09:14:11</x:v>
      </x:c>
      <x:c r="J937" t="n">
        <x:v>2016</x:v>
      </x:c>
      <x:c r="K937" t="n">
        <x:v>18.20258833</x:v>
      </x:c>
      <x:c r="L937" t="n">
        <x:v>-65.1887673</x:v>
      </x:c>
      <x:c r="M937" t="n">
        <x:v>36.257</x:v>
      </x:c>
      <x:c r="N937" t="str">
        <x:v>https://nccospublicstor.blob.core.windows.net/biomapper/usviinsularshelf2017/videos/low/GV2016_299.mp4</x:v>
      </x:c>
      <x:c r="O937" t="n">
        <x:v>1</x:v>
      </x:c>
      <x:c r="P937" t="n">
        <x:v>0</x:v>
      </x:c>
      <x:c r="Q937" t="n">
        <x:v>0</x:v>
      </x:c>
      <x:c r="R937" t="n">
        <x:v>0</x:v>
      </x:c>
      <x:c r="S937" t="n">
        <x:v>1</x:v>
      </x:c>
      <x:c r="T937" t="n">
        <x:v>1</x:v>
      </x:c>
      <x:c r="U937" t="n">
        <x:v>1</x:v>
      </x:c>
      <x:c r="V937" t="n">
        <x:v>1</x:v>
      </x:c>
      <x:c r="W937" t="n">
        <x:v>0</x:v>
      </x:c>
      <x:c r="X937" t="n">
        <x:v>0</x:v>
      </x:c>
      <x:c r="Y937" t="n">
        <x:v>0</x:v>
      </x:c>
      <x:c r="Z937" t="n">
        <x:v>1</x:v>
      </x:c>
      <x:c r="AA937" t="n">
        <x:v>4</x:v>
      </x:c>
      <x:c r="AB937" t="str">
        <x:v>Pass</x:v>
      </x:c>
      <x:c r="AC937" t="str"/>
      <x:c r="AD937" t="str"/>
    </x:row>
    <x:row r="938">
      <x:c r="A938" t="str">
        <x:v>REC0937</x:v>
      </x:c>
      <x:c r="B938" t="n">
        <x:v>936</x:v>
      </x:c>
      <x:c r="C938" t="str">
        <x:v>St. Thomas, USVI</x:v>
      </x:c>
      <x:c r="D938" t="str">
        <x:v>GV</x:v>
      </x:c>
      <x:c r="E938" t="str">
        <x:v>Ground Validation</x:v>
      </x:c>
      <x:c r="F938" t="str">
        <x:v>HD Seaviewer Drop Camera</x:v>
      </x:c>
      <x:c r="G938" t="str">
        <x:v>GV2016_300</x:v>
      </x:c>
      <x:c r="H938" s="28" t="n">
        <x:v>42608</x:v>
      </x:c>
      <x:c r="I938" t="str">
        <x:v>14:17:14</x:v>
      </x:c>
      <x:c r="J938" t="n">
        <x:v>2016</x:v>
      </x:c>
      <x:c r="K938" t="n">
        <x:v>18.19087635</x:v>
      </x:c>
      <x:c r="L938" t="n">
        <x:v>-65.12195419</x:v>
      </x:c>
      <x:c r="M938" t="n">
        <x:v>41.445</x:v>
      </x:c>
      <x:c r="N938" t="str">
        <x:v>https://nccospublicstor.blob.core.windows.net/biomapper/usviinsularshelf2017/videos/low/GV2016_300.mp4</x:v>
      </x:c>
      <x:c r="O938" t="n">
        <x:v>1</x:v>
      </x:c>
      <x:c r="P938" t="n">
        <x:v>0</x:v>
      </x:c>
      <x:c r="Q938" t="n">
        <x:v>0</x:v>
      </x:c>
      <x:c r="R938" t="n">
        <x:v>0</x:v>
      </x:c>
      <x:c r="S938" t="n">
        <x:v>1</x:v>
      </x:c>
      <x:c r="T938" t="n">
        <x:v>1</x:v>
      </x:c>
      <x:c r="U938" t="n">
        <x:v>1</x:v>
      </x:c>
      <x:c r="V938" t="n">
        <x:v>1</x:v>
      </x:c>
      <x:c r="W938" t="n">
        <x:v>0</x:v>
      </x:c>
      <x:c r="X938" t="n">
        <x:v>0</x:v>
      </x:c>
      <x:c r="Y938" t="n">
        <x:v>0</x:v>
      </x:c>
      <x:c r="Z938" t="n">
        <x:v>1</x:v>
      </x:c>
      <x:c r="AA938" t="n">
        <x:v>4</x:v>
      </x:c>
      <x:c r="AB938" t="str">
        <x:v>Pass</x:v>
      </x:c>
      <x:c r="AC938" t="str"/>
      <x:c r="AD938" t="str"/>
    </x:row>
    <x:row r="939">
      <x:c r="A939" t="str">
        <x:v>REC0938</x:v>
      </x:c>
      <x:c r="B939" t="n">
        <x:v>937</x:v>
      </x:c>
      <x:c r="C939" t="str">
        <x:v>Puerto Rico</x:v>
      </x:c>
      <x:c r="D939" t="str">
        <x:v>GV</x:v>
      </x:c>
      <x:c r="E939" t="str">
        <x:v>Ground Validation</x:v>
      </x:c>
      <x:c r="F939" t="str">
        <x:v>HD Seaviewer Drop Camera</x:v>
      </x:c>
      <x:c r="G939" t="str">
        <x:v>GV2016_301</x:v>
      </x:c>
      <x:c r="H939" s="28" t="n">
        <x:v>42603</x:v>
      </x:c>
      <x:c r="I939" t="str">
        <x:v>07:50:03</x:v>
      </x:c>
      <x:c r="J939" t="n">
        <x:v>2016</x:v>
      </x:c>
      <x:c r="K939" t="n">
        <x:v>18.16118098</x:v>
      </x:c>
      <x:c r="L939" t="n">
        <x:v>-65.19541078</x:v>
      </x:c>
      <x:c r="M939" t="n">
        <x:v>36.817</x:v>
      </x:c>
      <x:c r="N939" t="str">
        <x:v>https://nccospublicstor.blob.core.windows.net/biomapper/usviinsularshelf2017/videos/low/GV2016_301.mp4</x:v>
      </x:c>
      <x:c r="O939" t="n">
        <x:v>1</x:v>
      </x:c>
      <x:c r="P939" t="n">
        <x:v>0</x:v>
      </x:c>
      <x:c r="Q939" t="n">
        <x:v>0</x:v>
      </x:c>
      <x:c r="R939" t="n">
        <x:v>0</x:v>
      </x:c>
      <x:c r="S939" t="n">
        <x:v>1</x:v>
      </x:c>
      <x:c r="T939" t="n">
        <x:v>1</x:v>
      </x:c>
      <x:c r="U939" t="n">
        <x:v>1</x:v>
      </x:c>
      <x:c r="V939" t="n">
        <x:v>1</x:v>
      </x:c>
      <x:c r="W939" t="n">
        <x:v>0</x:v>
      </x:c>
      <x:c r="X939" t="n">
        <x:v>0</x:v>
      </x:c>
      <x:c r="Y939" t="n">
        <x:v>0</x:v>
      </x:c>
      <x:c r="Z939" t="n">
        <x:v>1</x:v>
      </x:c>
      <x:c r="AA939" t="n">
        <x:v>4</x:v>
      </x:c>
      <x:c r="AB939" t="str">
        <x:v>Pass</x:v>
      </x:c>
      <x:c r="AC939" t="str"/>
      <x:c r="AD939" t="str">
        <x:v>Coral Bleaching</x:v>
      </x:c>
    </x:row>
    <x:row r="940">
      <x:c r="A940" t="str">
        <x:v>REC0939</x:v>
      </x:c>
      <x:c r="B940" t="n">
        <x:v>938</x:v>
      </x:c>
      <x:c r="C940" t="str">
        <x:v>St. John, USVI</x:v>
      </x:c>
      <x:c r="D940" t="str">
        <x:v>GV</x:v>
      </x:c>
      <x:c r="E940" t="str">
        <x:v>Ground Validation</x:v>
      </x:c>
      <x:c r="F940" t="str">
        <x:v>HD Seaviewer Drop Camera</x:v>
      </x:c>
      <x:c r="G940" t="str">
        <x:v>GV2016_302</x:v>
      </x:c>
      <x:c r="H940" s="28" t="n">
        <x:v>42613</x:v>
      </x:c>
      <x:c r="I940" t="str">
        <x:v>09:38:30</x:v>
      </x:c>
      <x:c r="J940" t="n">
        <x:v>2016</x:v>
      </x:c>
      <x:c r="K940" t="n">
        <x:v>18.29846704</x:v>
      </x:c>
      <x:c r="L940" t="n">
        <x:v>-64.80243261</x:v>
      </x:c>
      <x:c r="M940" t="n">
        <x:v>25.596</x:v>
      </x:c>
      <x:c r="N940" t="str">
        <x:v>https://nccospublicstor.blob.core.windows.net/biomapper/usviinsularshelf2017/videos/low/GV2016_302.mp4</x:v>
      </x:c>
      <x:c r="O940" t="n">
        <x:v>0</x:v>
      </x:c>
      <x:c r="P940" t="n">
        <x:v>0</x:v>
      </x:c>
      <x:c r="Q940" t="n">
        <x:v>1</x:v>
      </x:c>
      <x:c r="R940" t="n">
        <x:v>0</x:v>
      </x:c>
      <x:c r="S940" t="n">
        <x:v>0</x:v>
      </x:c>
      <x:c r="T940" t="n">
        <x:v>0</x:v>
      </x:c>
      <x:c r="U940" t="n">
        <x:v>1</x:v>
      </x:c>
      <x:c r="V940" t="n">
        <x:v>1</x:v>
      </x:c>
      <x:c r="W940" t="n">
        <x:v>0</x:v>
      </x:c>
      <x:c r="X940" t="n">
        <x:v>0</x:v>
      </x:c>
      <x:c r="Y940" t="n">
        <x:v>0</x:v>
      </x:c>
      <x:c r="Z940" t="n">
        <x:v>1</x:v>
      </x:c>
      <x:c r="AA940" t="n">
        <x:v>2</x:v>
      </x:c>
      <x:c r="AB940" t="str">
        <x:v>Pass</x:v>
      </x:c>
      <x:c r="AC940" t="str"/>
      <x:c r="AD940" t="str"/>
    </x:row>
    <x:row r="941">
      <x:c r="A941" t="str">
        <x:v>REC0940</x:v>
      </x:c>
      <x:c r="B941" t="n">
        <x:v>939</x:v>
      </x:c>
      <x:c r="C941" t="str">
        <x:v>St. John, USVI</x:v>
      </x:c>
      <x:c r="D941" t="str">
        <x:v>GV</x:v>
      </x:c>
      <x:c r="E941" t="str">
        <x:v>Ground Validation</x:v>
      </x:c>
      <x:c r="F941" t="str">
        <x:v>HD Seaviewer Drop Camera</x:v>
      </x:c>
      <x:c r="G941" t="str">
        <x:v>GV2016_303</x:v>
      </x:c>
      <x:c r="H941" s="28" t="n">
        <x:v>42624</x:v>
      </x:c>
      <x:c r="I941" t="str">
        <x:v>10:10:13</x:v>
      </x:c>
      <x:c r="J941" t="n">
        <x:v>2016</x:v>
      </x:c>
      <x:c r="K941" t="n">
        <x:v>18.28792746</x:v>
      </x:c>
      <x:c r="L941" t="n">
        <x:v>-64.6696765</x:v>
      </x:c>
      <x:c r="M941" t="n">
        <x:v>32.443</x:v>
      </x:c>
      <x:c r="N941" t="str">
        <x:v>https://nccospublicstor.blob.core.windows.net/biomapper/usviinsularshelf2017/videos/low/GV2016_303.mp4</x:v>
      </x:c>
      <x:c r="O941" t="n">
        <x:v>0</x:v>
      </x:c>
      <x:c r="P941" t="n">
        <x:v>0</x:v>
      </x:c>
      <x:c r="Q941" t="n">
        <x:v>0</x:v>
      </x:c>
      <x:c r="R941" t="n">
        <x:v>1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1</x:v>
      </x:c>
      <x:c r="Z941" t="n">
        <x:v>1</x:v>
      </x:c>
      <x:c r="AA941" t="n">
        <x:v>0</x:v>
      </x:c>
      <x:c r="AB941" t="str">
        <x:v>Review</x:v>
      </x:c>
      <x:c r="AC941" t="str">
        <x:v>UNKNOWN class present</x:v>
      </x:c>
      <x:c r="AD941" t="str"/>
    </x:row>
    <x:row r="942">
      <x:c r="A942" t="str">
        <x:v>REC0941</x:v>
      </x:c>
      <x:c r="B942" t="n">
        <x:v>940</x:v>
      </x:c>
      <x:c r="C942" t="str">
        <x:v>Puerto Rico</x:v>
      </x:c>
      <x:c r="D942" t="str">
        <x:v>GV</x:v>
      </x:c>
      <x:c r="E942" t="str">
        <x:v>Ground Validation</x:v>
      </x:c>
      <x:c r="F942" t="str">
        <x:v>HD Seaviewer Drop Camera</x:v>
      </x:c>
      <x:c r="G942" t="str">
        <x:v>GV2016_304</x:v>
      </x:c>
      <x:c r="H942" s="28" t="n">
        <x:v>42605</x:v>
      </x:c>
      <x:c r="I942" t="str">
        <x:v>12:10:07</x:v>
      </x:c>
      <x:c r="J942" t="n">
        <x:v>2016</x:v>
      </x:c>
      <x:c r="K942" t="n">
        <x:v>18.17864658</x:v>
      </x:c>
      <x:c r="L942" t="n">
        <x:v>-65.15195629</x:v>
      </x:c>
      <x:c r="M942" t="n">
        <x:v>46.467</x:v>
      </x:c>
      <x:c r="N942" t="str">
        <x:v>https://nccospublicstor.blob.core.windows.net/biomapper/usviinsularshelf2017/videos/low/GV2016_304.mp4</x:v>
      </x:c>
      <x:c r="O942" t="n">
        <x:v>1</x:v>
      </x:c>
      <x:c r="P942" t="n">
        <x:v>0</x:v>
      </x:c>
      <x:c r="Q942" t="n">
        <x:v>0</x:v>
      </x:c>
      <x:c r="R942" t="n">
        <x:v>1</x:v>
      </x:c>
      <x:c r="S942" t="n">
        <x:v>1</x:v>
      </x:c>
      <x:c r="T942" t="n">
        <x:v>0</x:v>
      </x:c>
      <x:c r="U942" t="n">
        <x:v>1</x:v>
      </x:c>
      <x:c r="V942" t="n">
        <x:v>1</x:v>
      </x:c>
      <x:c r="W942" t="n">
        <x:v>0</x:v>
      </x:c>
      <x:c r="X942" t="n">
        <x:v>0</x:v>
      </x:c>
      <x:c r="Y942" t="n">
        <x:v>0</x:v>
      </x:c>
      <x:c r="Z942" t="n">
        <x:v>2</x:v>
      </x:c>
      <x:c r="AA942" t="n">
        <x:v>3</x:v>
      </x:c>
      <x:c r="AB942" t="str">
        <x:v>Pass</x:v>
      </x:c>
      <x:c r="AC942" t="str"/>
      <x:c r="AD942" t="str"/>
    </x:row>
    <x:row r="943">
      <x:c r="A943" t="str">
        <x:v>REC0942</x:v>
      </x:c>
      <x:c r="B943" t="n">
        <x:v>941</x:v>
      </x:c>
      <x:c r="C943" t="str">
        <x:v>St. John, USVI</x:v>
      </x:c>
      <x:c r="D943" t="str">
        <x:v>GV</x:v>
      </x:c>
      <x:c r="E943" t="str">
        <x:v>Ground Validation</x:v>
      </x:c>
      <x:c r="F943" t="str">
        <x:v>HD Seaviewer Drop Camera</x:v>
      </x:c>
      <x:c r="G943" t="str">
        <x:v>GV2016_305</x:v>
      </x:c>
      <x:c r="H943" s="28" t="n">
        <x:v>42629</x:v>
      </x:c>
      <x:c r="I943" t="str">
        <x:v>11:04:50</x:v>
      </x:c>
      <x:c r="J943" t="n">
        <x:v>2016</x:v>
      </x:c>
      <x:c r="K943" t="n">
        <x:v>18.19446896</x:v>
      </x:c>
      <x:c r="L943" t="n">
        <x:v>-64.80308405</x:v>
      </x:c>
      <x:c r="M943" t="n">
        <x:v>58.544</x:v>
      </x:c>
      <x:c r="N943" t="str">
        <x:v>https://nccospublicstor.blob.core.windows.net/biomapper/usviinsularshelf2017/videos/low/GV2016_305.mp4</x:v>
      </x:c>
      <x:c r="O943" t="n">
        <x:v>0</x:v>
      </x:c>
      <x:c r="P943" t="n">
        <x:v>0</x:v>
      </x:c>
      <x:c r="Q943" t="n">
        <x:v>1</x:v>
      </x:c>
      <x:c r="R943" t="n">
        <x:v>0</x:v>
      </x:c>
      <x:c r="S943" t="n">
        <x:v>0</x:v>
      </x:c>
      <x:c r="T943" t="n">
        <x:v>0</x:v>
      </x:c>
      <x:c r="U943" t="n">
        <x:v>1</x:v>
      </x:c>
      <x:c r="V943" t="n">
        <x:v>1</x:v>
      </x:c>
      <x:c r="W943" t="n">
        <x:v>0</x:v>
      </x:c>
      <x:c r="X943" t="n">
        <x:v>0</x:v>
      </x:c>
      <x:c r="Y943" t="n">
        <x:v>0</x:v>
      </x:c>
      <x:c r="Z943" t="n">
        <x:v>1</x:v>
      </x:c>
      <x:c r="AA943" t="n">
        <x:v>2</x:v>
      </x:c>
      <x:c r="AB943" t="str">
        <x:v>Pass</x:v>
      </x:c>
      <x:c r="AC943" t="str"/>
      <x:c r="AD943" t="str"/>
    </x:row>
    <x:row r="944">
      <x:c r="A944" t="str">
        <x:v>REC0943</x:v>
      </x:c>
      <x:c r="B944" t="n">
        <x:v>942</x:v>
      </x:c>
      <x:c r="C944" t="str">
        <x:v>St. Thomas, USVI</x:v>
      </x:c>
      <x:c r="D944" t="str">
        <x:v>GV</x:v>
      </x:c>
      <x:c r="E944" t="str">
        <x:v>Ground Validation</x:v>
      </x:c>
      <x:c r="F944" t="str">
        <x:v>HD Seaviewer Drop Camera</x:v>
      </x:c>
      <x:c r="G944" t="str">
        <x:v>GV2016_306</x:v>
      </x:c>
      <x:c r="H944" s="28" t="n">
        <x:v>42609</x:v>
      </x:c>
      <x:c r="I944" t="str">
        <x:v>12:53:18</x:v>
      </x:c>
      <x:c r="J944" t="n">
        <x:v>2016</x:v>
      </x:c>
      <x:c r="K944" t="n">
        <x:v>18.2507338</x:v>
      </x:c>
      <x:c r="L944" t="n">
        <x:v>-65.00671026</x:v>
      </x:c>
      <x:c r="M944" t="n">
        <x:v>39.62</x:v>
      </x:c>
      <x:c r="N944" t="str">
        <x:v>https://nccospublicstor.blob.core.windows.net/biomapper/usviinsularshelf2017/videos/low/GV2016_306.mp4</x:v>
      </x:c>
      <x:c r="O944" t="n">
        <x:v>0</x:v>
      </x:c>
      <x:c r="P944" t="n">
        <x:v>0</x:v>
      </x:c>
      <x:c r="Q944" t="n">
        <x:v>1</x:v>
      </x:c>
      <x:c r="R944" t="n">
        <x:v>0</x:v>
      </x:c>
      <x:c r="S944" t="n">
        <x:v>0</x:v>
      </x:c>
      <x:c r="T944" t="n">
        <x:v>0</x:v>
      </x:c>
      <x:c r="U944" t="n">
        <x:v>1</x:v>
      </x:c>
      <x:c r="V944" t="n">
        <x:v>1</x:v>
      </x:c>
      <x:c r="W944" t="n">
        <x:v>0</x:v>
      </x:c>
      <x:c r="X944" t="n">
        <x:v>0</x:v>
      </x:c>
      <x:c r="Y944" t="n">
        <x:v>0</x:v>
      </x:c>
      <x:c r="Z944" t="n">
        <x:v>1</x:v>
      </x:c>
      <x:c r="AA944" t="n">
        <x:v>2</x:v>
      </x:c>
      <x:c r="AB944" t="str">
        <x:v>Pass</x:v>
      </x:c>
      <x:c r="AC944" t="str"/>
      <x:c r="AD944" t="str"/>
    </x:row>
    <x:row r="945">
      <x:c r="A945" t="str">
        <x:v>REC0944</x:v>
      </x:c>
      <x:c r="B945" t="n">
        <x:v>943</x:v>
      </x:c>
      <x:c r="C945" t="str">
        <x:v>St. John, USVI</x:v>
      </x:c>
      <x:c r="D945" t="str">
        <x:v>GV</x:v>
      </x:c>
      <x:c r="E945" t="str">
        <x:v>Ground Validation</x:v>
      </x:c>
      <x:c r="F945" t="str">
        <x:v>HD Seaviewer Drop Camera</x:v>
      </x:c>
      <x:c r="G945" t="str">
        <x:v>GV2016_308</x:v>
      </x:c>
      <x:c r="H945" s="28" t="n">
        <x:v>42630</x:v>
      </x:c>
      <x:c r="I945" t="str">
        <x:v>14:31:00</x:v>
      </x:c>
      <x:c r="J945" t="n">
        <x:v>2016</x:v>
      </x:c>
      <x:c r="K945" t="n">
        <x:v>18.23667347</x:v>
      </x:c>
      <x:c r="L945" t="n">
        <x:v>-64.76453499</x:v>
      </x:c>
      <x:c r="M945" t="n">
        <x:v>41.5</x:v>
      </x:c>
      <x:c r="N945" t="str">
        <x:v>https://nccospublicstor.blob.core.windows.net/biomapper/usviinsularshelf2017/videos/low/GV2016_308.mp4</x:v>
      </x:c>
      <x:c r="O945" t="n">
        <x:v>1</x:v>
      </x:c>
      <x:c r="P945" t="n">
        <x:v>0</x:v>
      </x:c>
      <x:c r="Q945" t="n">
        <x:v>0</x:v>
      </x:c>
      <x:c r="R945" t="n">
        <x:v>1</x:v>
      </x:c>
      <x:c r="S945" t="n">
        <x:v>1</x:v>
      </x:c>
      <x:c r="T945" t="n">
        <x:v>0</x:v>
      </x:c>
      <x:c r="U945" t="n">
        <x:v>1</x:v>
      </x:c>
      <x:c r="V945" t="n">
        <x:v>1</x:v>
      </x:c>
      <x:c r="W945" t="n">
        <x:v>0</x:v>
      </x:c>
      <x:c r="X945" t="n">
        <x:v>0</x:v>
      </x:c>
      <x:c r="Y945" t="n">
        <x:v>0</x:v>
      </x:c>
      <x:c r="Z945" t="n">
        <x:v>2</x:v>
      </x:c>
      <x:c r="AA945" t="n">
        <x:v>3</x:v>
      </x:c>
      <x:c r="AB945" t="str">
        <x:v>Pass</x:v>
      </x:c>
      <x:c r="AC945" t="str"/>
      <x:c r="AD945" t="str"/>
    </x:row>
    <x:row r="946">
      <x:c r="A946" t="str">
        <x:v>REC0945</x:v>
      </x:c>
      <x:c r="B946" t="n">
        <x:v>944</x:v>
      </x:c>
      <x:c r="C946" t="str">
        <x:v>St. Thomas, USVI</x:v>
      </x:c>
      <x:c r="D946" t="str">
        <x:v>GV</x:v>
      </x:c>
      <x:c r="E946" t="str">
        <x:v>Ground Validation</x:v>
      </x:c>
      <x:c r="F946" t="str">
        <x:v>HD Seaviewer Drop Camera</x:v>
      </x:c>
      <x:c r="G946" t="str">
        <x:v>GV2016_309</x:v>
      </x:c>
      <x:c r="H946" s="28" t="n">
        <x:v>42612</x:v>
      </x:c>
      <x:c r="I946" t="str">
        <x:v>10:36:40</x:v>
      </x:c>
      <x:c r="J946" t="n">
        <x:v>2016</x:v>
      </x:c>
      <x:c r="K946" t="n">
        <x:v>18.23659768</x:v>
      </x:c>
      <x:c r="L946" t="n">
        <x:v>-64.95388528</x:v>
      </x:c>
      <x:c r="M946" t="n">
        <x:v>41.287</x:v>
      </x:c>
      <x:c r="N946" t="str">
        <x:v>https://nccospublicstor.blob.core.windows.net/biomapper/usviinsularshelf2017/videos/low/GV2016_309.mp4</x:v>
      </x:c>
      <x:c r="O946" t="n">
        <x:v>0</x:v>
      </x:c>
      <x:c r="P946" t="n">
        <x:v>0</x:v>
      </x:c>
      <x:c r="Q946" t="n">
        <x:v>1</x:v>
      </x:c>
      <x:c r="R946" t="n">
        <x:v>1</x:v>
      </x:c>
      <x:c r="S946" t="n">
        <x:v>0</x:v>
      </x:c>
      <x:c r="T946" t="n">
        <x:v>0</x:v>
      </x:c>
      <x:c r="U946" t="n">
        <x:v>1</x:v>
      </x:c>
      <x:c r="V946" t="n">
        <x:v>1</x:v>
      </x:c>
      <x:c r="W946" t="n">
        <x:v>0</x:v>
      </x:c>
      <x:c r="X946" t="n">
        <x:v>0</x:v>
      </x:c>
      <x:c r="Y946" t="n">
        <x:v>0</x:v>
      </x:c>
      <x:c r="Z946" t="n">
        <x:v>2</x:v>
      </x:c>
      <x:c r="AA946" t="n">
        <x:v>2</x:v>
      </x:c>
      <x:c r="AB946" t="str">
        <x:v>Pass</x:v>
      </x:c>
      <x:c r="AC946" t="str"/>
      <x:c r="AD946" t="str"/>
    </x:row>
    <x:row r="947">
      <x:c r="A947" t="str">
        <x:v>REC0946</x:v>
      </x:c>
      <x:c r="B947" t="n">
        <x:v>945</x:v>
      </x:c>
      <x:c r="C947" t="str">
        <x:v>St. John, USVI</x:v>
      </x:c>
      <x:c r="D947" t="str">
        <x:v>GV</x:v>
      </x:c>
      <x:c r="E947" t="str">
        <x:v>Ground Validation</x:v>
      </x:c>
      <x:c r="F947" t="str">
        <x:v>HD Seaviewer Drop Camera</x:v>
      </x:c>
      <x:c r="G947" t="str">
        <x:v>GV2016_310</x:v>
      </x:c>
      <x:c r="H947" s="28" t="n">
        <x:v>42630</x:v>
      </x:c>
      <x:c r="I947" t="str">
        <x:v>11:11:18</x:v>
      </x:c>
      <x:c r="J947" t="n">
        <x:v>2016</x:v>
      </x:c>
      <x:c r="K947" t="n">
        <x:v>18.20168311</x:v>
      </x:c>
      <x:c r="L947" t="n">
        <x:v>-64.7445425</x:v>
      </x:c>
      <x:c r="M947" t="n">
        <x:v>54.054</x:v>
      </x:c>
      <x:c r="N947" t="str">
        <x:v>https://nccospublicstor.blob.core.windows.net/biomapper/usviinsularshelf2017/videos/low/GV2016_310.mp4</x:v>
      </x:c>
      <x:c r="O947" t="n">
        <x:v>0</x:v>
      </x:c>
      <x:c r="P947" t="n">
        <x:v>1</x:v>
      </x:c>
      <x:c r="Q947" t="n">
        <x:v>1</x:v>
      </x:c>
      <x:c r="R947" t="n">
        <x:v>0</x:v>
      </x:c>
      <x:c r="S947" t="n">
        <x:v>1</x:v>
      </x:c>
      <x:c r="T947" t="n">
        <x:v>0</x:v>
      </x:c>
      <x:c r="U947" t="n">
        <x:v>1</x:v>
      </x:c>
      <x:c r="V947" t="n">
        <x:v>1</x:v>
      </x:c>
      <x:c r="W947" t="n">
        <x:v>0</x:v>
      </x:c>
      <x:c r="X947" t="n">
        <x:v>0</x:v>
      </x:c>
      <x:c r="Y947" t="n">
        <x:v>0</x:v>
      </x:c>
      <x:c r="Z947" t="n">
        <x:v>2</x:v>
      </x:c>
      <x:c r="AA947" t="n">
        <x:v>3</x:v>
      </x:c>
      <x:c r="AB947" t="str">
        <x:v>Pass</x:v>
      </x:c>
      <x:c r="AC947" t="str"/>
      <x:c r="AD947" t="str"/>
    </x:row>
    <x:row r="948">
      <x:c r="A948" t="str">
        <x:v>REC0947</x:v>
      </x:c>
      <x:c r="B948" t="n">
        <x:v>946</x:v>
      </x:c>
      <x:c r="C948" t="str">
        <x:v>St. Thomas, USVI</x:v>
      </x:c>
      <x:c r="D948" t="str">
        <x:v>GV</x:v>
      </x:c>
      <x:c r="E948" t="str">
        <x:v>Ground Validation</x:v>
      </x:c>
      <x:c r="F948" t="str">
        <x:v>HD Seaviewer Drop Camera</x:v>
      </x:c>
      <x:c r="G948" t="str">
        <x:v>GV2016_311</x:v>
      </x:c>
      <x:c r="H948" s="28" t="n">
        <x:v>42610</x:v>
      </x:c>
      <x:c r="I948" t="str">
        <x:v>09:31:09</x:v>
      </x:c>
      <x:c r="J948" t="n">
        <x:v>2016</x:v>
      </x:c>
      <x:c r="K948" t="n">
        <x:v>18.19266332</x:v>
      </x:c>
      <x:c r="L948" t="n">
        <x:v>-64.88167219</x:v>
      </x:c>
      <x:c r="M948" t="n">
        <x:v>50.118</x:v>
      </x:c>
      <x:c r="N948" t="str">
        <x:v>https://nccospublicstor.blob.core.windows.net/biomapper/usviinsularshelf2017/videos/low/GV2016_311.mp4</x:v>
      </x:c>
      <x:c r="O948" t="n">
        <x:v>0</x:v>
      </x:c>
      <x:c r="P948" t="n">
        <x:v>1</x:v>
      </x:c>
      <x:c r="Q948" t="n">
        <x:v>1</x:v>
      </x:c>
      <x:c r="R948" t="n">
        <x:v>0</x:v>
      </x:c>
      <x:c r="S948" t="n">
        <x:v>1</x:v>
      </x:c>
      <x:c r="T948" t="n">
        <x:v>0</x:v>
      </x:c>
      <x:c r="U948" t="n">
        <x:v>1</x:v>
      </x:c>
      <x:c r="V948" t="n">
        <x:v>1</x:v>
      </x:c>
      <x:c r="W948" t="n">
        <x:v>0</x:v>
      </x:c>
      <x:c r="X948" t="n">
        <x:v>0</x:v>
      </x:c>
      <x:c r="Y948" t="n">
        <x:v>0</x:v>
      </x:c>
      <x:c r="Z948" t="n">
        <x:v>2</x:v>
      </x:c>
      <x:c r="AA948" t="n">
        <x:v>3</x:v>
      </x:c>
      <x:c r="AB948" t="str">
        <x:v>Pass</x:v>
      </x:c>
      <x:c r="AC948" t="str"/>
      <x:c r="AD948" t="str"/>
    </x:row>
    <x:row r="949">
      <x:c r="A949" t="str">
        <x:v>REC0948</x:v>
      </x:c>
      <x:c r="B949" t="n">
        <x:v>947</x:v>
      </x:c>
      <x:c r="C949" t="str">
        <x:v>St. John, USVI</x:v>
      </x:c>
      <x:c r="D949" t="str">
        <x:v>GV</x:v>
      </x:c>
      <x:c r="E949" t="str">
        <x:v>Ground Validation</x:v>
      </x:c>
      <x:c r="F949" t="str">
        <x:v>HD Seaviewer Drop Camera</x:v>
      </x:c>
      <x:c r="G949" t="str">
        <x:v>GV2016_312</x:v>
      </x:c>
      <x:c r="H949" s="28" t="n">
        <x:v>42624</x:v>
      </x:c>
      <x:c r="I949" t="str">
        <x:v>11:04:27</x:v>
      </x:c>
      <x:c r="J949" t="n">
        <x:v>2016</x:v>
      </x:c>
      <x:c r="K949" t="n">
        <x:v>18.2651608</x:v>
      </x:c>
      <x:c r="L949" t="n">
        <x:v>-64.73424314</x:v>
      </x:c>
      <x:c r="M949" t="n">
        <x:v>46.623</x:v>
      </x:c>
      <x:c r="N949" t="str">
        <x:v>https://nccospublicstor.blob.core.windows.net/biomapper/usviinsularshelf2017/videos/low/GV2016_312.mp4</x:v>
      </x:c>
      <x:c r="O949" t="n">
        <x:v>0</x:v>
      </x:c>
      <x:c r="P949" t="n">
        <x:v>0</x:v>
      </x:c>
      <x:c r="Q949" t="n">
        <x:v>1</x:v>
      </x:c>
      <x:c r="R949" t="n">
        <x:v>1</x:v>
      </x:c>
      <x:c r="S949" t="n">
        <x:v>0</x:v>
      </x:c>
      <x:c r="T949" t="n">
        <x:v>0</x:v>
      </x:c>
      <x:c r="U949" t="n">
        <x:v>1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2</x:v>
      </x:c>
      <x:c r="AA949" t="n">
        <x:v>1</x:v>
      </x:c>
      <x:c r="AB949" t="str">
        <x:v>Pass</x:v>
      </x:c>
      <x:c r="AC949" t="str"/>
      <x:c r="AD949" t="str"/>
    </x:row>
    <x:row r="950">
      <x:c r="A950" t="str">
        <x:v>REC0949</x:v>
      </x:c>
      <x:c r="B950" t="n">
        <x:v>948</x:v>
      </x:c>
      <x:c r="C950" t="str">
        <x:v>St. Thomas, USVI</x:v>
      </x:c>
      <x:c r="D950" t="str">
        <x:v>GV</x:v>
      </x:c>
      <x:c r="E950" t="str">
        <x:v>Ground Validation</x:v>
      </x:c>
      <x:c r="F950" t="str">
        <x:v>HD Seaviewer Drop Camera</x:v>
      </x:c>
      <x:c r="G950" t="str">
        <x:v>GV2016_313</x:v>
      </x:c>
      <x:c r="H950" s="28" t="n">
        <x:v>42610</x:v>
      </x:c>
      <x:c r="I950" t="str">
        <x:v>09:43:50</x:v>
      </x:c>
      <x:c r="J950" t="n">
        <x:v>2016</x:v>
      </x:c>
      <x:c r="K950" t="n">
        <x:v>18.1817246</x:v>
      </x:c>
      <x:c r="L950" t="n">
        <x:v>-64.8872</x:v>
      </x:c>
      <x:c r="M950" t="n">
        <x:v>51.96</x:v>
      </x:c>
      <x:c r="N950" t="str">
        <x:v>https://nccospublicstor.blob.core.windows.net/biomapper/usviinsularshelf2017/videos/low/GV2016_313.mp4</x:v>
      </x:c>
      <x:c r="O950" t="n">
        <x:v>0</x:v>
      </x:c>
      <x:c r="P950" t="n">
        <x:v>0</x:v>
      </x:c>
      <x:c r="Q950" t="n">
        <x:v>1</x:v>
      </x:c>
      <x:c r="R950" t="n">
        <x:v>0</x:v>
      </x:c>
      <x:c r="S950" t="n">
        <x:v>0</x:v>
      </x:c>
      <x:c r="T950" t="n">
        <x:v>0</x:v>
      </x:c>
      <x:c r="U950" t="n">
        <x:v>1</x:v>
      </x:c>
      <x:c r="V950" t="n">
        <x:v>1</x:v>
      </x:c>
      <x:c r="W950" t="n">
        <x:v>0</x:v>
      </x:c>
      <x:c r="X950" t="n">
        <x:v>0</x:v>
      </x:c>
      <x:c r="Y950" t="n">
        <x:v>0</x:v>
      </x:c>
      <x:c r="Z950" t="n">
        <x:v>1</x:v>
      </x:c>
      <x:c r="AA950" t="n">
        <x:v>2</x:v>
      </x:c>
      <x:c r="AB950" t="str">
        <x:v>Pass</x:v>
      </x:c>
      <x:c r="AC950" t="str"/>
      <x:c r="AD950" t="str"/>
    </x:row>
    <x:row r="951">
      <x:c r="A951" t="str">
        <x:v>REC0950</x:v>
      </x:c>
      <x:c r="B951" t="n">
        <x:v>949</x:v>
      </x:c>
      <x:c r="C951" t="str">
        <x:v>St. Thomas, USVI</x:v>
      </x:c>
      <x:c r="D951" t="str">
        <x:v>GV</x:v>
      </x:c>
      <x:c r="E951" t="str">
        <x:v>Ground Validation</x:v>
      </x:c>
      <x:c r="F951" t="str">
        <x:v>HD Seaviewer Drop Camera</x:v>
      </x:c>
      <x:c r="G951" t="str">
        <x:v>GV2016_314</x:v>
      </x:c>
      <x:c r="H951" s="28" t="n">
        <x:v>42609</x:v>
      </x:c>
      <x:c r="I951" t="str">
        <x:v>10:02:52</x:v>
      </x:c>
      <x:c r="J951" t="n">
        <x:v>2016</x:v>
      </x:c>
      <x:c r="K951" t="n">
        <x:v>18.2280559</x:v>
      </x:c>
      <x:c r="L951" t="n">
        <x:v>-65.06949545</x:v>
      </x:c>
      <x:c r="M951" t="n">
        <x:v>36.882</x:v>
      </x:c>
      <x:c r="N951" t="str">
        <x:v>https://nccospublicstor.blob.core.windows.net/biomapper/usviinsularshelf2017/videos/low/GV2016_314.mp4</x:v>
      </x:c>
      <x:c r="O951" t="n">
        <x:v>1</x:v>
      </x:c>
      <x:c r="P951" t="n">
        <x:v>0</x:v>
      </x:c>
      <x:c r="Q951" t="n">
        <x:v>0</x:v>
      </x:c>
      <x:c r="R951" t="n">
        <x:v>0</x:v>
      </x:c>
      <x:c r="S951" t="n">
        <x:v>1</x:v>
      </x:c>
      <x:c r="T951" t="n">
        <x:v>0</x:v>
      </x:c>
      <x:c r="U951" t="n">
        <x:v>1</x:v>
      </x:c>
      <x:c r="V951" t="n">
        <x:v>1</x:v>
      </x:c>
      <x:c r="W951" t="n">
        <x:v>0</x:v>
      </x:c>
      <x:c r="X951" t="n">
        <x:v>0</x:v>
      </x:c>
      <x:c r="Y951" t="n">
        <x:v>0</x:v>
      </x:c>
      <x:c r="Z951" t="n">
        <x:v>1</x:v>
      </x:c>
      <x:c r="AA951" t="n">
        <x:v>3</x:v>
      </x:c>
      <x:c r="AB951" t="str">
        <x:v>Pass</x:v>
      </x:c>
      <x:c r="AC951" t="str"/>
      <x:c r="AD951" t="str"/>
    </x:row>
    <x:row r="952">
      <x:c r="A952" t="str">
        <x:v>REC0951</x:v>
      </x:c>
      <x:c r="B952" t="n">
        <x:v>950</x:v>
      </x:c>
      <x:c r="C952" t="str">
        <x:v>St. John, USVI</x:v>
      </x:c>
      <x:c r="D952" t="str">
        <x:v>GV</x:v>
      </x:c>
      <x:c r="E952" t="str">
        <x:v>Ground Validation</x:v>
      </x:c>
      <x:c r="F952" t="str">
        <x:v>HD Seaviewer Drop Camera</x:v>
      </x:c>
      <x:c r="G952" t="str">
        <x:v>GV2016_315</x:v>
      </x:c>
      <x:c r="H952" s="28" t="n">
        <x:v>42630</x:v>
      </x:c>
      <x:c r="I952" t="str">
        <x:v>08:00:27</x:v>
      </x:c>
      <x:c r="J952" t="n">
        <x:v>2016</x:v>
      </x:c>
      <x:c r="K952" t="n">
        <x:v>18.25938391</x:v>
      </x:c>
      <x:c r="L952" t="n">
        <x:v>-64.73121195</x:v>
      </x:c>
      <x:c r="M952" t="n">
        <x:v>47.9</x:v>
      </x:c>
      <x:c r="N952" t="str">
        <x:v>https://nccospublicstor.blob.core.windows.net/biomapper/usviinsularshelf2017/videos/low/GV2016_315.mp4</x:v>
      </x:c>
      <x:c r="O952" t="n">
        <x:v>0</x:v>
      </x:c>
      <x:c r="P952" t="n">
        <x:v>0</x:v>
      </x:c>
      <x:c r="Q952" t="n">
        <x:v>1</x:v>
      </x:c>
      <x:c r="R952" t="n">
        <x:v>0</x:v>
      </x:c>
      <x:c r="S952" t="n">
        <x:v>0</x:v>
      </x:c>
      <x:c r="T952" t="n">
        <x:v>0</x:v>
      </x:c>
      <x:c r="U952" t="n">
        <x:v>1</x:v>
      </x:c>
      <x:c r="V952" t="n">
        <x:v>1</x:v>
      </x:c>
      <x:c r="W952" t="n">
        <x:v>0</x:v>
      </x:c>
      <x:c r="X952" t="n">
        <x:v>0</x:v>
      </x:c>
      <x:c r="Y952" t="n">
        <x:v>0</x:v>
      </x:c>
      <x:c r="Z952" t="n">
        <x:v>1</x:v>
      </x:c>
      <x:c r="AA952" t="n">
        <x:v>2</x:v>
      </x:c>
      <x:c r="AB952" t="str">
        <x:v>Pass</x:v>
      </x:c>
      <x:c r="AC952" t="str"/>
      <x:c r="AD952" t="str"/>
    </x:row>
    <x:row r="953">
      <x:c r="A953" t="str">
        <x:v>REC0952</x:v>
      </x:c>
      <x:c r="B953" t="n">
        <x:v>951</x:v>
      </x:c>
      <x:c r="C953" t="str">
        <x:v>St. John, USVI</x:v>
      </x:c>
      <x:c r="D953" t="str">
        <x:v>GV</x:v>
      </x:c>
      <x:c r="E953" t="str">
        <x:v>Ground Validation</x:v>
      </x:c>
      <x:c r="F953" t="str">
        <x:v>HD Seaviewer Drop Camera</x:v>
      </x:c>
      <x:c r="G953" t="str">
        <x:v>GV2016_316</x:v>
      </x:c>
      <x:c r="H953" s="28" t="n">
        <x:v>42629</x:v>
      </x:c>
      <x:c r="I953" t="str">
        <x:v>15:34:35</x:v>
      </x:c>
      <x:c r="J953" t="n">
        <x:v>2016</x:v>
      </x:c>
      <x:c r="K953" t="n">
        <x:v>18.19538097</x:v>
      </x:c>
      <x:c r="L953" t="n">
        <x:v>-64.75895052</x:v>
      </x:c>
      <x:c r="M953" t="n">
        <x:v>56.41</x:v>
      </x:c>
      <x:c r="N953" t="str">
        <x:v>https://nccospublicstor.blob.core.windows.net/biomapper/usviinsularshelf2017/videos/low/GV2016_316.mp4</x:v>
      </x:c>
      <x:c r="O953" t="n">
        <x:v>0</x:v>
      </x:c>
      <x:c r="P953" t="n">
        <x:v>1</x:v>
      </x:c>
      <x:c r="Q953" t="n">
        <x:v>1</x:v>
      </x:c>
      <x:c r="R953" t="n">
        <x:v>0</x:v>
      </x:c>
      <x:c r="S953" t="n">
        <x:v>1</x:v>
      </x:c>
      <x:c r="T953" t="n">
        <x:v>0</x:v>
      </x:c>
      <x:c r="U953" t="n">
        <x:v>1</x:v>
      </x:c>
      <x:c r="V953" t="n">
        <x:v>1</x:v>
      </x:c>
      <x:c r="W953" t="n">
        <x:v>0</x:v>
      </x:c>
      <x:c r="X953" t="n">
        <x:v>0</x:v>
      </x:c>
      <x:c r="Y953" t="n">
        <x:v>0</x:v>
      </x:c>
      <x:c r="Z953" t="n">
        <x:v>2</x:v>
      </x:c>
      <x:c r="AA953" t="n">
        <x:v>3</x:v>
      </x:c>
      <x:c r="AB953" t="str">
        <x:v>Pass</x:v>
      </x:c>
      <x:c r="AC953" t="str"/>
      <x:c r="AD953" t="str"/>
    </x:row>
    <x:row r="954">
      <x:c r="A954" t="str">
        <x:v>REC0953</x:v>
      </x:c>
      <x:c r="B954" t="n">
        <x:v>952</x:v>
      </x:c>
      <x:c r="C954" t="str">
        <x:v>St. John, USVI</x:v>
      </x:c>
      <x:c r="D954" t="str">
        <x:v>GV</x:v>
      </x:c>
      <x:c r="E954" t="str">
        <x:v>Ground Validation</x:v>
      </x:c>
      <x:c r="F954" t="str">
        <x:v>HD Seaviewer Drop Camera</x:v>
      </x:c>
      <x:c r="G954" t="str">
        <x:v>GV2016_317</x:v>
      </x:c>
      <x:c r="H954" s="28" t="n">
        <x:v>42629</x:v>
      </x:c>
      <x:c r="I954" t="str">
        <x:v>10:20:37</x:v>
      </x:c>
      <x:c r="J954" t="n">
        <x:v>2016</x:v>
      </x:c>
      <x:c r="K954" t="n">
        <x:v>18.21209378</x:v>
      </x:c>
      <x:c r="L954" t="n">
        <x:v>-64.80910771</x:v>
      </x:c>
      <x:c r="M954" t="n">
        <x:v>54.338</x:v>
      </x:c>
      <x:c r="N954" t="str">
        <x:v>https://nccospublicstor.blob.core.windows.net/biomapper/usviinsularshelf2017/videos/low/GV2016_317.mp4</x:v>
      </x:c>
      <x:c r="O954" t="n">
        <x:v>0</x:v>
      </x:c>
      <x:c r="P954" t="n">
        <x:v>1</x:v>
      </x:c>
      <x:c r="Q954" t="n">
        <x:v>1</x:v>
      </x:c>
      <x:c r="R954" t="n">
        <x:v>0</x:v>
      </x:c>
      <x:c r="S954" t="n">
        <x:v>1</x:v>
      </x:c>
      <x:c r="T954" t="n">
        <x:v>0</x:v>
      </x:c>
      <x:c r="U954" t="n">
        <x:v>1</x:v>
      </x:c>
      <x:c r="V954" t="n">
        <x:v>1</x:v>
      </x:c>
      <x:c r="W954" t="n">
        <x:v>0</x:v>
      </x:c>
      <x:c r="X954" t="n">
        <x:v>0</x:v>
      </x:c>
      <x:c r="Y954" t="n">
        <x:v>0</x:v>
      </x:c>
      <x:c r="Z954" t="n">
        <x:v>2</x:v>
      </x:c>
      <x:c r="AA954" t="n">
        <x:v>3</x:v>
      </x:c>
      <x:c r="AB954" t="str">
        <x:v>Pass</x:v>
      </x:c>
      <x:c r="AC954" t="str"/>
      <x:c r="AD954" t="str"/>
    </x:row>
    <x:row r="955">
      <x:c r="A955" t="str">
        <x:v>REC0954</x:v>
      </x:c>
      <x:c r="B955" t="n">
        <x:v>953</x:v>
      </x:c>
      <x:c r="C955" t="str">
        <x:v>St. Thomas, USVI</x:v>
      </x:c>
      <x:c r="D955" t="str">
        <x:v>GV</x:v>
      </x:c>
      <x:c r="E955" t="str">
        <x:v>Ground Validation</x:v>
      </x:c>
      <x:c r="F955" t="str">
        <x:v>HD Seaviewer Drop Camera</x:v>
      </x:c>
      <x:c r="G955" t="str">
        <x:v>GV2016_318</x:v>
      </x:c>
      <x:c r="H955" s="28" t="n">
        <x:v>42609</x:v>
      </x:c>
      <x:c r="I955" t="str">
        <x:v>09:21:42</x:v>
      </x:c>
      <x:c r="J955" t="n">
        <x:v>2016</x:v>
      </x:c>
      <x:c r="K955" t="n">
        <x:v>18.23235765</x:v>
      </x:c>
      <x:c r="L955" t="n">
        <x:v>-65.12145846</x:v>
      </x:c>
      <x:c r="M955" t="n">
        <x:v>30.734</x:v>
      </x:c>
      <x:c r="N955" t="str">
        <x:v>https://nccospublicstor.blob.core.windows.net/biomapper/usviinsularshelf2017/videos/low/GV2016_318.mp4</x:v>
      </x:c>
      <x:c r="O955" t="n">
        <x:v>1</x:v>
      </x:c>
      <x:c r="P955" t="n">
        <x:v>0</x:v>
      </x:c>
      <x:c r="Q955" t="n">
        <x:v>0</x:v>
      </x:c>
      <x:c r="R955" t="n">
        <x:v>0</x:v>
      </x:c>
      <x:c r="S955" t="n">
        <x:v>1</x:v>
      </x:c>
      <x:c r="T955" t="n">
        <x:v>1</x:v>
      </x:c>
      <x:c r="U955" t="n">
        <x:v>1</x:v>
      </x:c>
      <x:c r="V955" t="n">
        <x:v>1</x:v>
      </x:c>
      <x:c r="W955" t="n">
        <x:v>0</x:v>
      </x:c>
      <x:c r="X955" t="n">
        <x:v>0</x:v>
      </x:c>
      <x:c r="Y955" t="n">
        <x:v>0</x:v>
      </x:c>
      <x:c r="Z955" t="n">
        <x:v>1</x:v>
      </x:c>
      <x:c r="AA955" t="n">
        <x:v>4</x:v>
      </x:c>
      <x:c r="AB955" t="str">
        <x:v>Pass</x:v>
      </x:c>
      <x:c r="AC955" t="str"/>
      <x:c r="AD955" t="str"/>
    </x:row>
    <x:row r="956">
      <x:c r="A956" t="str">
        <x:v>REC0955</x:v>
      </x:c>
      <x:c r="B956" t="n">
        <x:v>954</x:v>
      </x:c>
      <x:c r="C956" t="str">
        <x:v>St. Thomas, USVI</x:v>
      </x:c>
      <x:c r="D956" t="str">
        <x:v>GV</x:v>
      </x:c>
      <x:c r="E956" t="str">
        <x:v>Ground Validation</x:v>
      </x:c>
      <x:c r="F956" t="str">
        <x:v>HD Seaviewer Drop Camera</x:v>
      </x:c>
      <x:c r="G956" t="str">
        <x:v>GV2016_319</x:v>
      </x:c>
      <x:c r="H956" s="28" t="n">
        <x:v>42611</x:v>
      </x:c>
      <x:c r="I956" t="str">
        <x:v>12:28:35</x:v>
      </x:c>
      <x:c r="J956" t="n">
        <x:v>2016</x:v>
      </x:c>
      <x:c r="K956" t="n">
        <x:v>18.24644547</x:v>
      </x:c>
      <x:c r="L956" t="n">
        <x:v>-64.93516534</x:v>
      </x:c>
      <x:c r="M956" t="n">
        <x:v>40.542</x:v>
      </x:c>
      <x:c r="N956" t="str">
        <x:v>https://nccospublicstor.blob.core.windows.net/biomapper/usviinsularshelf2017/videos/low/GV2016_319.mp4</x:v>
      </x:c>
      <x:c r="O956" t="n">
        <x:v>0</x:v>
      </x:c>
      <x:c r="P956" t="n">
        <x:v>0</x:v>
      </x:c>
      <x:c r="Q956" t="n">
        <x:v>1</x:v>
      </x:c>
      <x:c r="R956" t="n">
        <x:v>1</x:v>
      </x:c>
      <x:c r="S956" t="n">
        <x:v>0</x:v>
      </x:c>
      <x:c r="T956" t="n">
        <x:v>0</x:v>
      </x:c>
      <x:c r="U956" t="n">
        <x:v>1</x:v>
      </x:c>
      <x:c r="V956" t="n">
        <x:v>1</x:v>
      </x:c>
      <x:c r="W956" t="n">
        <x:v>0</x:v>
      </x:c>
      <x:c r="X956" t="n">
        <x:v>0</x:v>
      </x:c>
      <x:c r="Y956" t="n">
        <x:v>0</x:v>
      </x:c>
      <x:c r="Z956" t="n">
        <x:v>2</x:v>
      </x:c>
      <x:c r="AA956" t="n">
        <x:v>2</x:v>
      </x:c>
      <x:c r="AB956" t="str">
        <x:v>Pass</x:v>
      </x:c>
      <x:c r="AC956" t="str"/>
      <x:c r="AD956" t="str"/>
    </x:row>
    <x:row r="957">
      <x:c r="A957" t="str">
        <x:v>REC0956</x:v>
      </x:c>
      <x:c r="B957" t="n">
        <x:v>955</x:v>
      </x:c>
      <x:c r="C957" t="str">
        <x:v>St. Thomas, USVI</x:v>
      </x:c>
      <x:c r="D957" t="str">
        <x:v>GV</x:v>
      </x:c>
      <x:c r="E957" t="str">
        <x:v>Ground Validation</x:v>
      </x:c>
      <x:c r="F957" t="str">
        <x:v>HD Seaviewer Drop Camera</x:v>
      </x:c>
      <x:c r="G957" t="str">
        <x:v>GV2016_321</x:v>
      </x:c>
      <x:c r="H957" s="28" t="n">
        <x:v>42602</x:v>
      </x:c>
      <x:c r="I957" t="str">
        <x:v>13:33:50</x:v>
      </x:c>
      <x:c r="J957" t="n">
        <x:v>2016</x:v>
      </x:c>
      <x:c r="K957" t="n">
        <x:v>18.26892046</x:v>
      </x:c>
      <x:c r="L957" t="n">
        <x:v>-65.12994736</x:v>
      </x:c>
      <x:c r="M957" t="n">
        <x:v>31.027</x:v>
      </x:c>
      <x:c r="N957" t="str">
        <x:v>https://nccospublicstor.blob.core.windows.net/biomapper/usviinsularshelf2017/videos/low/GV2016_321.mp4</x:v>
      </x:c>
      <x:c r="O957" t="n">
        <x:v>1</x:v>
      </x:c>
      <x:c r="P957" t="n">
        <x:v>0</x:v>
      </x:c>
      <x:c r="Q957" t="n">
        <x:v>0</x:v>
      </x:c>
      <x:c r="R957" t="n">
        <x:v>0</x:v>
      </x:c>
      <x:c r="S957" t="n">
        <x:v>1</x:v>
      </x:c>
      <x:c r="T957" t="n">
        <x:v>0</x:v>
      </x:c>
      <x:c r="U957" t="n">
        <x:v>1</x:v>
      </x:c>
      <x:c r="V957" t="n">
        <x:v>1</x:v>
      </x:c>
      <x:c r="W957" t="n">
        <x:v>0</x:v>
      </x:c>
      <x:c r="X957" t="n">
        <x:v>0</x:v>
      </x:c>
      <x:c r="Y957" t="n">
        <x:v>0</x:v>
      </x:c>
      <x:c r="Z957" t="n">
        <x:v>1</x:v>
      </x:c>
      <x:c r="AA957" t="n">
        <x:v>3</x:v>
      </x:c>
      <x:c r="AB957" t="str">
        <x:v>Pass</x:v>
      </x:c>
      <x:c r="AC957" t="str"/>
      <x:c r="AD957" t="str">
        <x:v>Coral Bleaching</x:v>
      </x:c>
    </x:row>
    <x:row r="958">
      <x:c r="A958" t="str">
        <x:v>REC0957</x:v>
      </x:c>
      <x:c r="B958" t="n">
        <x:v>956</x:v>
      </x:c>
      <x:c r="C958" t="str">
        <x:v>St. John, USVI</x:v>
      </x:c>
      <x:c r="D958" t="str">
        <x:v>GV</x:v>
      </x:c>
      <x:c r="E958" t="str">
        <x:v>Ground Validation</x:v>
      </x:c>
      <x:c r="F958" t="str">
        <x:v>HD Seaviewer Drop Camera</x:v>
      </x:c>
      <x:c r="G958" t="str">
        <x:v>GV2016_323</x:v>
      </x:c>
      <x:c r="H958" s="28" t="n">
        <x:v>42613</x:v>
      </x:c>
      <x:c r="I958" t="str">
        <x:v>10:44:16</x:v>
      </x:c>
      <x:c r="J958" t="n">
        <x:v>2016</x:v>
      </x:c>
      <x:c r="K958" t="n">
        <x:v>18.28112814</x:v>
      </x:c>
      <x:c r="L958" t="n">
        <x:v>-64.79774803</x:v>
      </x:c>
      <x:c r="M958" t="n">
        <x:v>33.084</x:v>
      </x:c>
      <x:c r="N958" t="str">
        <x:v>https://nccospublicstor.blob.core.windows.net/biomapper/usviinsularshelf2017/videos/low/GV2016_323.mp4</x:v>
      </x:c>
      <x:c r="O958" t="n">
        <x:v>0</x:v>
      </x:c>
      <x:c r="P958" t="n">
        <x:v>0</x:v>
      </x:c>
      <x:c r="Q958" t="n">
        <x:v>1</x:v>
      </x:c>
      <x:c r="R958" t="n">
        <x:v>0</x:v>
      </x:c>
      <x:c r="S958" t="n">
        <x:v>0</x:v>
      </x:c>
      <x:c r="T958" t="n">
        <x:v>0</x:v>
      </x:c>
      <x:c r="U958" t="n">
        <x:v>1</x:v>
      </x:c>
      <x:c r="V958" t="n">
        <x:v>1</x:v>
      </x:c>
      <x:c r="W958" t="n">
        <x:v>0</x:v>
      </x:c>
      <x:c r="X958" t="n">
        <x:v>0</x:v>
      </x:c>
      <x:c r="Y958" t="n">
        <x:v>0</x:v>
      </x:c>
      <x:c r="Z958" t="n">
        <x:v>1</x:v>
      </x:c>
      <x:c r="AA958" t="n">
        <x:v>2</x:v>
      </x:c>
      <x:c r="AB958" t="str">
        <x:v>Pass</x:v>
      </x:c>
      <x:c r="AC958" t="str"/>
      <x:c r="AD958" t="str"/>
    </x:row>
    <x:row r="959">
      <x:c r="A959" t="str">
        <x:v>REC0958</x:v>
      </x:c>
      <x:c r="B959" t="n">
        <x:v>957</x:v>
      </x:c>
      <x:c r="C959" t="str">
        <x:v>St. John, USVI</x:v>
      </x:c>
      <x:c r="D959" t="str">
        <x:v>GV</x:v>
      </x:c>
      <x:c r="E959" t="str">
        <x:v>Ground Validation</x:v>
      </x:c>
      <x:c r="F959" t="str">
        <x:v>HD Seaviewer Drop Camera</x:v>
      </x:c>
      <x:c r="G959" t="str">
        <x:v>GV2016_324</x:v>
      </x:c>
      <x:c r="H959" s="28" t="n">
        <x:v>42630</x:v>
      </x:c>
      <x:c r="I959" t="str">
        <x:v>08:16:18</x:v>
      </x:c>
      <x:c r="J959" t="n">
        <x:v>2016</x:v>
      </x:c>
      <x:c r="K959" t="n">
        <x:v>18.24828134</x:v>
      </x:c>
      <x:c r="L959" t="n">
        <x:v>-64.71643247</x:v>
      </x:c>
      <x:c r="M959" t="n">
        <x:v>48.451</x:v>
      </x:c>
      <x:c r="N959" t="str">
        <x:v>https://nccospublicstor.blob.core.windows.net/biomapper/usviinsularshelf2017/videos/low/GV2016_324.mp4</x:v>
      </x:c>
      <x:c r="O959" t="n">
        <x:v>0</x:v>
      </x:c>
      <x:c r="P959" t="n">
        <x:v>0</x:v>
      </x:c>
      <x:c r="Q959" t="n">
        <x:v>1</x:v>
      </x:c>
      <x:c r="R959" t="n">
        <x:v>0</x:v>
      </x:c>
      <x:c r="S959" t="n">
        <x:v>0</x:v>
      </x:c>
      <x:c r="T959" t="n">
        <x:v>0</x:v>
      </x:c>
      <x:c r="U959" t="n">
        <x:v>1</x:v>
      </x:c>
      <x:c r="V959" t="n">
        <x:v>1</x:v>
      </x:c>
      <x:c r="W959" t="n">
        <x:v>0</x:v>
      </x:c>
      <x:c r="X959" t="n">
        <x:v>0</x:v>
      </x:c>
      <x:c r="Y959" t="n">
        <x:v>0</x:v>
      </x:c>
      <x:c r="Z959" t="n">
        <x:v>1</x:v>
      </x:c>
      <x:c r="AA959" t="n">
        <x:v>2</x:v>
      </x:c>
      <x:c r="AB959" t="str">
        <x:v>Pass</x:v>
      </x:c>
      <x:c r="AC959" t="str"/>
      <x:c r="AD959" t="str"/>
    </x:row>
    <x:row r="960">
      <x:c r="A960" t="str">
        <x:v>REC0959</x:v>
      </x:c>
      <x:c r="B960" t="n">
        <x:v>958</x:v>
      </x:c>
      <x:c r="C960" t="str">
        <x:v>St. Thomas, USVI</x:v>
      </x:c>
      <x:c r="D960" t="str">
        <x:v>GV</x:v>
      </x:c>
      <x:c r="E960" t="str">
        <x:v>Ground Validation</x:v>
      </x:c>
      <x:c r="F960" t="str">
        <x:v>HD Seaviewer Drop Camera</x:v>
      </x:c>
      <x:c r="G960" t="str">
        <x:v>GV2016_325</x:v>
      </x:c>
      <x:c r="H960" s="28" t="n">
        <x:v>42610</x:v>
      </x:c>
      <x:c r="I960" t="str">
        <x:v>12:54:32</x:v>
      </x:c>
      <x:c r="J960" t="n">
        <x:v>2016</x:v>
      </x:c>
      <x:c r="K960" t="n">
        <x:v>18.22134261</x:v>
      </x:c>
      <x:c r="L960" t="n">
        <x:v>-64.89251233</x:v>
      </x:c>
      <x:c r="M960" t="n">
        <x:v>44.23</x:v>
      </x:c>
      <x:c r="N960" t="str">
        <x:v>https://nccospublicstor.blob.core.windows.net/biomapper/usviinsularshelf2017/videos/low/GV2016_325.mp4</x:v>
      </x:c>
      <x:c r="O960" t="n">
        <x:v>0</x:v>
      </x:c>
      <x:c r="P960" t="n">
        <x:v>1</x:v>
      </x:c>
      <x:c r="Q960" t="n">
        <x:v>1</x:v>
      </x:c>
      <x:c r="R960" t="n">
        <x:v>1</x:v>
      </x:c>
      <x:c r="S960" t="n">
        <x:v>1</x:v>
      </x:c>
      <x:c r="T960" t="n">
        <x:v>0</x:v>
      </x:c>
      <x:c r="U960" t="n">
        <x:v>1</x:v>
      </x:c>
      <x:c r="V960" t="n">
        <x:v>1</x:v>
      </x:c>
      <x:c r="W960" t="n">
        <x:v>0</x:v>
      </x:c>
      <x:c r="X960" t="n">
        <x:v>0</x:v>
      </x:c>
      <x:c r="Y960" t="n">
        <x:v>0</x:v>
      </x:c>
      <x:c r="Z960" t="n">
        <x:v>3</x:v>
      </x:c>
      <x:c r="AA960" t="n">
        <x:v>3</x:v>
      </x:c>
      <x:c r="AB960" t="str">
        <x:v>Pass</x:v>
      </x:c>
      <x:c r="AC960" t="str"/>
      <x:c r="AD960" t="str"/>
    </x:row>
    <x:row r="961">
      <x:c r="A961" t="str">
        <x:v>REC0960</x:v>
      </x:c>
      <x:c r="B961" t="n">
        <x:v>959</x:v>
      </x:c>
      <x:c r="C961" t="str">
        <x:v>St. John, USVI</x:v>
      </x:c>
      <x:c r="D961" t="str">
        <x:v>GV</x:v>
      </x:c>
      <x:c r="E961" t="str">
        <x:v>Ground Validation</x:v>
      </x:c>
      <x:c r="F961" t="str">
        <x:v>HD Seaviewer Drop Camera</x:v>
      </x:c>
      <x:c r="G961" t="str">
        <x:v>GV2016_327</x:v>
      </x:c>
      <x:c r="H961" s="28" t="n">
        <x:v>42614</x:v>
      </x:c>
      <x:c r="I961" t="str">
        <x:v>12:23:10</x:v>
      </x:c>
      <x:c r="J961" t="n">
        <x:v>2016</x:v>
      </x:c>
      <x:c r="K961" t="n">
        <x:v>18.30473083</x:v>
      </x:c>
      <x:c r="L961" t="n">
        <x:v>-64.7452824</x:v>
      </x:c>
      <x:c r="M961" t="n">
        <x:v>26.203</x:v>
      </x:c>
      <x:c r="N961" t="str">
        <x:v>https://nccospublicstor.blob.core.windows.net/biomapper/usviinsularshelf2017/videos/low/GV2016_327.mp4</x:v>
      </x:c>
      <x:c r="O961" t="n">
        <x:v>0</x:v>
      </x:c>
      <x:c r="P961" t="n">
        <x:v>0</x:v>
      </x:c>
      <x:c r="Q961" t="n">
        <x:v>0</x:v>
      </x:c>
      <x:c r="R961" t="n">
        <x:v>1</x:v>
      </x:c>
      <x:c r="S961" t="n">
        <x:v>0</x:v>
      </x:c>
      <x:c r="T961" t="n">
        <x:v>0</x:v>
      </x:c>
      <x:c r="U961" t="n">
        <x:v>0</x:v>
      </x:c>
      <x:c r="V961" t="n">
        <x:v>1</x:v>
      </x:c>
      <x:c r="W961" t="n">
        <x:v>1</x:v>
      </x:c>
      <x:c r="X961" t="n">
        <x:v>0</x:v>
      </x:c>
      <x:c r="Y961" t="n">
        <x:v>0</x:v>
      </x:c>
      <x:c r="Z961" t="n">
        <x:v>1</x:v>
      </x:c>
      <x:c r="AA961" t="n">
        <x:v>1</x:v>
      </x:c>
      <x:c r="AB961" t="str">
        <x:v>Pass</x:v>
      </x:c>
      <x:c r="AC961" t="str"/>
      <x:c r="AD961" t="str">
        <x:v>Seagrass (Halophila stipulacea)</x:v>
      </x:c>
    </x:row>
    <x:row r="962">
      <x:c r="A962" t="str">
        <x:v>REC0961</x:v>
      </x:c>
      <x:c r="B962" t="n">
        <x:v>960</x:v>
      </x:c>
      <x:c r="C962" t="str">
        <x:v>St. John, USVI</x:v>
      </x:c>
      <x:c r="D962" t="str">
        <x:v>GV</x:v>
      </x:c>
      <x:c r="E962" t="str">
        <x:v>Ground Validation</x:v>
      </x:c>
      <x:c r="F962" t="str">
        <x:v>HD Seaviewer Drop Camera</x:v>
      </x:c>
      <x:c r="G962" t="str">
        <x:v>GV2016_328</x:v>
      </x:c>
      <x:c r="H962" s="28" t="n">
        <x:v>42629</x:v>
      </x:c>
      <x:c r="I962" t="str">
        <x:v>16:17:39</x:v>
      </x:c>
      <x:c r="J962" t="n">
        <x:v>2016</x:v>
      </x:c>
      <x:c r="K962" t="n">
        <x:v>18.19503151</x:v>
      </x:c>
      <x:c r="L962" t="n">
        <x:v>-64.7414081</x:v>
      </x:c>
      <x:c r="M962" t="n">
        <x:v>55</x:v>
      </x:c>
      <x:c r="N962" t="str">
        <x:v>https://nccospublicstor.blob.core.windows.net/biomapper/usviinsularshelf2017/videos/low/GV2016_328.mp4</x:v>
      </x:c>
      <x:c r="O962" t="n">
        <x:v>0</x:v>
      </x:c>
      <x:c r="P962" t="n">
        <x:v>1</x:v>
      </x:c>
      <x:c r="Q962" t="n">
        <x:v>1</x:v>
      </x:c>
      <x:c r="R962" t="n">
        <x:v>0</x:v>
      </x:c>
      <x:c r="S962" t="n">
        <x:v>0</x:v>
      </x:c>
      <x:c r="T962" t="n">
        <x:v>0</x:v>
      </x:c>
      <x:c r="U962" t="n">
        <x:v>1</x:v>
      </x:c>
      <x:c r="V962" t="n">
        <x:v>1</x:v>
      </x:c>
      <x:c r="W962" t="n">
        <x:v>0</x:v>
      </x:c>
      <x:c r="X962" t="n">
        <x:v>0</x:v>
      </x:c>
      <x:c r="Y962" t="n">
        <x:v>0</x:v>
      </x:c>
      <x:c r="Z962" t="n">
        <x:v>2</x:v>
      </x:c>
      <x:c r="AA962" t="n">
        <x:v>2</x:v>
      </x:c>
      <x:c r="AB962" t="str">
        <x:v>Pass</x:v>
      </x:c>
      <x:c r="AC962" t="str"/>
      <x:c r="AD962" t="str"/>
    </x:row>
    <x:row r="963">
      <x:c r="A963" t="str">
        <x:v>REC0962</x:v>
      </x:c>
      <x:c r="B963" t="n">
        <x:v>961</x:v>
      </x:c>
      <x:c r="C963" t="str">
        <x:v>St. Thomas, USVI</x:v>
      </x:c>
      <x:c r="D963" t="str">
        <x:v>GV</x:v>
      </x:c>
      <x:c r="E963" t="str">
        <x:v>Ground Validation</x:v>
      </x:c>
      <x:c r="F963" t="str">
        <x:v>HD Seaviewer Drop Camera</x:v>
      </x:c>
      <x:c r="G963" t="str">
        <x:v>GV2016_329</x:v>
      </x:c>
      <x:c r="H963" s="28" t="n">
        <x:v>42608</x:v>
      </x:c>
      <x:c r="I963" t="str">
        <x:v>09:59:27</x:v>
      </x:c>
      <x:c r="J963" t="n">
        <x:v>2016</x:v>
      </x:c>
      <x:c r="K963" t="n">
        <x:v>18.20759987</x:v>
      </x:c>
      <x:c r="L963" t="n">
        <x:v>-64.9702983</x:v>
      </x:c>
      <x:c r="M963" t="n">
        <x:v>43.735</x:v>
      </x:c>
      <x:c r="N963" t="str">
        <x:v>https://nccospublicstor.blob.core.windows.net/biomapper/usviinsularshelf2017/videos/low/GV2016_329.mp4</x:v>
      </x:c>
      <x:c r="O963" t="n">
        <x:v>1</x:v>
      </x:c>
      <x:c r="P963" t="n">
        <x:v>0</x:v>
      </x:c>
      <x:c r="Q963" t="n">
        <x:v>0</x:v>
      </x:c>
      <x:c r="R963" t="n">
        <x:v>0</x:v>
      </x:c>
      <x:c r="S963" t="n">
        <x:v>1</x:v>
      </x:c>
      <x:c r="T963" t="n">
        <x:v>1</x:v>
      </x:c>
      <x:c r="U963" t="n">
        <x:v>1</x:v>
      </x:c>
      <x:c r="V963" t="n">
        <x:v>1</x:v>
      </x:c>
      <x:c r="W963" t="n">
        <x:v>0</x:v>
      </x:c>
      <x:c r="X963" t="n">
        <x:v>0</x:v>
      </x:c>
      <x:c r="Y963" t="n">
        <x:v>0</x:v>
      </x:c>
      <x:c r="Z963" t="n">
        <x:v>1</x:v>
      </x:c>
      <x:c r="AA963" t="n">
        <x:v>4</x:v>
      </x:c>
      <x:c r="AB963" t="str">
        <x:v>Pass</x:v>
      </x:c>
      <x:c r="AC963" t="str"/>
      <x:c r="AD963" t="str"/>
    </x:row>
    <x:row r="964">
      <x:c r="A964" t="str">
        <x:v>REC0963</x:v>
      </x:c>
      <x:c r="B964" t="n">
        <x:v>962</x:v>
      </x:c>
      <x:c r="C964" t="str">
        <x:v>Puerto Rico</x:v>
      </x:c>
      <x:c r="D964" t="str">
        <x:v>GV</x:v>
      </x:c>
      <x:c r="E964" t="str">
        <x:v>Ground Validation</x:v>
      </x:c>
      <x:c r="F964" t="str">
        <x:v>HD Seaviewer Drop Camera</x:v>
      </x:c>
      <x:c r="G964" t="str">
        <x:v>GV2016_330</x:v>
      </x:c>
      <x:c r="H964" s="28" t="n">
        <x:v>42605</x:v>
      </x:c>
      <x:c r="I964" t="str">
        <x:v>10:08:15</x:v>
      </x:c>
      <x:c r="J964" t="n">
        <x:v>2016</x:v>
      </x:c>
      <x:c r="K964" t="n">
        <x:v>18.18638378</x:v>
      </x:c>
      <x:c r="L964" t="n">
        <x:v>-65.16181485</x:v>
      </x:c>
      <x:c r="M964" t="n">
        <x:v>38.729</x:v>
      </x:c>
      <x:c r="N964" t="str">
        <x:v>https://nccospublicstor.blob.core.windows.net/biomapper/usviinsularshelf2017/videos/low/GV2016_330.mp4</x:v>
      </x:c>
      <x:c r="O964" t="n">
        <x:v>1</x:v>
      </x:c>
      <x:c r="P964" t="n">
        <x:v>0</x:v>
      </x:c>
      <x:c r="Q964" t="n">
        <x:v>0</x:v>
      </x:c>
      <x:c r="R964" t="n">
        <x:v>0</x:v>
      </x:c>
      <x:c r="S964" t="n">
        <x:v>1</x:v>
      </x:c>
      <x:c r="T964" t="n">
        <x:v>0</x:v>
      </x:c>
      <x:c r="U964" t="n">
        <x:v>1</x:v>
      </x:c>
      <x:c r="V964" t="n">
        <x:v>1</x:v>
      </x:c>
      <x:c r="W964" t="n">
        <x:v>0</x:v>
      </x:c>
      <x:c r="X964" t="n">
        <x:v>0</x:v>
      </x:c>
      <x:c r="Y964" t="n">
        <x:v>0</x:v>
      </x:c>
      <x:c r="Z964" t="n">
        <x:v>1</x:v>
      </x:c>
      <x:c r="AA964" t="n">
        <x:v>3</x:v>
      </x:c>
      <x:c r="AB964" t="str">
        <x:v>Pass</x:v>
      </x:c>
      <x:c r="AC964" t="str"/>
      <x:c r="AD964" t="str"/>
    </x:row>
    <x:row r="965">
      <x:c r="A965" t="str">
        <x:v>REC0964</x:v>
      </x:c>
      <x:c r="B965" t="n">
        <x:v>963</x:v>
      </x:c>
      <x:c r="C965" t="str">
        <x:v>St. John, USVI</x:v>
      </x:c>
      <x:c r="D965" t="str">
        <x:v>GV</x:v>
      </x:c>
      <x:c r="E965" t="str">
        <x:v>Ground Validation</x:v>
      </x:c>
      <x:c r="F965" t="str">
        <x:v>HD Seaviewer Drop Camera</x:v>
      </x:c>
      <x:c r="G965" t="str">
        <x:v>GV2016_331</x:v>
      </x:c>
      <x:c r="H965" s="28" t="n">
        <x:v>42630</x:v>
      </x:c>
      <x:c r="I965" t="str">
        <x:v>13:26:46</x:v>
      </x:c>
      <x:c r="J965" t="n">
        <x:v>2016</x:v>
      </x:c>
      <x:c r="K965" t="n">
        <x:v>18.22729312</x:v>
      </x:c>
      <x:c r="L965" t="n">
        <x:v>-64.75877104</x:v>
      </x:c>
      <x:c r="M965" t="n">
        <x:v>51.919</x:v>
      </x:c>
      <x:c r="N965" t="str">
        <x:v>https://nccospublicstor.blob.core.windows.net/biomapper/usviinsularshelf2017/videos/low/GV2016_331.mp4</x:v>
      </x:c>
      <x:c r="O965" t="n">
        <x:v>0</x:v>
      </x:c>
      <x:c r="P965" t="n">
        <x:v>0</x:v>
      </x:c>
      <x:c r="Q965" t="n">
        <x:v>1</x:v>
      </x:c>
      <x:c r="R965" t="n">
        <x:v>0</x:v>
      </x:c>
      <x:c r="S965" t="n">
        <x:v>0</x:v>
      </x:c>
      <x:c r="T965" t="n">
        <x:v>0</x:v>
      </x:c>
      <x:c r="U965" t="n">
        <x:v>1</x:v>
      </x:c>
      <x:c r="V965" t="n">
        <x:v>1</x:v>
      </x:c>
      <x:c r="W965" t="n">
        <x:v>0</x:v>
      </x:c>
      <x:c r="X965" t="n">
        <x:v>0</x:v>
      </x:c>
      <x:c r="Y965" t="n">
        <x:v>0</x:v>
      </x:c>
      <x:c r="Z965" t="n">
        <x:v>1</x:v>
      </x:c>
      <x:c r="AA965" t="n">
        <x:v>2</x:v>
      </x:c>
      <x:c r="AB965" t="str">
        <x:v>Pass</x:v>
      </x:c>
      <x:c r="AC965" t="str"/>
      <x:c r="AD965" t="str"/>
    </x:row>
    <x:row r="966">
      <x:c r="A966" t="str">
        <x:v>REC0965</x:v>
      </x:c>
      <x:c r="B966" t="n">
        <x:v>964</x:v>
      </x:c>
      <x:c r="C966" t="str">
        <x:v>Puerto Rico</x:v>
      </x:c>
      <x:c r="D966" t="str">
        <x:v>GV</x:v>
      </x:c>
      <x:c r="E966" t="str">
        <x:v>Ground Validation</x:v>
      </x:c>
      <x:c r="F966" t="str">
        <x:v>HD Seaviewer Drop Camera</x:v>
      </x:c>
      <x:c r="G966" t="str">
        <x:v>GV2016_332</x:v>
      </x:c>
      <x:c r="H966" s="28" t="n">
        <x:v>42604</x:v>
      </x:c>
      <x:c r="I966" t="str">
        <x:v>10:42:11</x:v>
      </x:c>
      <x:c r="J966" t="n">
        <x:v>2016</x:v>
      </x:c>
      <x:c r="K966" t="n">
        <x:v>18.19327762</x:v>
      </x:c>
      <x:c r="L966" t="n">
        <x:v>-65.21641881</x:v>
      </x:c>
      <x:c r="M966" t="n">
        <x:v>39.086</x:v>
      </x:c>
      <x:c r="N966" t="str">
        <x:v>https://nccospublicstor.blob.core.windows.net/biomapper/usviinsularshelf2017/videos/low/GV2016_332.mp4</x:v>
      </x:c>
      <x:c r="O966" t="n">
        <x:v>1</x:v>
      </x:c>
      <x:c r="P966" t="n">
        <x:v>0</x:v>
      </x:c>
      <x:c r="Q966" t="n">
        <x:v>0</x:v>
      </x:c>
      <x:c r="R966" t="n">
        <x:v>1</x:v>
      </x:c>
      <x:c r="S966" t="n">
        <x:v>1</x:v>
      </x:c>
      <x:c r="T966" t="n">
        <x:v>0</x:v>
      </x:c>
      <x:c r="U966" t="n">
        <x:v>1</x:v>
      </x:c>
      <x:c r="V966" t="n">
        <x:v>1</x:v>
      </x:c>
      <x:c r="W966" t="n">
        <x:v>0</x:v>
      </x:c>
      <x:c r="X966" t="n">
        <x:v>0</x:v>
      </x:c>
      <x:c r="Y966" t="n">
        <x:v>0</x:v>
      </x:c>
      <x:c r="Z966" t="n">
        <x:v>2</x:v>
      </x:c>
      <x:c r="AA966" t="n">
        <x:v>3</x:v>
      </x:c>
      <x:c r="AB966" t="str">
        <x:v>Pass</x:v>
      </x:c>
      <x:c r="AC966" t="str"/>
      <x:c r="AD966" t="str"/>
    </x:row>
    <x:row r="967">
      <x:c r="A967" t="str">
        <x:v>REC0966</x:v>
      </x:c>
      <x:c r="B967" t="n">
        <x:v>965</x:v>
      </x:c>
      <x:c r="C967" t="str">
        <x:v>St. Thomas, USVI</x:v>
      </x:c>
      <x:c r="D967" t="str">
        <x:v>GV</x:v>
      </x:c>
      <x:c r="E967" t="str">
        <x:v>Ground Validation</x:v>
      </x:c>
      <x:c r="F967" t="str">
        <x:v>HD Seaviewer Drop Camera</x:v>
      </x:c>
      <x:c r="G967" t="str">
        <x:v>GV2016_334</x:v>
      </x:c>
      <x:c r="H967" s="28" t="n">
        <x:v>42610</x:v>
      </x:c>
      <x:c r="I967" t="str">
        <x:v>09:20:52</x:v>
      </x:c>
      <x:c r="J967" t="n">
        <x:v>2016</x:v>
      </x:c>
      <x:c r="K967" t="n">
        <x:v>18.18638899</x:v>
      </x:c>
      <x:c r="L967" t="n">
        <x:v>-64.8756378</x:v>
      </x:c>
      <x:c r="M967" t="n">
        <x:v>48.247</x:v>
      </x:c>
      <x:c r="N967" t="str">
        <x:v>https://nccospublicstor.blob.core.windows.net/biomapper/usviinsularshelf2017/videos/low/GV2016_334.mp4</x:v>
      </x:c>
      <x:c r="O967" t="n">
        <x:v>0</x:v>
      </x:c>
      <x:c r="P967" t="n">
        <x:v>0</x:v>
      </x:c>
      <x:c r="Q967" t="n">
        <x:v>1</x:v>
      </x:c>
      <x:c r="R967" t="n">
        <x:v>0</x:v>
      </x:c>
      <x:c r="S967" t="n">
        <x:v>0</x:v>
      </x:c>
      <x:c r="T967" t="n">
        <x:v>0</x:v>
      </x:c>
      <x:c r="U967" t="n">
        <x:v>1</x:v>
      </x:c>
      <x:c r="V967" t="n">
        <x:v>1</x:v>
      </x:c>
      <x:c r="W967" t="n">
        <x:v>0</x:v>
      </x:c>
      <x:c r="X967" t="n">
        <x:v>0</x:v>
      </x:c>
      <x:c r="Y967" t="n">
        <x:v>0</x:v>
      </x:c>
      <x:c r="Z967" t="n">
        <x:v>1</x:v>
      </x:c>
      <x:c r="AA967" t="n">
        <x:v>2</x:v>
      </x:c>
      <x:c r="AB967" t="str">
        <x:v>Pass</x:v>
      </x:c>
      <x:c r="AC967" t="str"/>
      <x:c r="AD967" t="str"/>
    </x:row>
    <x:row r="968">
      <x:c r="A968" t="str">
        <x:v>REC0967</x:v>
      </x:c>
      <x:c r="B968" t="n">
        <x:v>966</x:v>
      </x:c>
      <x:c r="C968" t="str">
        <x:v>St. Thomas, USVI</x:v>
      </x:c>
      <x:c r="D968" t="str">
        <x:v>GV</x:v>
      </x:c>
      <x:c r="E968" t="str">
        <x:v>Ground Validation</x:v>
      </x:c>
      <x:c r="F968" t="str">
        <x:v>HD Seaviewer Drop Camera</x:v>
      </x:c>
      <x:c r="G968" t="str">
        <x:v>GV2016_335</x:v>
      </x:c>
      <x:c r="H968" s="28" t="n">
        <x:v>42612</x:v>
      </x:c>
      <x:c r="I968" t="str">
        <x:v>10:49:20</x:v>
      </x:c>
      <x:c r="J968" t="n">
        <x:v>2016</x:v>
      </x:c>
      <x:c r="K968" t="n">
        <x:v>18.23809872</x:v>
      </x:c>
      <x:c r="L968" t="n">
        <x:v>-64.94322483</x:v>
      </x:c>
      <x:c r="M968" t="n">
        <x:v>41.311</x:v>
      </x:c>
      <x:c r="N968" t="str">
        <x:v>https://nccospublicstor.blob.core.windows.net/biomapper/usviinsularshelf2017/videos/low/GV2016_335.mp4</x:v>
      </x:c>
      <x:c r="O968" t="n">
        <x:v>0</x:v>
      </x:c>
      <x:c r="P968" t="n">
        <x:v>0</x:v>
      </x:c>
      <x:c r="Q968" t="n">
        <x:v>1</x:v>
      </x:c>
      <x:c r="R968" t="n">
        <x:v>1</x:v>
      </x:c>
      <x:c r="S968" t="n">
        <x:v>0</x:v>
      </x:c>
      <x:c r="T968" t="n">
        <x:v>0</x:v>
      </x:c>
      <x:c r="U968" t="n">
        <x:v>1</x:v>
      </x:c>
      <x:c r="V968" t="n">
        <x:v>1</x:v>
      </x:c>
      <x:c r="W968" t="n">
        <x:v>0</x:v>
      </x:c>
      <x:c r="X968" t="n">
        <x:v>0</x:v>
      </x:c>
      <x:c r="Y968" t="n">
        <x:v>0</x:v>
      </x:c>
      <x:c r="Z968" t="n">
        <x:v>2</x:v>
      </x:c>
      <x:c r="AA968" t="n">
        <x:v>2</x:v>
      </x:c>
      <x:c r="AB968" t="str">
        <x:v>Pass</x:v>
      </x:c>
      <x:c r="AC968" t="str"/>
      <x:c r="AD968" t="str"/>
    </x:row>
    <x:row r="969">
      <x:c r="A969" t="str">
        <x:v>REC0968</x:v>
      </x:c>
      <x:c r="B969" t="n">
        <x:v>967</x:v>
      </x:c>
      <x:c r="C969" t="str">
        <x:v>St. John, USVI</x:v>
      </x:c>
      <x:c r="D969" t="str">
        <x:v>GV</x:v>
      </x:c>
      <x:c r="E969" t="str">
        <x:v>Ground Validation</x:v>
      </x:c>
      <x:c r="F969" t="str">
        <x:v>HD Seaviewer Drop Camera</x:v>
      </x:c>
      <x:c r="G969" t="str">
        <x:v>GV2016_336</x:v>
      </x:c>
      <x:c r="H969" s="28" t="n">
        <x:v>42630</x:v>
      </x:c>
      <x:c r="I969" t="str">
        <x:v>09:27:19</x:v>
      </x:c>
      <x:c r="J969" t="n">
        <x:v>2016</x:v>
      </x:c>
      <x:c r="K969" t="n">
        <x:v>18.23680357</x:v>
      </x:c>
      <x:c r="L969" t="n">
        <x:v>-64.69480321</x:v>
      </x:c>
      <x:c r="M969" t="n">
        <x:v>53.172</x:v>
      </x:c>
      <x:c r="N969" t="str">
        <x:v>https://nccospublicstor.blob.core.windows.net/biomapper/usviinsularshelf2017/videos/low/GV2016_336.mp4</x:v>
      </x:c>
      <x:c r="O969" t="n">
        <x:v>0</x:v>
      </x:c>
      <x:c r="P969" t="n">
        <x:v>1</x:v>
      </x:c>
      <x:c r="Q969" t="n">
        <x:v>1</x:v>
      </x:c>
      <x:c r="R969" t="n">
        <x:v>0</x:v>
      </x:c>
      <x:c r="S969" t="n">
        <x:v>1</x:v>
      </x:c>
      <x:c r="T969" t="n">
        <x:v>0</x:v>
      </x:c>
      <x:c r="U969" t="n">
        <x:v>1</x:v>
      </x:c>
      <x:c r="V969" t="n">
        <x:v>1</x:v>
      </x:c>
      <x:c r="W969" t="n">
        <x:v>0</x:v>
      </x:c>
      <x:c r="X969" t="n">
        <x:v>0</x:v>
      </x:c>
      <x:c r="Y969" t="n">
        <x:v>0</x:v>
      </x:c>
      <x:c r="Z969" t="n">
        <x:v>2</x:v>
      </x:c>
      <x:c r="AA969" t="n">
        <x:v>3</x:v>
      </x:c>
      <x:c r="AB969" t="str">
        <x:v>Pass</x:v>
      </x:c>
      <x:c r="AC969" t="str"/>
      <x:c r="AD969" t="str"/>
    </x:row>
    <x:row r="970">
      <x:c r="A970" t="str">
        <x:v>REC0969</x:v>
      </x:c>
      <x:c r="B970" t="n">
        <x:v>968</x:v>
      </x:c>
      <x:c r="C970" t="str">
        <x:v>St. Thomas, USVI</x:v>
      </x:c>
      <x:c r="D970" t="str">
        <x:v>GV</x:v>
      </x:c>
      <x:c r="E970" t="str">
        <x:v>Ground Validation</x:v>
      </x:c>
      <x:c r="F970" t="str">
        <x:v>HD Seaviewer Drop Camera</x:v>
      </x:c>
      <x:c r="G970" t="str">
        <x:v>GV2016_337</x:v>
      </x:c>
      <x:c r="H970" s="28" t="n">
        <x:v>42611</x:v>
      </x:c>
      <x:c r="I970" t="str">
        <x:v>12:53:44</x:v>
      </x:c>
      <x:c r="J970" t="n">
        <x:v>2016</x:v>
      </x:c>
      <x:c r="K970" t="n">
        <x:v>18.22728778</x:v>
      </x:c>
      <x:c r="L970" t="n">
        <x:v>-64.934617</x:v>
      </x:c>
      <x:c r="M970" t="n">
        <x:v>43.292</x:v>
      </x:c>
      <x:c r="N970" t="str">
        <x:v>https://nccospublicstor.blob.core.windows.net/biomapper/usviinsularshelf2017/videos/low/GV2016_337.mp4</x:v>
      </x:c>
      <x:c r="O970" t="n">
        <x:v>0</x:v>
      </x:c>
      <x:c r="P970" t="n">
        <x:v>0</x:v>
      </x:c>
      <x:c r="Q970" t="n">
        <x:v>1</x:v>
      </x:c>
      <x:c r="R970" t="n">
        <x:v>1</x:v>
      </x:c>
      <x:c r="S970" t="n">
        <x:v>0</x:v>
      </x:c>
      <x:c r="T970" t="n">
        <x:v>0</x:v>
      </x:c>
      <x:c r="U970" t="n">
        <x:v>1</x:v>
      </x:c>
      <x:c r="V970" t="n">
        <x:v>1</x:v>
      </x:c>
      <x:c r="W970" t="n">
        <x:v>0</x:v>
      </x:c>
      <x:c r="X970" t="n">
        <x:v>0</x:v>
      </x:c>
      <x:c r="Y970" t="n">
        <x:v>0</x:v>
      </x:c>
      <x:c r="Z970" t="n">
        <x:v>2</x:v>
      </x:c>
      <x:c r="AA970" t="n">
        <x:v>2</x:v>
      </x:c>
      <x:c r="AB970" t="str">
        <x:v>Pass</x:v>
      </x:c>
      <x:c r="AC970" t="str"/>
      <x:c r="AD970" t="str"/>
    </x:row>
    <x:row r="971">
      <x:c r="A971" t="str">
        <x:v>REC0970</x:v>
      </x:c>
      <x:c r="B971" t="n">
        <x:v>969</x:v>
      </x:c>
      <x:c r="C971" t="str">
        <x:v>St. Thomas, USVI</x:v>
      </x:c>
      <x:c r="D971" t="str">
        <x:v>GV</x:v>
      </x:c>
      <x:c r="E971" t="str">
        <x:v>Ground Validation</x:v>
      </x:c>
      <x:c r="F971" t="str">
        <x:v>HD Seaviewer Drop Camera</x:v>
      </x:c>
      <x:c r="G971" t="str">
        <x:v>GV2016_338</x:v>
      </x:c>
      <x:c r="H971" s="28" t="n">
        <x:v>42608</x:v>
      </x:c>
      <x:c r="I971" t="str">
        <x:v>09:17:42</x:v>
      </x:c>
      <x:c r="J971" t="n">
        <x:v>2016</x:v>
      </x:c>
      <x:c r="K971" t="n">
        <x:v>18.20078871</x:v>
      </x:c>
      <x:c r="L971" t="n">
        <x:v>-64.9450713</x:v>
      </x:c>
      <x:c r="M971" t="n">
        <x:v>40.232</x:v>
      </x:c>
      <x:c r="N971" t="str">
        <x:v>https://nccospublicstor.blob.core.windows.net/biomapper/usviinsularshelf2017/videos/low/GV2016_338.mp4</x:v>
      </x:c>
      <x:c r="O971" t="n">
        <x:v>1</x:v>
      </x:c>
      <x:c r="P971" t="n">
        <x:v>0</x:v>
      </x:c>
      <x:c r="Q971" t="n">
        <x:v>0</x:v>
      </x:c>
      <x:c r="R971" t="n">
        <x:v>0</x:v>
      </x:c>
      <x:c r="S971" t="n">
        <x:v>1</x:v>
      </x:c>
      <x:c r="T971" t="n">
        <x:v>0</x:v>
      </x:c>
      <x:c r="U971" t="n">
        <x:v>1</x:v>
      </x:c>
      <x:c r="V971" t="n">
        <x:v>1</x:v>
      </x:c>
      <x:c r="W971" t="n">
        <x:v>0</x:v>
      </x:c>
      <x:c r="X971" t="n">
        <x:v>0</x:v>
      </x:c>
      <x:c r="Y971" t="n">
        <x:v>0</x:v>
      </x:c>
      <x:c r="Z971" t="n">
        <x:v>1</x:v>
      </x:c>
      <x:c r="AA971" t="n">
        <x:v>3</x:v>
      </x:c>
      <x:c r="AB971" t="str">
        <x:v>Pass</x:v>
      </x:c>
      <x:c r="AC971" t="str"/>
      <x:c r="AD971" t="str">
        <x:v>Very low coral cover &lt;10%</x:v>
      </x:c>
    </x:row>
    <x:row r="972">
      <x:c r="A972" t="str">
        <x:v>REC0971</x:v>
      </x:c>
      <x:c r="B972" t="n">
        <x:v>970</x:v>
      </x:c>
      <x:c r="C972" t="str">
        <x:v>St. John, USVI</x:v>
      </x:c>
      <x:c r="D972" t="str">
        <x:v>GV</x:v>
      </x:c>
      <x:c r="E972" t="str">
        <x:v>Ground Validation</x:v>
      </x:c>
      <x:c r="F972" t="str">
        <x:v>HD Seaviewer Drop Camera</x:v>
      </x:c>
      <x:c r="G972" t="str">
        <x:v>GV2016_339</x:v>
      </x:c>
      <x:c r="H972" s="28" t="n">
        <x:v>42613</x:v>
      </x:c>
      <x:c r="I972" t="str">
        <x:v>12:15:31</x:v>
      </x:c>
      <x:c r="J972" t="n">
        <x:v>2016</x:v>
      </x:c>
      <x:c r="K972" t="n">
        <x:v>18.27057356</x:v>
      </x:c>
      <x:c r="L972" t="n">
        <x:v>-64.80405739</x:v>
      </x:c>
      <x:c r="M972" t="n">
        <x:v>35.383</x:v>
      </x:c>
      <x:c r="N972" t="str">
        <x:v>https://nccospublicstor.blob.core.windows.net/biomapper/usviinsularshelf2017/videos/low/GV2016_339.mp4</x:v>
      </x:c>
      <x:c r="O972" t="n">
        <x:v>0</x:v>
      </x:c>
      <x:c r="P972" t="n">
        <x:v>0</x:v>
      </x:c>
      <x:c r="Q972" t="n">
        <x:v>1</x:v>
      </x:c>
      <x:c r="R972" t="n">
        <x:v>0</x:v>
      </x:c>
      <x:c r="S972" t="n">
        <x:v>0</x:v>
      </x:c>
      <x:c r="T972" t="n">
        <x:v>0</x:v>
      </x:c>
      <x:c r="U972" t="n">
        <x:v>1</x:v>
      </x:c>
      <x:c r="V972" t="n">
        <x:v>1</x:v>
      </x:c>
      <x:c r="W972" t="n">
        <x:v>0</x:v>
      </x:c>
      <x:c r="X972" t="n">
        <x:v>0</x:v>
      </x:c>
      <x:c r="Y972" t="n">
        <x:v>0</x:v>
      </x:c>
      <x:c r="Z972" t="n">
        <x:v>1</x:v>
      </x:c>
      <x:c r="AA972" t="n">
        <x:v>2</x:v>
      </x:c>
      <x:c r="AB972" t="str">
        <x:v>Pass</x:v>
      </x:c>
      <x:c r="AC972" t="str"/>
      <x:c r="AD972" t="str"/>
    </x:row>
    <x:row r="973">
      <x:c r="A973" t="str">
        <x:v>REC0972</x:v>
      </x:c>
      <x:c r="B973" t="n">
        <x:v>971</x:v>
      </x:c>
      <x:c r="C973" t="str">
        <x:v>Puerto Rico</x:v>
      </x:c>
      <x:c r="D973" t="str">
        <x:v>GV</x:v>
      </x:c>
      <x:c r="E973" t="str">
        <x:v>Ground Validation</x:v>
      </x:c>
      <x:c r="F973" t="str">
        <x:v>HD Seaviewer Drop Camera</x:v>
      </x:c>
      <x:c r="G973" t="str">
        <x:v>GV2016_340</x:v>
      </x:c>
      <x:c r="H973" s="28" t="n">
        <x:v>42605</x:v>
      </x:c>
      <x:c r="I973" t="str">
        <x:v>09:43:41</x:v>
      </x:c>
      <x:c r="J973" t="n">
        <x:v>2016</x:v>
      </x:c>
      <x:c r="K973" t="n">
        <x:v>18.20440503</x:v>
      </x:c>
      <x:c r="L973" t="n">
        <x:v>-65.18068307</x:v>
      </x:c>
      <x:c r="M973" t="n">
        <x:v>35.504</x:v>
      </x:c>
      <x:c r="N973" t="str">
        <x:v>https://nccospublicstor.blob.core.windows.net/biomapper/usviinsularshelf2017/videos/low/GV2016_340.mp4</x:v>
      </x:c>
      <x:c r="O973" t="n">
        <x:v>1</x:v>
      </x:c>
      <x:c r="P973" t="n">
        <x:v>0</x:v>
      </x:c>
      <x:c r="Q973" t="n">
        <x:v>0</x:v>
      </x:c>
      <x:c r="R973" t="n">
        <x:v>0</x:v>
      </x:c>
      <x:c r="S973" t="n">
        <x:v>1</x:v>
      </x:c>
      <x:c r="T973" t="n">
        <x:v>1</x:v>
      </x:c>
      <x:c r="U973" t="n">
        <x:v>1</x:v>
      </x:c>
      <x:c r="V973" t="n">
        <x:v>1</x:v>
      </x:c>
      <x:c r="W973" t="n">
        <x:v>0</x:v>
      </x:c>
      <x:c r="X973" t="n">
        <x:v>0</x:v>
      </x:c>
      <x:c r="Y973" t="n">
        <x:v>0</x:v>
      </x:c>
      <x:c r="Z973" t="n">
        <x:v>1</x:v>
      </x:c>
      <x:c r="AA973" t="n">
        <x:v>4</x:v>
      </x:c>
      <x:c r="AB973" t="str">
        <x:v>Pass</x:v>
      </x:c>
      <x:c r="AC973" t="str"/>
      <x:c r="AD973" t="str"/>
    </x:row>
    <x:row r="974">
      <x:c r="A974" t="str">
        <x:v>REC0973</x:v>
      </x:c>
      <x:c r="B974" t="n">
        <x:v>972</x:v>
      </x:c>
      <x:c r="C974" t="str">
        <x:v>St. John, USVI</x:v>
      </x:c>
      <x:c r="D974" t="str">
        <x:v>GV</x:v>
      </x:c>
      <x:c r="E974" t="str">
        <x:v>Ground Validation</x:v>
      </x:c>
      <x:c r="F974" t="str">
        <x:v>HD Seaviewer Drop Camera</x:v>
      </x:c>
      <x:c r="G974" t="str">
        <x:v>GV2016_341</x:v>
      </x:c>
      <x:c r="H974" s="28" t="n">
        <x:v>42630</x:v>
      </x:c>
      <x:c r="I974" t="str">
        <x:v>14:38:01</x:v>
      </x:c>
      <x:c r="J974" t="n">
        <x:v>2016</x:v>
      </x:c>
      <x:c r="K974" t="n">
        <x:v>18.23279278</x:v>
      </x:c>
      <x:c r="L974" t="n">
        <x:v>-64.77417672</x:v>
      </x:c>
      <x:c r="M974" t="n">
        <x:v>54.901</x:v>
      </x:c>
      <x:c r="N974" t="str">
        <x:v>https://nccospublicstor.blob.core.windows.net/biomapper/usviinsularshelf2017/videos/low/GV2016_341.mp4</x:v>
      </x:c>
      <x:c r="O974" t="n">
        <x:v>0</x:v>
      </x:c>
      <x:c r="P974" t="n">
        <x:v>0</x:v>
      </x:c>
      <x:c r="Q974" t="n">
        <x:v>1</x:v>
      </x:c>
      <x:c r="R974" t="n">
        <x:v>0</x:v>
      </x:c>
      <x:c r="S974" t="n">
        <x:v>0</x:v>
      </x:c>
      <x:c r="T974" t="n">
        <x:v>0</x:v>
      </x:c>
      <x:c r="U974" t="n">
        <x:v>1</x:v>
      </x:c>
      <x:c r="V974" t="n">
        <x:v>1</x:v>
      </x:c>
      <x:c r="W974" t="n">
        <x:v>0</x:v>
      </x:c>
      <x:c r="X974" t="n">
        <x:v>0</x:v>
      </x:c>
      <x:c r="Y974" t="n">
        <x:v>0</x:v>
      </x:c>
      <x:c r="Z974" t="n">
        <x:v>1</x:v>
      </x:c>
      <x:c r="AA974" t="n">
        <x:v>2</x:v>
      </x:c>
      <x:c r="AB974" t="str">
        <x:v>Pass</x:v>
      </x:c>
      <x:c r="AC974" t="str"/>
      <x:c r="AD974" t="str"/>
    </x:row>
    <x:row r="975">
      <x:c r="A975" t="str">
        <x:v>REC0974</x:v>
      </x:c>
      <x:c r="B975" t="n">
        <x:v>973</x:v>
      </x:c>
      <x:c r="C975" t="str">
        <x:v>Puerto Rico</x:v>
      </x:c>
      <x:c r="D975" t="str">
        <x:v>GV</x:v>
      </x:c>
      <x:c r="E975" t="str">
        <x:v>Ground Validation</x:v>
      </x:c>
      <x:c r="F975" t="str">
        <x:v>HD Seaviewer Drop Camera</x:v>
      </x:c>
      <x:c r="G975" t="str">
        <x:v>GV2016_342</x:v>
      </x:c>
      <x:c r="H975" s="28" t="n">
        <x:v>42603</x:v>
      </x:c>
      <x:c r="I975" t="str">
        <x:v>09:17:49</x:v>
      </x:c>
      <x:c r="J975" t="n">
        <x:v>2016</x:v>
      </x:c>
      <x:c r="K975" t="n">
        <x:v>18.1404819</x:v>
      </x:c>
      <x:c r="L975" t="n">
        <x:v>-65.22257147</x:v>
      </x:c>
      <x:c r="M975" t="n">
        <x:v>37.879</x:v>
      </x:c>
      <x:c r="N975" t="str">
        <x:v>https://nccospublicstor.blob.core.windows.net/biomapper/usviinsularshelf2017/videos/low/GV2016_342.mp4</x:v>
      </x:c>
      <x:c r="O975" t="n">
        <x:v>0</x:v>
      </x:c>
      <x:c r="P975" t="n">
        <x:v>1</x:v>
      </x:c>
      <x:c r="Q975" t="n">
        <x:v>1</x:v>
      </x:c>
      <x:c r="R975" t="n">
        <x:v>0</x:v>
      </x:c>
      <x:c r="S975" t="n">
        <x:v>1</x:v>
      </x:c>
      <x:c r="T975" t="n">
        <x:v>0</x:v>
      </x:c>
      <x:c r="U975" t="n">
        <x:v>1</x:v>
      </x:c>
      <x:c r="V975" t="n">
        <x:v>1</x:v>
      </x:c>
      <x:c r="W975" t="n">
        <x:v>0</x:v>
      </x:c>
      <x:c r="X975" t="n">
        <x:v>0</x:v>
      </x:c>
      <x:c r="Y975" t="n">
        <x:v>0</x:v>
      </x:c>
      <x:c r="Z975" t="n">
        <x:v>2</x:v>
      </x:c>
      <x:c r="AA975" t="n">
        <x:v>3</x:v>
      </x:c>
      <x:c r="AB975" t="str">
        <x:v>Pass</x:v>
      </x:c>
      <x:c r="AC975" t="str"/>
      <x:c r="AD975" t="str"/>
    </x:row>
    <x:row r="976">
      <x:c r="A976" t="str">
        <x:v>REC0975</x:v>
      </x:c>
      <x:c r="B976" t="n">
        <x:v>974</x:v>
      </x:c>
      <x:c r="C976" t="str">
        <x:v>St. Thomas, USVI</x:v>
      </x:c>
      <x:c r="D976" t="str">
        <x:v>GV</x:v>
      </x:c>
      <x:c r="E976" t="str">
        <x:v>Ground Validation</x:v>
      </x:c>
      <x:c r="F976" t="str">
        <x:v>HD Seaviewer Drop Camera</x:v>
      </x:c>
      <x:c r="G976" t="str">
        <x:v>GV2016_343</x:v>
      </x:c>
      <x:c r="H976" s="28" t="n">
        <x:v>42610</x:v>
      </x:c>
      <x:c r="I976" t="str">
        <x:v>12:24:20</x:v>
      </x:c>
      <x:c r="J976" t="n">
        <x:v>2016</x:v>
      </x:c>
      <x:c r="K976" t="n">
        <x:v>18.19988089</x:v>
      </x:c>
      <x:c r="L976" t="n">
        <x:v>-64.88702203</x:v>
      </x:c>
      <x:c r="M976" t="n">
        <x:v>52.458</x:v>
      </x:c>
      <x:c r="N976" t="str">
        <x:v>https://nccospublicstor.blob.core.windows.net/biomapper/usviinsularshelf2017/videos/low/GV2016_343.mp4</x:v>
      </x:c>
      <x:c r="O976" t="n">
        <x:v>0</x:v>
      </x:c>
      <x:c r="P976" t="n">
        <x:v>0</x:v>
      </x:c>
      <x:c r="Q976" t="n">
        <x:v>1</x:v>
      </x:c>
      <x:c r="R976" t="n">
        <x:v>0</x:v>
      </x:c>
      <x:c r="S976" t="n">
        <x:v>0</x:v>
      </x:c>
      <x:c r="T976" t="n">
        <x:v>0</x:v>
      </x:c>
      <x:c r="U976" t="n">
        <x:v>1</x:v>
      </x:c>
      <x:c r="V976" t="n">
        <x:v>1</x:v>
      </x:c>
      <x:c r="W976" t="n">
        <x:v>0</x:v>
      </x:c>
      <x:c r="X976" t="n">
        <x:v>0</x:v>
      </x:c>
      <x:c r="Y976" t="n">
        <x:v>0</x:v>
      </x:c>
      <x:c r="Z976" t="n">
        <x:v>1</x:v>
      </x:c>
      <x:c r="AA976" t="n">
        <x:v>2</x:v>
      </x:c>
      <x:c r="AB976" t="str">
        <x:v>Pass</x:v>
      </x:c>
      <x:c r="AC976" t="str"/>
      <x:c r="AD976" t="str"/>
    </x:row>
    <x:row r="977">
      <x:c r="A977" t="str">
        <x:v>REC0976</x:v>
      </x:c>
      <x:c r="B977" t="n">
        <x:v>975</x:v>
      </x:c>
      <x:c r="C977" t="str">
        <x:v>St. Thomas, USVI</x:v>
      </x:c>
      <x:c r="D977" t="str">
        <x:v>GV</x:v>
      </x:c>
      <x:c r="E977" t="str">
        <x:v>Ground Validation</x:v>
      </x:c>
      <x:c r="F977" t="str">
        <x:v>HD Seaviewer Drop Camera</x:v>
      </x:c>
      <x:c r="G977" t="str">
        <x:v>GV2016_344</x:v>
      </x:c>
      <x:c r="H977" s="28" t="n">
        <x:v>42608</x:v>
      </x:c>
      <x:c r="I977" t="str">
        <x:v>13:30:53</x:v>
      </x:c>
      <x:c r="J977" t="n">
        <x:v>2016</x:v>
      </x:c>
      <x:c r="K977" t="n">
        <x:v>18.18435015</x:v>
      </x:c>
      <x:c r="L977" t="n">
        <x:v>-65.07917842</x:v>
      </x:c>
      <x:c r="M977" t="n">
        <x:v>29.217</x:v>
      </x:c>
      <x:c r="N977" t="str">
        <x:v>https://nccospublicstor.blob.core.windows.net/biomapper/usviinsularshelf2017/videos/low/GV2016_344.mp4</x:v>
      </x:c>
      <x:c r="O977" t="n">
        <x:v>1</x:v>
      </x:c>
      <x:c r="P977" t="n">
        <x:v>0</x:v>
      </x:c>
      <x:c r="Q977" t="n">
        <x:v>0</x:v>
      </x:c>
      <x:c r="R977" t="n">
        <x:v>0</x:v>
      </x:c>
      <x:c r="S977" t="n">
        <x:v>1</x:v>
      </x:c>
      <x:c r="T977" t="n">
        <x:v>0</x:v>
      </x:c>
      <x:c r="U977" t="n">
        <x:v>1</x:v>
      </x:c>
      <x:c r="V977" t="n">
        <x:v>1</x:v>
      </x:c>
      <x:c r="W977" t="n">
        <x:v>0</x:v>
      </x:c>
      <x:c r="X977" t="n">
        <x:v>0</x:v>
      </x:c>
      <x:c r="Y977" t="n">
        <x:v>0</x:v>
      </x:c>
      <x:c r="Z977" t="n">
        <x:v>1</x:v>
      </x:c>
      <x:c r="AA977" t="n">
        <x:v>3</x:v>
      </x:c>
      <x:c r="AB977" t="str">
        <x:v>Pass</x:v>
      </x:c>
      <x:c r="AC977" t="str"/>
      <x:c r="AD977" t="str">
        <x:v>High Coral Cover and coral reef fish density</x:v>
      </x:c>
    </x:row>
    <x:row r="978">
      <x:c r="A978" t="str">
        <x:v>REC0977</x:v>
      </x:c>
      <x:c r="B978" t="n">
        <x:v>976</x:v>
      </x:c>
      <x:c r="C978" t="str">
        <x:v>St. Thomas, USVI</x:v>
      </x:c>
      <x:c r="D978" t="str">
        <x:v>GV</x:v>
      </x:c>
      <x:c r="E978" t="str">
        <x:v>Ground Validation</x:v>
      </x:c>
      <x:c r="F978" t="str">
        <x:v>HD Seaviewer Drop Camera</x:v>
      </x:c>
      <x:c r="G978" t="str">
        <x:v>GV2016_345</x:v>
      </x:c>
      <x:c r="H978" s="28" t="n">
        <x:v>42609</x:v>
      </x:c>
      <x:c r="I978" t="str">
        <x:v>11:48:55</x:v>
      </x:c>
      <x:c r="J978" t="n">
        <x:v>2016</x:v>
      </x:c>
      <x:c r="K978" t="n">
        <x:v>18.26454516</x:v>
      </x:c>
      <x:c r="L978" t="n">
        <x:v>-65.02358007</x:v>
      </x:c>
      <x:c r="M978" t="n">
        <x:v>33.95</x:v>
      </x:c>
      <x:c r="N978" t="str">
        <x:v>https://nccospublicstor.blob.core.windows.net/biomapper/usviinsularshelf2017/videos/low/GV2016_345.mp4</x:v>
      </x:c>
      <x:c r="O978" t="n">
        <x:v>0</x:v>
      </x:c>
      <x:c r="P978" t="n">
        <x:v>0</x:v>
      </x:c>
      <x:c r="Q978" t="n">
        <x:v>1</x:v>
      </x:c>
      <x:c r="R978" t="n">
        <x:v>0</x:v>
      </x:c>
      <x:c r="S978" t="n">
        <x:v>0</x:v>
      </x:c>
      <x:c r="T978" t="n">
        <x:v>0</x:v>
      </x:c>
      <x:c r="U978" t="n">
        <x:v>1</x:v>
      </x:c>
      <x:c r="V978" t="n">
        <x:v>1</x:v>
      </x:c>
      <x:c r="W978" t="n">
        <x:v>0</x:v>
      </x:c>
      <x:c r="X978" t="n">
        <x:v>0</x:v>
      </x:c>
      <x:c r="Y978" t="n">
        <x:v>0</x:v>
      </x:c>
      <x:c r="Z978" t="n">
        <x:v>1</x:v>
      </x:c>
      <x:c r="AA978" t="n">
        <x:v>2</x:v>
      </x:c>
      <x:c r="AB978" t="str">
        <x:v>Pass</x:v>
      </x:c>
      <x:c r="AC978" t="str"/>
      <x:c r="AD978" t="str"/>
    </x:row>
    <x:row r="979">
      <x:c r="A979" t="str">
        <x:v>REC0978</x:v>
      </x:c>
      <x:c r="B979" t="n">
        <x:v>977</x:v>
      </x:c>
      <x:c r="C979" t="str">
        <x:v>St. John, USVI</x:v>
      </x:c>
      <x:c r="D979" t="str">
        <x:v>GV</x:v>
      </x:c>
      <x:c r="E979" t="str">
        <x:v>Ground Validation</x:v>
      </x:c>
      <x:c r="F979" t="str">
        <x:v>HD Seaviewer Drop Camera</x:v>
      </x:c>
      <x:c r="G979" t="str">
        <x:v>GV2016_346</x:v>
      </x:c>
      <x:c r="H979" s="28" t="n">
        <x:v>42624</x:v>
      </x:c>
      <x:c r="I979" t="str">
        <x:v>08:04:10</x:v>
      </x:c>
      <x:c r="J979" t="n">
        <x:v>2016</x:v>
      </x:c>
      <x:c r="K979" t="n">
        <x:v>18.2735585</x:v>
      </x:c>
      <x:c r="L979" t="n">
        <x:v>-64.77751031</x:v>
      </x:c>
      <x:c r="M979" t="n">
        <x:v>40.072</x:v>
      </x:c>
      <x:c r="N979" t="str">
        <x:v>https://nccospublicstor.blob.core.windows.net/biomapper/usviinsularshelf2017/videos/low/GV2016_346.mp4</x:v>
      </x:c>
      <x:c r="O979" t="n">
        <x:v>0</x:v>
      </x:c>
      <x:c r="P979" t="n">
        <x:v>0</x:v>
      </x:c>
      <x:c r="Q979" t="n">
        <x:v>1</x:v>
      </x:c>
      <x:c r="R979" t="n">
        <x:v>1</x:v>
      </x:c>
      <x:c r="S979" t="n">
        <x:v>0</x:v>
      </x:c>
      <x:c r="T979" t="n">
        <x:v>0</x:v>
      </x:c>
      <x:c r="U979" t="n">
        <x:v>1</x:v>
      </x:c>
      <x:c r="V979" t="n">
        <x:v>1</x:v>
      </x:c>
      <x:c r="W979" t="n">
        <x:v>0</x:v>
      </x:c>
      <x:c r="X979" t="n">
        <x:v>0</x:v>
      </x:c>
      <x:c r="Y979" t="n">
        <x:v>0</x:v>
      </x:c>
      <x:c r="Z979" t="n">
        <x:v>2</x:v>
      </x:c>
      <x:c r="AA979" t="n">
        <x:v>2</x:v>
      </x:c>
      <x:c r="AB979" t="str">
        <x:v>Pass</x:v>
      </x:c>
      <x:c r="AC979" t="str"/>
      <x:c r="AD979" t="str"/>
    </x:row>
    <x:row r="980">
      <x:c r="A980" t="str">
        <x:v>REC0979</x:v>
      </x:c>
      <x:c r="B980" t="n">
        <x:v>978</x:v>
      </x:c>
      <x:c r="C980" t="str">
        <x:v>St. Thomas, USVI</x:v>
      </x:c>
      <x:c r="D980" t="str">
        <x:v>GV</x:v>
      </x:c>
      <x:c r="E980" t="str">
        <x:v>Ground Validation</x:v>
      </x:c>
      <x:c r="F980" t="str">
        <x:v>HD Seaviewer Drop Camera</x:v>
      </x:c>
      <x:c r="G980" t="str">
        <x:v>GV2016_347</x:v>
      </x:c>
      <x:c r="H980" s="28" t="n">
        <x:v>42602</x:v>
      </x:c>
      <x:c r="I980" t="str">
        <x:v>13:21:28</x:v>
      </x:c>
      <x:c r="J980" t="n">
        <x:v>2016</x:v>
      </x:c>
      <x:c r="K980" t="n">
        <x:v>18.26513584</x:v>
      </x:c>
      <x:c r="L980" t="n">
        <x:v>-65.11988312</x:v>
      </x:c>
      <x:c r="M980" t="n">
        <x:v>28.47</x:v>
      </x:c>
      <x:c r="N980" t="str">
        <x:v>https://nccospublicstor.blob.core.windows.net/biomapper/usviinsularshelf2017/videos/low/GV2016_347.mp4</x:v>
      </x:c>
      <x:c r="O980" t="n">
        <x:v>1</x:v>
      </x:c>
      <x:c r="P980" t="n">
        <x:v>0</x:v>
      </x:c>
      <x:c r="Q980" t="n">
        <x:v>0</x:v>
      </x:c>
      <x:c r="R980" t="n">
        <x:v>1</x:v>
      </x:c>
      <x:c r="S980" t="n">
        <x:v>1</x:v>
      </x:c>
      <x:c r="T980" t="n">
        <x:v>0</x:v>
      </x:c>
      <x:c r="U980" t="n">
        <x:v>1</x:v>
      </x:c>
      <x:c r="V980" t="n">
        <x:v>1</x:v>
      </x:c>
      <x:c r="W980" t="n">
        <x:v>0</x:v>
      </x:c>
      <x:c r="X980" t="n">
        <x:v>0</x:v>
      </x:c>
      <x:c r="Y980" t="n">
        <x:v>0</x:v>
      </x:c>
      <x:c r="Z980" t="n">
        <x:v>2</x:v>
      </x:c>
      <x:c r="AA980" t="n">
        <x:v>3</x:v>
      </x:c>
      <x:c r="AB980" t="str">
        <x:v>Pass</x:v>
      </x:c>
      <x:c r="AC980" t="str"/>
      <x:c r="AD980" t="str"/>
    </x:row>
    <x:row r="981">
      <x:c r="A981" t="str">
        <x:v>REC0980</x:v>
      </x:c>
      <x:c r="B981" t="n">
        <x:v>979</x:v>
      </x:c>
      <x:c r="C981" t="str">
        <x:v>St. Thomas, USVI</x:v>
      </x:c>
      <x:c r="D981" t="str">
        <x:v>GV</x:v>
      </x:c>
      <x:c r="E981" t="str">
        <x:v>Ground Validation</x:v>
      </x:c>
      <x:c r="F981" t="str">
        <x:v>HD Seaviewer Drop Camera</x:v>
      </x:c>
      <x:c r="G981" t="str">
        <x:v>GV2016_348</x:v>
      </x:c>
      <x:c r="H981" s="28" t="n">
        <x:v>42607</x:v>
      </x:c>
      <x:c r="I981" t="str">
        <x:v>13:28:17</x:v>
      </x:c>
      <x:c r="J981" t="n">
        <x:v>2016</x:v>
      </x:c>
      <x:c r="K981" t="n">
        <x:v>18.25014121</x:v>
      </x:c>
      <x:c r="L981" t="n">
        <x:v>-65.09084389</x:v>
      </x:c>
      <x:c r="M981" t="n">
        <x:v>28.443</x:v>
      </x:c>
      <x:c r="N981" t="str">
        <x:v>https://nccospublicstor.blob.core.windows.net/biomapper/usviinsularshelf2017/videos/low/GV2016_348.mp4</x:v>
      </x:c>
      <x:c r="O981" t="n">
        <x:v>1</x:v>
      </x:c>
      <x:c r="P981" t="n">
        <x:v>0</x:v>
      </x:c>
      <x:c r="Q981" t="n">
        <x:v>0</x:v>
      </x:c>
      <x:c r="R981" t="n">
        <x:v>0</x:v>
      </x:c>
      <x:c r="S981" t="n">
        <x:v>1</x:v>
      </x:c>
      <x:c r="T981" t="n">
        <x:v>0</x:v>
      </x:c>
      <x:c r="U981" t="n">
        <x:v>1</x:v>
      </x:c>
      <x:c r="V981" t="n">
        <x:v>1</x:v>
      </x:c>
      <x:c r="W981" t="n">
        <x:v>0</x:v>
      </x:c>
      <x:c r="X981" t="n">
        <x:v>0</x:v>
      </x:c>
      <x:c r="Y981" t="n">
        <x:v>0</x:v>
      </x:c>
      <x:c r="Z981" t="n">
        <x:v>1</x:v>
      </x:c>
      <x:c r="AA981" t="n">
        <x:v>3</x:v>
      </x:c>
      <x:c r="AB981" t="str">
        <x:v>Pass</x:v>
      </x:c>
      <x:c r="AC981" t="str"/>
      <x:c r="AD981" t="str">
        <x:v>amazing coral cover</x:v>
      </x:c>
    </x:row>
    <x:row r="982">
      <x:c r="A982" t="str">
        <x:v>REC0981</x:v>
      </x:c>
      <x:c r="B982" t="n">
        <x:v>980</x:v>
      </x:c>
      <x:c r="C982" t="str">
        <x:v>St. John, USVI</x:v>
      </x:c>
      <x:c r="D982" t="str">
        <x:v>GV</x:v>
      </x:c>
      <x:c r="E982" t="str">
        <x:v>Ground Validation</x:v>
      </x:c>
      <x:c r="F982" t="str">
        <x:v>HD Seaviewer Drop Camera</x:v>
      </x:c>
      <x:c r="G982" t="str">
        <x:v>GV2016_349</x:v>
      </x:c>
      <x:c r="H982" s="28" t="n">
        <x:v>42626</x:v>
      </x:c>
      <x:c r="I982" t="str">
        <x:v>11:29:57</x:v>
      </x:c>
      <x:c r="J982" t="n">
        <x:v>2016</x:v>
      </x:c>
      <x:c r="K982" t="n">
        <x:v>18.22766933</x:v>
      </x:c>
      <x:c r="L982" t="n">
        <x:v>-64.77644042</x:v>
      </x:c>
      <x:c r="M982" t="n">
        <x:v>55.807</x:v>
      </x:c>
      <x:c r="N982" t="str">
        <x:v>https://nccospublicstor.blob.core.windows.net/biomapper/usviinsularshelf2017/videos/low/GV2016_349.mp4</x:v>
      </x:c>
      <x:c r="O982" t="n">
        <x:v>0</x:v>
      </x:c>
      <x:c r="P982" t="n">
        <x:v>0</x:v>
      </x:c>
      <x:c r="Q982" t="n">
        <x:v>1</x:v>
      </x:c>
      <x:c r="R982" t="n">
        <x:v>1</x:v>
      </x:c>
      <x:c r="S982" t="n">
        <x:v>0</x:v>
      </x:c>
      <x:c r="T982" t="n">
        <x:v>0</x:v>
      </x:c>
      <x:c r="U982" t="n">
        <x:v>1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2</x:v>
      </x:c>
      <x:c r="AA982" t="n">
        <x:v>1</x:v>
      </x:c>
      <x:c r="AB982" t="str">
        <x:v>Pass</x:v>
      </x:c>
      <x:c r="AC982" t="str"/>
      <x:c r="AD982" t="str"/>
    </x:row>
    <x:row r="983">
      <x:c r="A983" t="str">
        <x:v>REC0982</x:v>
      </x:c>
      <x:c r="B983" t="n">
        <x:v>981</x:v>
      </x:c>
      <x:c r="C983" t="str">
        <x:v>Puerto Rico</x:v>
      </x:c>
      <x:c r="D983" t="str">
        <x:v>GV</x:v>
      </x:c>
      <x:c r="E983" t="str">
        <x:v>Ground Validation</x:v>
      </x:c>
      <x:c r="F983" t="str">
        <x:v>HD Seaviewer Drop Camera</x:v>
      </x:c>
      <x:c r="G983" t="str">
        <x:v>GV2016_350</x:v>
      </x:c>
      <x:c r="H983" s="28" t="n">
        <x:v>42605</x:v>
      </x:c>
      <x:c r="I983" t="str">
        <x:v>10:32:11</x:v>
      </x:c>
      <x:c r="J983" t="n">
        <x:v>2016</x:v>
      </x:c>
      <x:c r="K983" t="n">
        <x:v>18.20827406</x:v>
      </x:c>
      <x:c r="L983" t="n">
        <x:v>-65.15009656</x:v>
      </x:c>
      <x:c r="M983" t="n">
        <x:v>38.704</x:v>
      </x:c>
      <x:c r="N983" t="str">
        <x:v>https://nccospublicstor.blob.core.windows.net/biomapper/usviinsularshelf2017/videos/low/GV2016_350.mp4</x:v>
      </x:c>
      <x:c r="O983" t="n">
        <x:v>0</x:v>
      </x:c>
      <x:c r="P983" t="n">
        <x:v>0</x:v>
      </x:c>
      <x:c r="Q983" t="n">
        <x:v>1</x:v>
      </x:c>
      <x:c r="R983" t="n">
        <x:v>0</x:v>
      </x:c>
      <x:c r="S983" t="n">
        <x:v>0</x:v>
      </x:c>
      <x:c r="T983" t="n">
        <x:v>0</x:v>
      </x:c>
      <x:c r="U983" t="n">
        <x:v>1</x:v>
      </x:c>
      <x:c r="V983" t="n">
        <x:v>1</x:v>
      </x:c>
      <x:c r="W983" t="n">
        <x:v>0</x:v>
      </x:c>
      <x:c r="X983" t="n">
        <x:v>0</x:v>
      </x:c>
      <x:c r="Y983" t="n">
        <x:v>0</x:v>
      </x:c>
      <x:c r="Z983" t="n">
        <x:v>1</x:v>
      </x:c>
      <x:c r="AA983" t="n">
        <x:v>2</x:v>
      </x:c>
      <x:c r="AB983" t="str">
        <x:v>Pass</x:v>
      </x:c>
      <x:c r="AC983" t="str"/>
      <x:c r="AD983" t="str"/>
    </x:row>
    <x:row r="984">
      <x:c r="A984" t="str">
        <x:v>REC0983</x:v>
      </x:c>
      <x:c r="B984" t="n">
        <x:v>982</x:v>
      </x:c>
      <x:c r="C984" t="str">
        <x:v>St. John, USVI</x:v>
      </x:c>
      <x:c r="D984" t="str">
        <x:v>GV</x:v>
      </x:c>
      <x:c r="E984" t="str">
        <x:v>Ground Validation</x:v>
      </x:c>
      <x:c r="F984" t="str">
        <x:v>HD Seaviewer Drop Camera</x:v>
      </x:c>
      <x:c r="G984" t="str">
        <x:v>GV2016_351</x:v>
      </x:c>
      <x:c r="H984" s="28" t="n">
        <x:v>42624</x:v>
      </x:c>
      <x:c r="I984" t="str">
        <x:v>11:32:29</x:v>
      </x:c>
      <x:c r="J984" t="n">
        <x:v>2016</x:v>
      </x:c>
      <x:c r="K984" t="n">
        <x:v>18.26152479</x:v>
      </x:c>
      <x:c r="L984" t="n">
        <x:v>-64.75309409</x:v>
      </x:c>
      <x:c r="M984" t="n">
        <x:v>46.213</x:v>
      </x:c>
      <x:c r="N984" t="str">
        <x:v>https://nccospublicstor.blob.core.windows.net/biomapper/usviinsularshelf2017/videos/low/GV2016_351.mp4</x:v>
      </x:c>
      <x:c r="O984" t="n">
        <x:v>0</x:v>
      </x:c>
      <x:c r="P984" t="n">
        <x:v>0</x:v>
      </x:c>
      <x:c r="Q984" t="n">
        <x:v>1</x:v>
      </x:c>
      <x:c r="R984" t="n">
        <x:v>0</x:v>
      </x:c>
      <x:c r="S984" t="n">
        <x:v>0</x:v>
      </x:c>
      <x:c r="T984" t="n">
        <x:v>0</x:v>
      </x:c>
      <x:c r="U984" t="n">
        <x:v>1</x:v>
      </x:c>
      <x:c r="V984" t="n">
        <x:v>1</x:v>
      </x:c>
      <x:c r="W984" t="n">
        <x:v>0</x:v>
      </x:c>
      <x:c r="X984" t="n">
        <x:v>0</x:v>
      </x:c>
      <x:c r="Y984" t="n">
        <x:v>0</x:v>
      </x:c>
      <x:c r="Z984" t="n">
        <x:v>1</x:v>
      </x:c>
      <x:c r="AA984" t="n">
        <x:v>2</x:v>
      </x:c>
      <x:c r="AB984" t="str">
        <x:v>Pass</x:v>
      </x:c>
      <x:c r="AC984" t="str"/>
      <x:c r="AD984" t="str"/>
    </x:row>
    <x:row r="985">
      <x:c r="A985" t="str">
        <x:v>REC0984</x:v>
      </x:c>
      <x:c r="B985" t="n">
        <x:v>983</x:v>
      </x:c>
      <x:c r="C985" t="str">
        <x:v>St. John, USVI</x:v>
      </x:c>
      <x:c r="D985" t="str">
        <x:v>GV</x:v>
      </x:c>
      <x:c r="E985" t="str">
        <x:v>Ground Validation</x:v>
      </x:c>
      <x:c r="F985" t="str">
        <x:v>HD Seaviewer Drop Camera</x:v>
      </x:c>
      <x:c r="G985" t="str">
        <x:v>GV2016_352</x:v>
      </x:c>
      <x:c r="H985" s="28" t="n">
        <x:v>42624</x:v>
      </x:c>
      <x:c r="I985" t="str">
        <x:v>10:28:53</x:v>
      </x:c>
      <x:c r="J985" t="n">
        <x:v>2016</x:v>
      </x:c>
      <x:c r="K985" t="n">
        <x:v>18.29656835</x:v>
      </x:c>
      <x:c r="L985" t="n">
        <x:v>-64.69285701</x:v>
      </x:c>
      <x:c r="M985" t="n">
        <x:v>33.893</x:v>
      </x:c>
      <x:c r="N985" t="str">
        <x:v>https://nccospublicstor.blob.core.windows.net/biomapper/usviinsularshelf2017/videos/low/GV2016_352.mp4</x:v>
      </x:c>
      <x:c r="O985" t="n">
        <x:v>0</x:v>
      </x:c>
      <x:c r="P985" t="n">
        <x:v>0</x:v>
      </x:c>
      <x:c r="Q985" t="n">
        <x:v>1</x:v>
      </x:c>
      <x:c r="R985" t="n">
        <x:v>1</x:v>
      </x:c>
      <x:c r="S985" t="n">
        <x:v>0</x:v>
      </x:c>
      <x:c r="T985" t="n">
        <x:v>0</x:v>
      </x:c>
      <x:c r="U985" t="n">
        <x:v>1</x:v>
      </x:c>
      <x:c r="V985" t="n">
        <x:v>1</x:v>
      </x:c>
      <x:c r="W985" t="n">
        <x:v>0</x:v>
      </x:c>
      <x:c r="X985" t="n">
        <x:v>0</x:v>
      </x:c>
      <x:c r="Y985" t="n">
        <x:v>0</x:v>
      </x:c>
      <x:c r="Z985" t="n">
        <x:v>2</x:v>
      </x:c>
      <x:c r="AA985" t="n">
        <x:v>2</x:v>
      </x:c>
      <x:c r="AB985" t="str">
        <x:v>Pass</x:v>
      </x:c>
      <x:c r="AC985" t="str"/>
      <x:c r="AD985" t="str"/>
    </x:row>
    <x:row r="986">
      <x:c r="A986" t="str">
        <x:v>REC0985</x:v>
      </x:c>
      <x:c r="B986" t="n">
        <x:v>984</x:v>
      </x:c>
      <x:c r="C986" t="str">
        <x:v>St. John, USVI</x:v>
      </x:c>
      <x:c r="D986" t="str">
        <x:v>GV</x:v>
      </x:c>
      <x:c r="E986" t="str">
        <x:v>Ground Validation</x:v>
      </x:c>
      <x:c r="F986" t="str">
        <x:v>HD Seaviewer Drop Camera</x:v>
      </x:c>
      <x:c r="G986" t="str">
        <x:v>GV2016_353</x:v>
      </x:c>
      <x:c r="H986" s="28" t="n">
        <x:v>42613</x:v>
      </x:c>
      <x:c r="I986" t="str">
        <x:v>10:09:03</x:v>
      </x:c>
      <x:c r="J986" t="n">
        <x:v>2016</x:v>
      </x:c>
      <x:c r="K986" t="n">
        <x:v>18.29139396</x:v>
      </x:c>
      <x:c r="L986" t="n">
        <x:v>-64.78345392</x:v>
      </x:c>
      <x:c r="M986" t="n">
        <x:v>29.798</x:v>
      </x:c>
      <x:c r="N986" t="str">
        <x:v>https://nccospublicstor.blob.core.windows.net/biomapper/usviinsularshelf2017/videos/low/GV2016_353.mp4</x:v>
      </x:c>
      <x:c r="O986" t="n">
        <x:v>0</x:v>
      </x:c>
      <x:c r="P986" t="n">
        <x:v>0</x:v>
      </x:c>
      <x:c r="Q986" t="n">
        <x:v>1</x:v>
      </x:c>
      <x:c r="R986" t="n">
        <x:v>1</x:v>
      </x:c>
      <x:c r="S986" t="n">
        <x:v>0</x:v>
      </x:c>
      <x:c r="T986" t="n">
        <x:v>0</x:v>
      </x:c>
      <x:c r="U986" t="n">
        <x:v>1</x:v>
      </x:c>
      <x:c r="V986" t="n">
        <x:v>1</x:v>
      </x:c>
      <x:c r="W986" t="n">
        <x:v>0</x:v>
      </x:c>
      <x:c r="X986" t="n">
        <x:v>0</x:v>
      </x:c>
      <x:c r="Y986" t="n">
        <x:v>0</x:v>
      </x:c>
      <x:c r="Z986" t="n">
        <x:v>2</x:v>
      </x:c>
      <x:c r="AA986" t="n">
        <x:v>2</x:v>
      </x:c>
      <x:c r="AB986" t="str">
        <x:v>Pass</x:v>
      </x:c>
      <x:c r="AC986" t="str"/>
      <x:c r="AD986" t="str"/>
    </x:row>
    <x:row r="987">
      <x:c r="A987" t="str">
        <x:v>REC0986</x:v>
      </x:c>
      <x:c r="B987" t="n">
        <x:v>985</x:v>
      </x:c>
      <x:c r="C987" t="str">
        <x:v>St. Thomas, USVI</x:v>
      </x:c>
      <x:c r="D987" t="str">
        <x:v>GV</x:v>
      </x:c>
      <x:c r="E987" t="str">
        <x:v>Ground Validation</x:v>
      </x:c>
      <x:c r="F987" t="str">
        <x:v>HD Seaviewer Drop Camera</x:v>
      </x:c>
      <x:c r="G987" t="str">
        <x:v>GV2016_355</x:v>
      </x:c>
      <x:c r="H987" s="28" t="n">
        <x:v>42609</x:v>
      </x:c>
      <x:c r="I987" t="str">
        <x:v>15:05:23</x:v>
      </x:c>
      <x:c r="J987" t="n">
        <x:v>2016</x:v>
      </x:c>
      <x:c r="K987" t="n">
        <x:v>18.24816039</x:v>
      </x:c>
      <x:c r="L987" t="n">
        <x:v>-65.01758747</x:v>
      </x:c>
      <x:c r="M987" t="n">
        <x:v>39.859</x:v>
      </x:c>
      <x:c r="N987" t="str">
        <x:v>https://nccospublicstor.blob.core.windows.net/biomapper/usviinsularshelf2017/videos/low/GV2016_355.mp4</x:v>
      </x:c>
      <x:c r="O987" t="n">
        <x:v>0</x:v>
      </x:c>
      <x:c r="P987" t="n">
        <x:v>0</x:v>
      </x:c>
      <x:c r="Q987" t="n">
        <x:v>0</x:v>
      </x:c>
      <x:c r="R987" t="n">
        <x:v>1</x:v>
      </x:c>
      <x:c r="S987" t="n">
        <x:v>0</x:v>
      </x:c>
      <x:c r="T987" t="n">
        <x:v>0</x:v>
      </x:c>
      <x:c r="U987" t="n">
        <x:v>1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1</x:v>
      </x:c>
      <x:c r="AA987" t="n">
        <x:v>1</x:v>
      </x:c>
      <x:c r="AB987" t="str">
        <x:v>Pass</x:v>
      </x:c>
      <x:c r="AC987" t="str"/>
      <x:c r="AD987" t="str"/>
    </x:row>
    <x:row r="988">
      <x:c r="A988" t="str">
        <x:v>REC0987</x:v>
      </x:c>
      <x:c r="B988" t="n">
        <x:v>986</x:v>
      </x:c>
      <x:c r="C988" t="str">
        <x:v>St. John, USVI</x:v>
      </x:c>
      <x:c r="D988" t="str">
        <x:v>GV</x:v>
      </x:c>
      <x:c r="E988" t="str">
        <x:v>Ground Validation</x:v>
      </x:c>
      <x:c r="F988" t="str">
        <x:v>HD Seaviewer Drop Camera</x:v>
      </x:c>
      <x:c r="G988" t="str">
        <x:v>GV2016_356</x:v>
      </x:c>
      <x:c r="H988" s="28" t="n">
        <x:v>42629</x:v>
      </x:c>
      <x:c r="I988" t="str">
        <x:v>12:26:42</x:v>
      </x:c>
      <x:c r="J988" t="n">
        <x:v>2016</x:v>
      </x:c>
      <x:c r="K988" t="n">
        <x:v>18.21161698</x:v>
      </x:c>
      <x:c r="L988" t="n">
        <x:v>-64.78896687</x:v>
      </x:c>
      <x:c r="M988" t="n">
        <x:v>54.471</x:v>
      </x:c>
      <x:c r="N988" t="str">
        <x:v>https://nccospublicstor.blob.core.windows.net/biomapper/usviinsularshelf2017/videos/low/GV2016_356.mp4</x:v>
      </x:c>
      <x:c r="O988" t="n">
        <x:v>0</x:v>
      </x:c>
      <x:c r="P988" t="n">
        <x:v>0</x:v>
      </x:c>
      <x:c r="Q988" t="n">
        <x:v>1</x:v>
      </x:c>
      <x:c r="R988" t="n">
        <x:v>0</x:v>
      </x:c>
      <x:c r="S988" t="n">
        <x:v>1</x:v>
      </x:c>
      <x:c r="T988" t="n">
        <x:v>0</x:v>
      </x:c>
      <x:c r="U988" t="n">
        <x:v>1</x:v>
      </x:c>
      <x:c r="V988" t="n">
        <x:v>1</x:v>
      </x:c>
      <x:c r="W988" t="n">
        <x:v>0</x:v>
      </x:c>
      <x:c r="X988" t="n">
        <x:v>0</x:v>
      </x:c>
      <x:c r="Y988" t="n">
        <x:v>0</x:v>
      </x:c>
      <x:c r="Z988" t="n">
        <x:v>1</x:v>
      </x:c>
      <x:c r="AA988" t="n">
        <x:v>3</x:v>
      </x:c>
      <x:c r="AB988" t="str">
        <x:v>Pass</x:v>
      </x:c>
      <x:c r="AC988" t="str"/>
      <x:c r="AD988" t="str"/>
    </x:row>
    <x:row r="989">
      <x:c r="A989" t="str">
        <x:v>REC0988</x:v>
      </x:c>
      <x:c r="B989" t="n">
        <x:v>987</x:v>
      </x:c>
      <x:c r="C989" t="str">
        <x:v>St. Thomas, USVI</x:v>
      </x:c>
      <x:c r="D989" t="str">
        <x:v>GV</x:v>
      </x:c>
      <x:c r="E989" t="str">
        <x:v>Ground Validation</x:v>
      </x:c>
      <x:c r="F989" t="str">
        <x:v>HD Seaviewer Drop Camera</x:v>
      </x:c>
      <x:c r="G989" t="str">
        <x:v>GV2016_357</x:v>
      </x:c>
      <x:c r="H989" s="28" t="n">
        <x:v>42608</x:v>
      </x:c>
      <x:c r="I989" t="str">
        <x:v>13:25:44</x:v>
      </x:c>
      <x:c r="J989" t="n">
        <x:v>2016</x:v>
      </x:c>
      <x:c r="K989" t="n">
        <x:v>18.18986494</x:v>
      </x:c>
      <x:c r="L989" t="n">
        <x:v>-65.07675334</x:v>
      </x:c>
      <x:c r="M989" t="n">
        <x:v>36.965</x:v>
      </x:c>
      <x:c r="N989" t="str">
        <x:v>https://nccospublicstor.blob.core.windows.net/biomapper/usviinsularshelf2017/videos/low/GV2016_357.mp4</x:v>
      </x:c>
      <x:c r="O989" t="n">
        <x:v>1</x:v>
      </x:c>
      <x:c r="P989" t="n">
        <x:v>0</x:v>
      </x:c>
      <x:c r="Q989" t="n">
        <x:v>0</x:v>
      </x:c>
      <x:c r="R989" t="n">
        <x:v>0</x:v>
      </x:c>
      <x:c r="S989" t="n">
        <x:v>1</x:v>
      </x:c>
      <x:c r="T989" t="n">
        <x:v>1</x:v>
      </x:c>
      <x:c r="U989" t="n">
        <x:v>1</x:v>
      </x:c>
      <x:c r="V989" t="n">
        <x:v>1</x:v>
      </x:c>
      <x:c r="W989" t="n">
        <x:v>0</x:v>
      </x:c>
      <x:c r="X989" t="n">
        <x:v>0</x:v>
      </x:c>
      <x:c r="Y989" t="n">
        <x:v>0</x:v>
      </x:c>
      <x:c r="Z989" t="n">
        <x:v>1</x:v>
      </x:c>
      <x:c r="AA989" t="n">
        <x:v>4</x:v>
      </x:c>
      <x:c r="AB989" t="str">
        <x:v>Pass</x:v>
      </x:c>
      <x:c r="AC989" t="str"/>
      <x:c r="AD989" t="str"/>
    </x:row>
    <x:row r="990">
      <x:c r="A990" t="str">
        <x:v>REC0989</x:v>
      </x:c>
      <x:c r="B990" t="n">
        <x:v>988</x:v>
      </x:c>
      <x:c r="C990" t="str">
        <x:v>St. John, USVI</x:v>
      </x:c>
      <x:c r="D990" t="str">
        <x:v>GV</x:v>
      </x:c>
      <x:c r="E990" t="str">
        <x:v>Ground Validation</x:v>
      </x:c>
      <x:c r="F990" t="str">
        <x:v>HD Seaviewer Drop Camera</x:v>
      </x:c>
      <x:c r="G990" t="str">
        <x:v>GV2016_358</x:v>
      </x:c>
      <x:c r="H990" s="28" t="n">
        <x:v>42630</x:v>
      </x:c>
      <x:c r="I990" t="str">
        <x:v>09:12:59</x:v>
      </x:c>
      <x:c r="J990" t="n">
        <x:v>2016</x:v>
      </x:c>
      <x:c r="K990" t="n">
        <x:v>18.24233051</x:v>
      </x:c>
      <x:c r="L990" t="n">
        <x:v>-64.69907968</x:v>
      </x:c>
      <x:c r="M990" t="n">
        <x:v>44.568</x:v>
      </x:c>
      <x:c r="N990" t="str">
        <x:v>https://nccospublicstor.blob.core.windows.net/biomapper/usviinsularshelf2017/videos/low/GV2016_358.mp4</x:v>
      </x:c>
      <x:c r="O990" t="n">
        <x:v>0</x:v>
      </x:c>
      <x:c r="P990" t="n">
        <x:v>0</x:v>
      </x:c>
      <x:c r="Q990" t="n">
        <x:v>1</x:v>
      </x:c>
      <x:c r="R990" t="n">
        <x:v>0</x:v>
      </x:c>
      <x:c r="S990" t="n">
        <x:v>1</x:v>
      </x:c>
      <x:c r="T990" t="n">
        <x:v>0</x:v>
      </x:c>
      <x:c r="U990" t="n">
        <x:v>1</x:v>
      </x:c>
      <x:c r="V990" t="n">
        <x:v>1</x:v>
      </x:c>
      <x:c r="W990" t="n">
        <x:v>0</x:v>
      </x:c>
      <x:c r="X990" t="n">
        <x:v>0</x:v>
      </x:c>
      <x:c r="Y990" t="n">
        <x:v>0</x:v>
      </x:c>
      <x:c r="Z990" t="n">
        <x:v>1</x:v>
      </x:c>
      <x:c r="AA990" t="n">
        <x:v>3</x:v>
      </x:c>
      <x:c r="AB990" t="str">
        <x:v>Pass</x:v>
      </x:c>
      <x:c r="AC990" t="str"/>
      <x:c r="AD990" t="str"/>
    </x:row>
    <x:row r="991">
      <x:c r="A991" t="str">
        <x:v>REC0990</x:v>
      </x:c>
      <x:c r="B991" t="n">
        <x:v>989</x:v>
      </x:c>
      <x:c r="C991" t="str">
        <x:v>Puerto Rico</x:v>
      </x:c>
      <x:c r="D991" t="str">
        <x:v>GV</x:v>
      </x:c>
      <x:c r="E991" t="str">
        <x:v>Ground Validation</x:v>
      </x:c>
      <x:c r="F991" t="str">
        <x:v>HD Seaviewer Drop Camera</x:v>
      </x:c>
      <x:c r="G991" t="str">
        <x:v>GV2016_359</x:v>
      </x:c>
      <x:c r="H991" s="28" t="n">
        <x:v>42603</x:v>
      </x:c>
      <x:c r="I991" t="str">
        <x:v>10:07:48</x:v>
      </x:c>
      <x:c r="J991" t="n">
        <x:v>2016</x:v>
      </x:c>
      <x:c r="K991" t="n">
        <x:v>18.13905751</x:v>
      </x:c>
      <x:c r="L991" t="n">
        <x:v>-65.19077685</x:v>
      </x:c>
      <x:c r="M991" t="n">
        <x:v>36.104</x:v>
      </x:c>
      <x:c r="N991" t="str">
        <x:v>https://nccospublicstor.blob.core.windows.net/biomapper/usviinsularshelf2017/videos/low/GV2016_359.mp4</x:v>
      </x:c>
      <x:c r="O991" t="n">
        <x:v>1</x:v>
      </x:c>
      <x:c r="P991" t="n">
        <x:v>0</x:v>
      </x:c>
      <x:c r="Q991" t="n">
        <x:v>0</x:v>
      </x:c>
      <x:c r="R991" t="n">
        <x:v>0</x:v>
      </x:c>
      <x:c r="S991" t="n">
        <x:v>1</x:v>
      </x:c>
      <x:c r="T991" t="n">
        <x:v>1</x:v>
      </x:c>
      <x:c r="U991" t="n">
        <x:v>1</x:v>
      </x:c>
      <x:c r="V991" t="n">
        <x:v>1</x:v>
      </x:c>
      <x:c r="W991" t="n">
        <x:v>0</x:v>
      </x:c>
      <x:c r="X991" t="n">
        <x:v>0</x:v>
      </x:c>
      <x:c r="Y991" t="n">
        <x:v>0</x:v>
      </x:c>
      <x:c r="Z991" t="n">
        <x:v>1</x:v>
      </x:c>
      <x:c r="AA991" t="n">
        <x:v>4</x:v>
      </x:c>
      <x:c r="AB991" t="str">
        <x:v>Pass</x:v>
      </x:c>
      <x:c r="AC991" t="str"/>
      <x:c r="AD991" t="str">
        <x:v>School of Bar Jacks, Coral Bleaching</x:v>
      </x:c>
    </x:row>
    <x:row r="992">
      <x:c r="A992" t="str">
        <x:v>REC0991</x:v>
      </x:c>
      <x:c r="B992" t="n">
        <x:v>990</x:v>
      </x:c>
      <x:c r="C992" t="str">
        <x:v>St. Thomas, USVI</x:v>
      </x:c>
      <x:c r="D992" t="str">
        <x:v>GV</x:v>
      </x:c>
      <x:c r="E992" t="str">
        <x:v>Ground Validation</x:v>
      </x:c>
      <x:c r="F992" t="str">
        <x:v>HD Seaviewer Drop Camera</x:v>
      </x:c>
      <x:c r="G992" t="str">
        <x:v>GV2016_360</x:v>
      </x:c>
      <x:c r="H992" s="28" t="n">
        <x:v>42612</x:v>
      </x:c>
      <x:c r="I992" t="str">
        <x:v>13:34:11</x:v>
      </x:c>
      <x:c r="J992" t="n">
        <x:v>2016</x:v>
      </x:c>
      <x:c r="K992" t="n">
        <x:v>18.27449979</x:v>
      </x:c>
      <x:c r="L992" t="n">
        <x:v>-64.81815276</x:v>
      </x:c>
      <x:c r="M992" t="n">
        <x:v>34.671</x:v>
      </x:c>
      <x:c r="N992" t="str">
        <x:v>https://nccospublicstor.blob.core.windows.net/biomapper/usviinsularshelf2017/videos/low/GV2016_360.mp4</x:v>
      </x:c>
      <x:c r="O992" t="n">
        <x:v>0</x:v>
      </x:c>
      <x:c r="P992" t="n">
        <x:v>0</x:v>
      </x:c>
      <x:c r="Q992" t="n">
        <x:v>1</x:v>
      </x:c>
      <x:c r="R992" t="n">
        <x:v>1</x:v>
      </x:c>
      <x:c r="S992" t="n">
        <x:v>0</x:v>
      </x:c>
      <x:c r="T992" t="n">
        <x:v>0</x:v>
      </x:c>
      <x:c r="U992" t="n">
        <x:v>1</x:v>
      </x:c>
      <x:c r="V992" t="n">
        <x:v>1</x:v>
      </x:c>
      <x:c r="W992" t="n">
        <x:v>0</x:v>
      </x:c>
      <x:c r="X992" t="n">
        <x:v>0</x:v>
      </x:c>
      <x:c r="Y992" t="n">
        <x:v>0</x:v>
      </x:c>
      <x:c r="Z992" t="n">
        <x:v>2</x:v>
      </x:c>
      <x:c r="AA992" t="n">
        <x:v>2</x:v>
      </x:c>
      <x:c r="AB992" t="str">
        <x:v>Pass</x:v>
      </x:c>
      <x:c r="AC992" t="str"/>
      <x:c r="AD992" t="str"/>
    </x:row>
    <x:row r="993">
      <x:c r="A993" t="str">
        <x:v>REC0992</x:v>
      </x:c>
      <x:c r="B993" t="n">
        <x:v>991</x:v>
      </x:c>
      <x:c r="C993" t="str">
        <x:v>St. Thomas, USVI</x:v>
      </x:c>
      <x:c r="D993" t="str">
        <x:v>GV</x:v>
      </x:c>
      <x:c r="E993" t="str">
        <x:v>Ground Validation</x:v>
      </x:c>
      <x:c r="F993" t="str">
        <x:v>HD Seaviewer Drop Camera</x:v>
      </x:c>
      <x:c r="G993" t="str">
        <x:v>GV2016_361</x:v>
      </x:c>
      <x:c r="H993" s="28" t="n">
        <x:v>42609</x:v>
      </x:c>
      <x:c r="I993" t="str">
        <x:v>14:37:55</x:v>
      </x:c>
      <x:c r="J993" t="n">
        <x:v>2016</x:v>
      </x:c>
      <x:c r="K993" t="n">
        <x:v>18.25116223</x:v>
      </x:c>
      <x:c r="L993" t="n">
        <x:v>-65.03338999</x:v>
      </x:c>
      <x:c r="M993" t="n">
        <x:v>38.054</x:v>
      </x:c>
      <x:c r="N993" t="str">
        <x:v>https://nccospublicstor.blob.core.windows.net/biomapper/usviinsularshelf2017/videos/low/GV2016_361.mp4</x:v>
      </x:c>
      <x:c r="O993" t="n">
        <x:v>0</x:v>
      </x:c>
      <x:c r="P993" t="n">
        <x:v>0</x:v>
      </x:c>
      <x:c r="Q993" t="n">
        <x:v>1</x:v>
      </x:c>
      <x:c r="R993" t="n">
        <x:v>0</x:v>
      </x:c>
      <x:c r="S993" t="n">
        <x:v>0</x:v>
      </x:c>
      <x:c r="T993" t="n">
        <x:v>0</x:v>
      </x:c>
      <x:c r="U993" t="n">
        <x:v>1</x:v>
      </x:c>
      <x:c r="V993" t="n">
        <x:v>1</x:v>
      </x:c>
      <x:c r="W993" t="n">
        <x:v>0</x:v>
      </x:c>
      <x:c r="X993" t="n">
        <x:v>0</x:v>
      </x:c>
      <x:c r="Y993" t="n">
        <x:v>0</x:v>
      </x:c>
      <x:c r="Z993" t="n">
        <x:v>1</x:v>
      </x:c>
      <x:c r="AA993" t="n">
        <x:v>2</x:v>
      </x:c>
      <x:c r="AB993" t="str">
        <x:v>Pass</x:v>
      </x:c>
      <x:c r="AC993" t="str"/>
      <x:c r="AD993" t="str"/>
    </x:row>
    <x:row r="994">
      <x:c r="A994" t="str">
        <x:v>REC0993</x:v>
      </x:c>
      <x:c r="B994" t="n">
        <x:v>992</x:v>
      </x:c>
      <x:c r="C994" t="str">
        <x:v>St. John, USVI</x:v>
      </x:c>
      <x:c r="D994" t="str">
        <x:v>GV</x:v>
      </x:c>
      <x:c r="E994" t="str">
        <x:v>Ground Validation</x:v>
      </x:c>
      <x:c r="F994" t="str">
        <x:v>HD Seaviewer Drop Camera</x:v>
      </x:c>
      <x:c r="G994" t="str">
        <x:v>GV2016_362</x:v>
      </x:c>
      <x:c r="H994" s="28" t="n">
        <x:v>42613</x:v>
      </x:c>
      <x:c r="I994" t="str">
        <x:v>09:44:00</x:v>
      </x:c>
      <x:c r="J994" t="n">
        <x:v>2016</x:v>
      </x:c>
      <x:c r="K994" t="n">
        <x:v>18.30184473</x:v>
      </x:c>
      <x:c r="L994" t="n">
        <x:v>-64.79572461</x:v>
      </x:c>
      <x:c r="M994" t="n">
        <x:v>27.359</x:v>
      </x:c>
      <x:c r="N994" t="str">
        <x:v>https://nccospublicstor.blob.core.windows.net/biomapper/usviinsularshelf2017/videos/low/GV2016_362.mp4</x:v>
      </x:c>
      <x:c r="O994" t="n">
        <x:v>0</x:v>
      </x:c>
      <x:c r="P994" t="n">
        <x:v>0</x:v>
      </x:c>
      <x:c r="Q994" t="n">
        <x:v>1</x:v>
      </x:c>
      <x:c r="R994" t="n">
        <x:v>1</x:v>
      </x:c>
      <x:c r="S994" t="n">
        <x:v>0</x:v>
      </x:c>
      <x:c r="T994" t="n">
        <x:v>0</x:v>
      </x:c>
      <x:c r="U994" t="n">
        <x:v>1</x:v>
      </x:c>
      <x:c r="V994" t="n">
        <x:v>1</x:v>
      </x:c>
      <x:c r="W994" t="n">
        <x:v>0</x:v>
      </x:c>
      <x:c r="X994" t="n">
        <x:v>0</x:v>
      </x:c>
      <x:c r="Y994" t="n">
        <x:v>0</x:v>
      </x:c>
      <x:c r="Z994" t="n">
        <x:v>2</x:v>
      </x:c>
      <x:c r="AA994" t="n">
        <x:v>2</x:v>
      </x:c>
      <x:c r="AB994" t="str">
        <x:v>Pass</x:v>
      </x:c>
      <x:c r="AC994" t="str"/>
      <x:c r="AD994" t="str"/>
    </x:row>
    <x:row r="995">
      <x:c r="A995" t="str">
        <x:v>REC0994</x:v>
      </x:c>
      <x:c r="B995" t="n">
        <x:v>993</x:v>
      </x:c>
      <x:c r="C995" t="str">
        <x:v>Puerto Rico</x:v>
      </x:c>
      <x:c r="D995" t="str">
        <x:v>GV</x:v>
      </x:c>
      <x:c r="E995" t="str">
        <x:v>Ground Validation</x:v>
      </x:c>
      <x:c r="F995" t="str">
        <x:v>HD Seaviewer Drop Camera</x:v>
      </x:c>
      <x:c r="G995" t="str">
        <x:v>GV2016_363</x:v>
      </x:c>
      <x:c r="H995" s="28" t="n">
        <x:v>42603</x:v>
      </x:c>
      <x:c r="I995" t="str">
        <x:v>08:59:35</x:v>
      </x:c>
      <x:c r="J995" t="n">
        <x:v>2016</x:v>
      </x:c>
      <x:c r="K995" t="n">
        <x:v>18.14030509</x:v>
      </x:c>
      <x:c r="L995" t="n">
        <x:v>-65.20453212</x:v>
      </x:c>
      <x:c r="M995" t="n">
        <x:v>38.317</x:v>
      </x:c>
      <x:c r="N995" t="str">
        <x:v>https://nccospublicstor.blob.core.windows.net/biomapper/usviinsularshelf2017/videos/low/GV2016_363.mp4</x:v>
      </x:c>
      <x:c r="O995" t="n">
        <x:v>1</x:v>
      </x:c>
      <x:c r="P995" t="n">
        <x:v>0</x:v>
      </x:c>
      <x:c r="Q995" t="n">
        <x:v>0</x:v>
      </x:c>
      <x:c r="R995" t="n">
        <x:v>0</x:v>
      </x:c>
      <x:c r="S995" t="n">
        <x:v>1</x:v>
      </x:c>
      <x:c r="T995" t="n">
        <x:v>0</x:v>
      </x:c>
      <x:c r="U995" t="n">
        <x:v>1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1</x:v>
      </x:c>
      <x:c r="AA995" t="n">
        <x:v>2</x:v>
      </x:c>
      <x:c r="AB995" t="str">
        <x:v>Pass</x:v>
      </x:c>
      <x:c r="AC995" t="str"/>
      <x:c r="AD995" t="str">
        <x:v>Coral Bleaching</x:v>
      </x:c>
    </x:row>
    <x:row r="996">
      <x:c r="A996" t="str">
        <x:v>REC0995</x:v>
      </x:c>
      <x:c r="B996" t="n">
        <x:v>994</x:v>
      </x:c>
      <x:c r="C996" t="str">
        <x:v>St. Thomas, USVI</x:v>
      </x:c>
      <x:c r="D996" t="str">
        <x:v>GV</x:v>
      </x:c>
      <x:c r="E996" t="str">
        <x:v>Ground Validation</x:v>
      </x:c>
      <x:c r="F996" t="str">
        <x:v>HD Seaviewer Drop Camera</x:v>
      </x:c>
      <x:c r="G996" t="str">
        <x:v>GV2016_364</x:v>
      </x:c>
      <x:c r="H996" s="28" t="n">
        <x:v>42609</x:v>
      </x:c>
      <x:c r="I996" t="str">
        <x:v>10:53:50</x:v>
      </x:c>
      <x:c r="J996" t="n">
        <x:v>2016</x:v>
      </x:c>
      <x:c r="K996" t="n">
        <x:v>18.27406537</x:v>
      </x:c>
      <x:c r="L996" t="n">
        <x:v>-65.04585558</x:v>
      </x:c>
      <x:c r="M996" t="n">
        <x:v>35.21</x:v>
      </x:c>
      <x:c r="N996" t="str">
        <x:v>https://nccospublicstor.blob.core.windows.net/biomapper/usviinsularshelf2017/videos/low/GV2016_364.mp4</x:v>
      </x:c>
      <x:c r="O996" t="n">
        <x:v>0</x:v>
      </x:c>
      <x:c r="P996" t="n">
        <x:v>1</x:v>
      </x:c>
      <x:c r="Q996" t="n">
        <x:v>1</x:v>
      </x:c>
      <x:c r="R996" t="n">
        <x:v>0</x:v>
      </x:c>
      <x:c r="S996" t="n">
        <x:v>0</x:v>
      </x:c>
      <x:c r="T996" t="n">
        <x:v>0</x:v>
      </x:c>
      <x:c r="U996" t="n">
        <x:v>1</x:v>
      </x:c>
      <x:c r="V996" t="n">
        <x:v>1</x:v>
      </x:c>
      <x:c r="W996" t="n">
        <x:v>0</x:v>
      </x:c>
      <x:c r="X996" t="n">
        <x:v>0</x:v>
      </x:c>
      <x:c r="Y996" t="n">
        <x:v>0</x:v>
      </x:c>
      <x:c r="Z996" t="n">
        <x:v>2</x:v>
      </x:c>
      <x:c r="AA996" t="n">
        <x:v>2</x:v>
      </x:c>
      <x:c r="AB996" t="str">
        <x:v>Pass</x:v>
      </x:c>
      <x:c r="AC996" t="str"/>
      <x:c r="AD996" t="str"/>
    </x:row>
    <x:row r="997">
      <x:c r="A997" t="str">
        <x:v>REC0996</x:v>
      </x:c>
      <x:c r="B997" t="n">
        <x:v>995</x:v>
      </x:c>
      <x:c r="C997" t="str">
        <x:v>St. John, USVI</x:v>
      </x:c>
      <x:c r="D997" t="str">
        <x:v>GV</x:v>
      </x:c>
      <x:c r="E997" t="str">
        <x:v>Ground Validation</x:v>
      </x:c>
      <x:c r="F997" t="str">
        <x:v>HD Seaviewer Drop Camera</x:v>
      </x:c>
      <x:c r="G997" t="str">
        <x:v>GV2016_365</x:v>
      </x:c>
      <x:c r="H997" s="28" t="n">
        <x:v>42630</x:v>
      </x:c>
      <x:c r="I997" t="str">
        <x:v>10:44:26</x:v>
      </x:c>
      <x:c r="J997" t="n">
        <x:v>2016</x:v>
      </x:c>
      <x:c r="K997" t="n">
        <x:v>18.21080465</x:v>
      </x:c>
      <x:c r="L997" t="n">
        <x:v>-64.74230091</x:v>
      </x:c>
      <x:c r="M997" t="n">
        <x:v>52.38</x:v>
      </x:c>
      <x:c r="N997" t="str">
        <x:v>https://nccospublicstor.blob.core.windows.net/biomapper/usviinsularshelf2017/videos/low/GV2016_365.mp4</x:v>
      </x:c>
      <x:c r="O997" t="n">
        <x:v>0</x:v>
      </x:c>
      <x:c r="P997" t="n">
        <x:v>1</x:v>
      </x:c>
      <x:c r="Q997" t="n">
        <x:v>1</x:v>
      </x:c>
      <x:c r="R997" t="n">
        <x:v>0</x:v>
      </x:c>
      <x:c r="S997" t="n">
        <x:v>1</x:v>
      </x:c>
      <x:c r="T997" t="n">
        <x:v>0</x:v>
      </x:c>
      <x:c r="U997" t="n">
        <x:v>1</x:v>
      </x:c>
      <x:c r="V997" t="n">
        <x:v>1</x:v>
      </x:c>
      <x:c r="W997" t="n">
        <x:v>0</x:v>
      </x:c>
      <x:c r="X997" t="n">
        <x:v>0</x:v>
      </x:c>
      <x:c r="Y997" t="n">
        <x:v>0</x:v>
      </x:c>
      <x:c r="Z997" t="n">
        <x:v>2</x:v>
      </x:c>
      <x:c r="AA997" t="n">
        <x:v>3</x:v>
      </x:c>
      <x:c r="AB997" t="str">
        <x:v>Pass</x:v>
      </x:c>
      <x:c r="AC997" t="str"/>
      <x:c r="AD997" t="str"/>
    </x:row>
    <x:row r="998">
      <x:c r="A998" t="str">
        <x:v>REC0997</x:v>
      </x:c>
      <x:c r="B998" t="n">
        <x:v>996</x:v>
      </x:c>
      <x:c r="C998" t="str">
        <x:v>St. Thomas, USVI</x:v>
      </x:c>
      <x:c r="D998" t="str">
        <x:v>GV</x:v>
      </x:c>
      <x:c r="E998" t="str">
        <x:v>Ground Validation</x:v>
      </x:c>
      <x:c r="F998" t="str">
        <x:v>HD Seaviewer Drop Camera</x:v>
      </x:c>
      <x:c r="G998" t="str">
        <x:v>GV2016_366</x:v>
      </x:c>
      <x:c r="H998" s="28" t="n">
        <x:v>42612</x:v>
      </x:c>
      <x:c r="I998" t="str">
        <x:v>14:07:24</x:v>
      </x:c>
      <x:c r="J998" t="n">
        <x:v>2016</x:v>
      </x:c>
      <x:c r="K998" t="n">
        <x:v>18.29135923</x:v>
      </x:c>
      <x:c r="L998" t="n">
        <x:v>-64.81371858</x:v>
      </x:c>
      <x:c r="M998" t="n">
        <x:v>24.828</x:v>
      </x:c>
      <x:c r="N998" t="str">
        <x:v>https://nccospublicstor.blob.core.windows.net/biomapper/usviinsularshelf2017/videos/low/GV2016_366.mp4</x:v>
      </x:c>
      <x:c r="O998" t="n">
        <x:v>0</x:v>
      </x:c>
      <x:c r="P998" t="n">
        <x:v>0</x:v>
      </x:c>
      <x:c r="Q998" t="n">
        <x:v>1</x:v>
      </x:c>
      <x:c r="R998" t="n">
        <x:v>1</x:v>
      </x:c>
      <x:c r="S998" t="n">
        <x:v>0</x:v>
      </x:c>
      <x:c r="T998" t="n">
        <x:v>0</x:v>
      </x:c>
      <x:c r="U998" t="n">
        <x:v>1</x:v>
      </x:c>
      <x:c r="V998" t="n">
        <x:v>1</x:v>
      </x:c>
      <x:c r="W998" t="n">
        <x:v>0</x:v>
      </x:c>
      <x:c r="X998" t="n">
        <x:v>0</x:v>
      </x:c>
      <x:c r="Y998" t="n">
        <x:v>0</x:v>
      </x:c>
      <x:c r="Z998" t="n">
        <x:v>2</x:v>
      </x:c>
      <x:c r="AA998" t="n">
        <x:v>2</x:v>
      </x:c>
      <x:c r="AB998" t="str">
        <x:v>Pass</x:v>
      </x:c>
      <x:c r="AC998" t="str"/>
      <x:c r="AD998" t="str"/>
    </x:row>
    <x:row r="999">
      <x:c r="A999" t="str">
        <x:v>REC0998</x:v>
      </x:c>
      <x:c r="B999" t="n">
        <x:v>997</x:v>
      </x:c>
      <x:c r="C999" t="str">
        <x:v>St. Thomas, USVI</x:v>
      </x:c>
      <x:c r="D999" t="str">
        <x:v>GV</x:v>
      </x:c>
      <x:c r="E999" t="str">
        <x:v>Ground Validation</x:v>
      </x:c>
      <x:c r="F999" t="str">
        <x:v>HD Seaviewer Drop Camera</x:v>
      </x:c>
      <x:c r="G999" t="str">
        <x:v>GV2016_367</x:v>
      </x:c>
      <x:c r="H999" s="28" t="n">
        <x:v>42609</x:v>
      </x:c>
      <x:c r="I999" t="str">
        <x:v>08:42:10</x:v>
      </x:c>
      <x:c r="J999" t="n">
        <x:v>2016</x:v>
      </x:c>
      <x:c r="K999" t="n">
        <x:v>18.19963501</x:v>
      </x:c>
      <x:c r="L999" t="n">
        <x:v>-65.10370815</x:v>
      </x:c>
      <x:c r="M999" t="n">
        <x:v>40.11</x:v>
      </x:c>
      <x:c r="N999" t="str">
        <x:v>https://nccospublicstor.blob.core.windows.net/biomapper/usviinsularshelf2017/videos/low/GV2016_367.mp4</x:v>
      </x:c>
      <x:c r="O999" t="n">
        <x:v>1</x:v>
      </x:c>
      <x:c r="P999" t="n">
        <x:v>0</x:v>
      </x:c>
      <x:c r="Q999" t="n">
        <x:v>0</x:v>
      </x:c>
      <x:c r="R999" t="n">
        <x:v>1</x:v>
      </x:c>
      <x:c r="S999" t="n">
        <x:v>1</x:v>
      </x:c>
      <x:c r="T999" t="n">
        <x:v>1</x:v>
      </x:c>
      <x:c r="U999" t="n">
        <x:v>1</x:v>
      </x:c>
      <x:c r="V999" t="n">
        <x:v>1</x:v>
      </x:c>
      <x:c r="W999" t="n">
        <x:v>0</x:v>
      </x:c>
      <x:c r="X999" t="n">
        <x:v>0</x:v>
      </x:c>
      <x:c r="Y999" t="n">
        <x:v>0</x:v>
      </x:c>
      <x:c r="Z999" t="n">
        <x:v>2</x:v>
      </x:c>
      <x:c r="AA999" t="n">
        <x:v>4</x:v>
      </x:c>
      <x:c r="AB999" t="str">
        <x:v>Pass</x:v>
      </x:c>
      <x:c r="AC999" t="str"/>
      <x:c r="AD999" t="str"/>
    </x:row>
    <x:row r="1000">
      <x:c r="A1000" t="str">
        <x:v>REC0999</x:v>
      </x:c>
      <x:c r="B1000" t="n">
        <x:v>998</x:v>
      </x:c>
      <x:c r="C1000" t="str">
        <x:v>St. John, USVI</x:v>
      </x:c>
      <x:c r="D1000" t="str">
        <x:v>GV</x:v>
      </x:c>
      <x:c r="E1000" t="str">
        <x:v>Ground Validation</x:v>
      </x:c>
      <x:c r="F1000" t="str">
        <x:v>HD Seaviewer Drop Camera</x:v>
      </x:c>
      <x:c r="G1000" t="str">
        <x:v>GV2016_368</x:v>
      </x:c>
      <x:c r="H1000" s="28" t="n">
        <x:v>42623</x:v>
      </x:c>
      <x:c r="I1000" t="str">
        <x:v>10:47:54</x:v>
      </x:c>
      <x:c r="J1000" t="n">
        <x:v>2016</x:v>
      </x:c>
      <x:c r="K1000" t="n">
        <x:v>18.26900584</x:v>
      </x:c>
      <x:c r="L1000" t="n">
        <x:v>-64.77618224</x:v>
      </x:c>
      <x:c r="M1000" t="n">
        <x:v>42.019</x:v>
      </x:c>
      <x:c r="N1000" t="str">
        <x:v>https://nccospublicstor.blob.core.windows.net/biomapper/usviinsularshelf2017/videos/low/GV2016_368.mp4</x:v>
      </x:c>
      <x:c r="O1000" t="n">
        <x:v>0</x:v>
      </x:c>
      <x:c r="P1000" t="n">
        <x:v>0</x:v>
      </x:c>
      <x:c r="Q1000" t="n">
        <x:v>0</x:v>
      </x:c>
      <x:c r="R1000" t="n">
        <x:v>1</x:v>
      </x:c>
      <x:c r="S1000" t="n">
        <x:v>0</x:v>
      </x:c>
      <x:c r="T1000" t="n">
        <x:v>0</x:v>
      </x:c>
      <x:c r="U1000" t="n">
        <x:v>0</x:v>
      </x:c>
      <x:c r="V1000" t="n">
        <x:v>1</x:v>
      </x:c>
      <x:c r="W1000" t="n">
        <x:v>0</x:v>
      </x:c>
      <x:c r="X1000" t="n">
        <x:v>0</x:v>
      </x:c>
      <x:c r="Y1000" t="n">
        <x:v>0</x:v>
      </x:c>
      <x:c r="Z1000" t="n">
        <x:v>1</x:v>
      </x:c>
      <x:c r="AA1000" t="n">
        <x:v>1</x:v>
      </x:c>
      <x:c r="AB1000" t="str">
        <x:v>Pass</x:v>
      </x:c>
      <x:c r="AC1000" t="str"/>
      <x:c r="AD1000" t="str"/>
    </x:row>
    <x:row r="1001">
      <x:c r="A1001" t="str">
        <x:v>REC1000</x:v>
      </x:c>
      <x:c r="B1001" t="n">
        <x:v>999</x:v>
      </x:c>
      <x:c r="C1001" t="str">
        <x:v>St. John, USVI</x:v>
      </x:c>
      <x:c r="D1001" t="str">
        <x:v>GV</x:v>
      </x:c>
      <x:c r="E1001" t="str">
        <x:v>Ground Validation</x:v>
      </x:c>
      <x:c r="F1001" t="str">
        <x:v>HD Seaviewer Drop Camera</x:v>
      </x:c>
      <x:c r="G1001" t="str">
        <x:v>GV2016_369</x:v>
      </x:c>
      <x:c r="H1001" s="28" t="n">
        <x:v>42630</x:v>
      </x:c>
      <x:c r="I1001" t="str">
        <x:v>09:49:09</x:v>
      </x:c>
      <x:c r="J1001" t="n">
        <x:v>2016</x:v>
      </x:c>
      <x:c r="K1001" t="n">
        <x:v>18.22866885</x:v>
      </x:c>
      <x:c r="L1001" t="n">
        <x:v>-64.73003709</x:v>
      </x:c>
      <x:c r="M1001" t="n">
        <x:v>54.511</x:v>
      </x:c>
      <x:c r="N1001" t="str">
        <x:v>https://nccospublicstor.blob.core.windows.net/biomapper/usviinsularshelf2017/videos/low/GV2016_369.mp4</x:v>
      </x:c>
      <x:c r="O1001" t="n">
        <x:v>0</x:v>
      </x:c>
      <x:c r="P1001" t="n">
        <x:v>1</x:v>
      </x:c>
      <x:c r="Q1001" t="n">
        <x:v>1</x:v>
      </x:c>
      <x:c r="R1001" t="n">
        <x:v>0</x:v>
      </x:c>
      <x:c r="S1001" t="n">
        <x:v>1</x:v>
      </x:c>
      <x:c r="T1001" t="n">
        <x:v>0</x:v>
      </x:c>
      <x:c r="U1001" t="n">
        <x:v>1</x:v>
      </x:c>
      <x:c r="V1001" t="n">
        <x:v>1</x:v>
      </x:c>
      <x:c r="W1001" t="n">
        <x:v>0</x:v>
      </x:c>
      <x:c r="X1001" t="n">
        <x:v>0</x:v>
      </x:c>
      <x:c r="Y1001" t="n">
        <x:v>0</x:v>
      </x:c>
      <x:c r="Z1001" t="n">
        <x:v>2</x:v>
      </x:c>
      <x:c r="AA1001" t="n">
        <x:v>3</x:v>
      </x:c>
      <x:c r="AB1001" t="str">
        <x:v>Pass</x:v>
      </x:c>
      <x:c r="AC1001" t="str"/>
      <x:c r="AD1001" t="str"/>
    </x:row>
    <x:row r="1002">
      <x:c r="A1002" t="str">
        <x:v>REC1001</x:v>
      </x:c>
      <x:c r="B1002" t="n">
        <x:v>1000</x:v>
      </x:c>
      <x:c r="C1002" t="str">
        <x:v>Puerto Rico</x:v>
      </x:c>
      <x:c r="D1002" t="str">
        <x:v>GV</x:v>
      </x:c>
      <x:c r="E1002" t="str">
        <x:v>Ground Validation</x:v>
      </x:c>
      <x:c r="F1002" t="str">
        <x:v>HD Seaviewer Drop Camera</x:v>
      </x:c>
      <x:c r="G1002" t="str">
        <x:v>GV2016_370</x:v>
      </x:c>
      <x:c r="H1002" s="28" t="n">
        <x:v>42605</x:v>
      </x:c>
      <x:c r="I1002" t="str">
        <x:v>10:52:37</x:v>
      </x:c>
      <x:c r="J1002" t="n">
        <x:v>2016</x:v>
      </x:c>
      <x:c r="K1002" t="n">
        <x:v>18.19393771</x:v>
      </x:c>
      <x:c r="L1002" t="n">
        <x:v>-65.14002501</x:v>
      </x:c>
      <x:c r="M1002" t="n">
        <x:v>40.45</x:v>
      </x:c>
      <x:c r="N1002" t="str">
        <x:v>https://nccospublicstor.blob.core.windows.net/biomapper/usviinsularshelf2017/videos/low/GV2016_370.mp4</x:v>
      </x:c>
      <x:c r="O1002" t="n">
        <x:v>1</x:v>
      </x:c>
      <x:c r="P1002" t="n">
        <x:v>0</x:v>
      </x:c>
      <x:c r="Q1002" t="n">
        <x:v>0</x:v>
      </x:c>
      <x:c r="R1002" t="n">
        <x:v>0</x:v>
      </x:c>
      <x:c r="S1002" t="n">
        <x:v>1</x:v>
      </x:c>
      <x:c r="T1002" t="n">
        <x:v>0</x:v>
      </x:c>
      <x:c r="U1002" t="n">
        <x:v>1</x:v>
      </x:c>
      <x:c r="V1002" t="n">
        <x:v>1</x:v>
      </x:c>
      <x:c r="W1002" t="n">
        <x:v>0</x:v>
      </x:c>
      <x:c r="X1002" t="n">
        <x:v>0</x:v>
      </x:c>
      <x:c r="Y1002" t="n">
        <x:v>0</x:v>
      </x:c>
      <x:c r="Z1002" t="n">
        <x:v>1</x:v>
      </x:c>
      <x:c r="AA1002" t="n">
        <x:v>3</x:v>
      </x:c>
      <x:c r="AB1002" t="str">
        <x:v>Pass</x:v>
      </x:c>
      <x:c r="AC1002" t="str"/>
      <x:c r="AD1002" t="str"/>
    </x:row>
    <x:row r="1003">
      <x:c r="A1003" t="str">
        <x:v>REC1002</x:v>
      </x:c>
      <x:c r="B1003" t="n">
        <x:v>1001</x:v>
      </x:c>
      <x:c r="C1003" t="str">
        <x:v>St. Thomas, USVI</x:v>
      </x:c>
      <x:c r="D1003" t="str">
        <x:v>GV</x:v>
      </x:c>
      <x:c r="E1003" t="str">
        <x:v>Ground Validation</x:v>
      </x:c>
      <x:c r="F1003" t="str">
        <x:v>HD Seaviewer Drop Camera</x:v>
      </x:c>
      <x:c r="G1003" t="str">
        <x:v>GV2016_371</x:v>
      </x:c>
      <x:c r="H1003" s="28" t="n">
        <x:v>42608</x:v>
      </x:c>
      <x:c r="I1003" t="str">
        <x:v>12:08:36</x:v>
      </x:c>
      <x:c r="J1003" t="n">
        <x:v>2016</x:v>
      </x:c>
      <x:c r="K1003" t="n">
        <x:v>18.22038215</x:v>
      </x:c>
      <x:c r="L1003" t="n">
        <x:v>-65.03234029</x:v>
      </x:c>
      <x:c r="M1003" t="n">
        <x:v>41.267</x:v>
      </x:c>
      <x:c r="N1003" t="str">
        <x:v>https://nccospublicstor.blob.core.windows.net/biomapper/usviinsularshelf2017/videos/low/GV2016_371.mp4</x:v>
      </x:c>
      <x:c r="O1003" t="n">
        <x:v>1</x:v>
      </x:c>
      <x:c r="P1003" t="n">
        <x:v>0</x:v>
      </x:c>
      <x:c r="Q1003" t="n">
        <x:v>0</x:v>
      </x:c>
      <x:c r="R1003" t="n">
        <x:v>1</x:v>
      </x:c>
      <x:c r="S1003" t="n">
        <x:v>1</x:v>
      </x:c>
      <x:c r="T1003" t="n">
        <x:v>1</x:v>
      </x:c>
      <x:c r="U1003" t="n">
        <x:v>1</x:v>
      </x:c>
      <x:c r="V1003" t="n">
        <x:v>1</x:v>
      </x:c>
      <x:c r="W1003" t="n">
        <x:v>0</x:v>
      </x:c>
      <x:c r="X1003" t="n">
        <x:v>0</x:v>
      </x:c>
      <x:c r="Y1003" t="n">
        <x:v>0</x:v>
      </x:c>
      <x:c r="Z1003" t="n">
        <x:v>2</x:v>
      </x:c>
      <x:c r="AA1003" t="n">
        <x:v>4</x:v>
      </x:c>
      <x:c r="AB1003" t="str">
        <x:v>Pass</x:v>
      </x:c>
      <x:c r="AC1003" t="str"/>
      <x:c r="AD1003" t="str">
        <x:v>Lionfish 1:21</x:v>
      </x:c>
    </x:row>
    <x:row r="1004">
      <x:c r="A1004" t="str">
        <x:v>REC1003</x:v>
      </x:c>
      <x:c r="B1004" t="n">
        <x:v>1002</x:v>
      </x:c>
      <x:c r="C1004" t="str">
        <x:v>St. Thomas, USVI</x:v>
      </x:c>
      <x:c r="D1004" t="str">
        <x:v>GV</x:v>
      </x:c>
      <x:c r="E1004" t="str">
        <x:v>Ground Validation</x:v>
      </x:c>
      <x:c r="F1004" t="str">
        <x:v>HD Seaviewer Drop Camera</x:v>
      </x:c>
      <x:c r="G1004" t="str">
        <x:v>GV2016_372</x:v>
      </x:c>
      <x:c r="H1004" s="28" t="n">
        <x:v>42612</x:v>
      </x:c>
      <x:c r="I1004" t="str">
        <x:v>11:16:50</x:v>
      </x:c>
      <x:c r="J1004" t="n">
        <x:v>2016</x:v>
      </x:c>
      <x:c r="K1004" t="n">
        <x:v>18.26181053</x:v>
      </x:c>
      <x:c r="L1004" t="n">
        <x:v>-64.94248282</x:v>
      </x:c>
      <x:c r="M1004" t="n">
        <x:v>33.424</x:v>
      </x:c>
      <x:c r="N1004" t="str">
        <x:v>https://nccospublicstor.blob.core.windows.net/biomapper/usviinsularshelf2017/videos/low/GV2016_372.mp4</x:v>
      </x:c>
      <x:c r="O1004" t="n">
        <x:v>0</x:v>
      </x:c>
      <x:c r="P1004" t="n">
        <x:v>0</x:v>
      </x:c>
      <x:c r="Q1004" t="n">
        <x:v>1</x:v>
      </x:c>
      <x:c r="R1004" t="n">
        <x:v>1</x:v>
      </x:c>
      <x:c r="S1004" t="n">
        <x:v>0</x:v>
      </x:c>
      <x:c r="T1004" t="n">
        <x:v>0</x:v>
      </x:c>
      <x:c r="U1004" t="n">
        <x:v>1</x:v>
      </x:c>
      <x:c r="V1004" t="n">
        <x:v>1</x:v>
      </x:c>
      <x:c r="W1004" t="n">
        <x:v>0</x:v>
      </x:c>
      <x:c r="X1004" t="n">
        <x:v>0</x:v>
      </x:c>
      <x:c r="Y1004" t="n">
        <x:v>0</x:v>
      </x:c>
      <x:c r="Z1004" t="n">
        <x:v>2</x:v>
      </x:c>
      <x:c r="AA1004" t="n">
        <x:v>2</x:v>
      </x:c>
      <x:c r="AB1004" t="str">
        <x:v>Pass</x:v>
      </x:c>
      <x:c r="AC1004" t="str"/>
      <x:c r="AD1004" t="str"/>
    </x:row>
    <x:row r="1005">
      <x:c r="A1005" t="str">
        <x:v>REC1004</x:v>
      </x:c>
      <x:c r="B1005" t="n">
        <x:v>1003</x:v>
      </x:c>
      <x:c r="C1005" t="str">
        <x:v>St. Thomas, USVI</x:v>
      </x:c>
      <x:c r="D1005" t="str">
        <x:v>GV</x:v>
      </x:c>
      <x:c r="E1005" t="str">
        <x:v>Ground Validation</x:v>
      </x:c>
      <x:c r="F1005" t="str">
        <x:v>HD Seaviewer Drop Camera</x:v>
      </x:c>
      <x:c r="G1005" t="str">
        <x:v>GV2016_373</x:v>
      </x:c>
      <x:c r="H1005" s="28" t="n">
        <x:v>42608</x:v>
      </x:c>
      <x:c r="I1005" t="str">
        <x:v>13:02:05</x:v>
      </x:c>
      <x:c r="J1005" t="n">
        <x:v>2016</x:v>
      </x:c>
      <x:c r="K1005" t="n">
        <x:v>18.21235978</x:v>
      </x:c>
      <x:c r="L1005" t="n">
        <x:v>-65.07577109</x:v>
      </x:c>
      <x:c r="M1005" t="n">
        <x:v>42.73</x:v>
      </x:c>
      <x:c r="N1005" t="str">
        <x:v>https://nccospublicstor.blob.core.windows.net/biomapper/usviinsularshelf2017/videos/low/GV2016_373.mp4</x:v>
      </x:c>
      <x:c r="O1005" t="n">
        <x:v>0</x:v>
      </x:c>
      <x:c r="P1005" t="n">
        <x:v>0</x:v>
      </x:c>
      <x:c r="Q1005" t="n">
        <x:v>0</x:v>
      </x:c>
      <x:c r="R1005" t="n">
        <x:v>1</x:v>
      </x:c>
      <x:c r="S1005" t="n">
        <x:v>0</x:v>
      </x:c>
      <x:c r="T1005" t="n">
        <x:v>0</x:v>
      </x:c>
      <x:c r="U1005" t="n">
        <x:v>1</x:v>
      </x:c>
      <x:c r="V1005" t="n">
        <x:v>1</x:v>
      </x:c>
      <x:c r="W1005" t="n">
        <x:v>0</x:v>
      </x:c>
      <x:c r="X1005" t="n">
        <x:v>0</x:v>
      </x:c>
      <x:c r="Y1005" t="n">
        <x:v>0</x:v>
      </x:c>
      <x:c r="Z1005" t="n">
        <x:v>1</x:v>
      </x:c>
      <x:c r="AA1005" t="n">
        <x:v>2</x:v>
      </x:c>
      <x:c r="AB1005" t="str">
        <x:v>Pass</x:v>
      </x:c>
      <x:c r="AC1005" t="str"/>
      <x:c r="AD1005" t="str">
        <x:v>Nurse Shark at 00:02 and 00:04</x:v>
      </x:c>
    </x:row>
    <x:row r="1006">
      <x:c r="A1006" t="str">
        <x:v>REC1005</x:v>
      </x:c>
      <x:c r="B1006" t="n">
        <x:v>1004</x:v>
      </x:c>
      <x:c r="C1006" t="str">
        <x:v>St. Thomas, USVI</x:v>
      </x:c>
      <x:c r="D1006" t="str">
        <x:v>GV</x:v>
      </x:c>
      <x:c r="E1006" t="str">
        <x:v>Ground Validation</x:v>
      </x:c>
      <x:c r="F1006" t="str">
        <x:v>HD Seaviewer Drop Camera</x:v>
      </x:c>
      <x:c r="G1006" t="str">
        <x:v>GV2016_374</x:v>
      </x:c>
      <x:c r="H1006" s="28" t="n">
        <x:v>42611</x:v>
      </x:c>
      <x:c r="I1006" t="str">
        <x:v>11:13:44</x:v>
      </x:c>
      <x:c r="J1006" t="n">
        <x:v>2016</x:v>
      </x:c>
      <x:c r="K1006" t="n">
        <x:v>18.23047019</x:v>
      </x:c>
      <x:c r="L1006" t="n">
        <x:v>-64.88709499</x:v>
      </x:c>
      <x:c r="M1006" t="n">
        <x:v>43.976</x:v>
      </x:c>
      <x:c r="N1006" t="str">
        <x:v>https://nccospublicstor.blob.core.windows.net/biomapper/usviinsularshelf2017/videos/low/GV2016_374.mp4</x:v>
      </x:c>
      <x:c r="O1006" t="n">
        <x:v>0</x:v>
      </x:c>
      <x:c r="P1006" t="n">
        <x:v>0</x:v>
      </x:c>
      <x:c r="Q1006" t="n">
        <x:v>1</x:v>
      </x:c>
      <x:c r="R1006" t="n">
        <x:v>1</x:v>
      </x:c>
      <x:c r="S1006" t="n">
        <x:v>0</x:v>
      </x:c>
      <x:c r="T1006" t="n">
        <x:v>0</x:v>
      </x:c>
      <x:c r="U1006" t="n">
        <x:v>1</x:v>
      </x:c>
      <x:c r="V1006" t="n">
        <x:v>1</x:v>
      </x:c>
      <x:c r="W1006" t="n">
        <x:v>0</x:v>
      </x:c>
      <x:c r="X1006" t="n">
        <x:v>0</x:v>
      </x:c>
      <x:c r="Y1006" t="n">
        <x:v>0</x:v>
      </x:c>
      <x:c r="Z1006" t="n">
        <x:v>2</x:v>
      </x:c>
      <x:c r="AA1006" t="n">
        <x:v>2</x:v>
      </x:c>
      <x:c r="AB1006" t="str">
        <x:v>Pass</x:v>
      </x:c>
      <x:c r="AC1006" t="str"/>
      <x:c r="AD1006" t="str"/>
    </x:row>
    <x:row r="1007">
      <x:c r="A1007" t="str">
        <x:v>REC1006</x:v>
      </x:c>
      <x:c r="B1007" t="n">
        <x:v>1005</x:v>
      </x:c>
      <x:c r="C1007" t="str">
        <x:v>St. Thomas, USVI</x:v>
      </x:c>
      <x:c r="D1007" t="str">
        <x:v>GV</x:v>
      </x:c>
      <x:c r="E1007" t="str">
        <x:v>Ground Validation</x:v>
      </x:c>
      <x:c r="F1007" t="str">
        <x:v>HD Seaviewer Drop Camera</x:v>
      </x:c>
      <x:c r="G1007" t="str">
        <x:v>GV2016_375</x:v>
      </x:c>
      <x:c r="H1007" s="28" t="n">
        <x:v>42612</x:v>
      </x:c>
      <x:c r="I1007" t="str">
        <x:v>09:15:16</x:v>
      </x:c>
      <x:c r="J1007" t="n">
        <x:v>2016</x:v>
      </x:c>
      <x:c r="K1007" t="n">
        <x:v>18.24344875</x:v>
      </x:c>
      <x:c r="L1007" t="n">
        <x:v>-64.98080289</x:v>
      </x:c>
      <x:c r="M1007" t="n">
        <x:v>40.555</x:v>
      </x:c>
      <x:c r="N1007" t="str">
        <x:v>https://nccospublicstor.blob.core.windows.net/biomapper/usviinsularshelf2017/videos/low/GV2016_375.mp4</x:v>
      </x:c>
      <x:c r="O1007" t="n">
        <x:v>0</x:v>
      </x:c>
      <x:c r="P1007" t="n">
        <x:v>0</x:v>
      </x:c>
      <x:c r="Q1007" t="n">
        <x:v>1</x:v>
      </x:c>
      <x:c r="R1007" t="n">
        <x:v>1</x:v>
      </x:c>
      <x:c r="S1007" t="n">
        <x:v>0</x:v>
      </x:c>
      <x:c r="T1007" t="n">
        <x:v>0</x:v>
      </x:c>
      <x:c r="U1007" t="n">
        <x:v>1</x:v>
      </x:c>
      <x:c r="V1007" t="n">
        <x:v>1</x:v>
      </x:c>
      <x:c r="W1007" t="n">
        <x:v>0</x:v>
      </x:c>
      <x:c r="X1007" t="n">
        <x:v>0</x:v>
      </x:c>
      <x:c r="Y1007" t="n">
        <x:v>0</x:v>
      </x:c>
      <x:c r="Z1007" t="n">
        <x:v>2</x:v>
      </x:c>
      <x:c r="AA1007" t="n">
        <x:v>2</x:v>
      </x:c>
      <x:c r="AB1007" t="str">
        <x:v>Pass</x:v>
      </x:c>
      <x:c r="AC1007" t="str"/>
      <x:c r="AD1007" t="str"/>
    </x:row>
    <x:row r="1008">
      <x:c r="A1008" t="str">
        <x:v>REC1007</x:v>
      </x:c>
      <x:c r="B1008" t="n">
        <x:v>1006</x:v>
      </x:c>
      <x:c r="C1008" t="str">
        <x:v>St. John, USVI</x:v>
      </x:c>
      <x:c r="D1008" t="str">
        <x:v>GV</x:v>
      </x:c>
      <x:c r="E1008" t="str">
        <x:v>Ground Validation</x:v>
      </x:c>
      <x:c r="F1008" t="str">
        <x:v>HD Seaviewer Drop Camera</x:v>
      </x:c>
      <x:c r="G1008" t="str">
        <x:v>GV2016_376</x:v>
      </x:c>
      <x:c r="H1008" s="28" t="n">
        <x:v>42624</x:v>
      </x:c>
      <x:c r="I1008" t="str">
        <x:v>11:55:48</x:v>
      </x:c>
      <x:c r="J1008" t="n">
        <x:v>2016</x:v>
      </x:c>
      <x:c r="K1008" t="n">
        <x:v>18.26874157</x:v>
      </x:c>
      <x:c r="L1008" t="n">
        <x:v>-64.74435432</x:v>
      </x:c>
      <x:c r="M1008" t="n">
        <x:v>44.614</x:v>
      </x:c>
      <x:c r="N1008" t="str">
        <x:v>https://nccospublicstor.blob.core.windows.net/biomapper/usviinsularshelf2017/videos/low/GV2016_376.mp4</x:v>
      </x:c>
      <x:c r="O1008" t="n">
        <x:v>0</x:v>
      </x:c>
      <x:c r="P1008" t="n">
        <x:v>0</x:v>
      </x:c>
      <x:c r="Q1008" t="n">
        <x:v>1</x:v>
      </x:c>
      <x:c r="R1008" t="n">
        <x:v>1</x:v>
      </x:c>
      <x:c r="S1008" t="n">
        <x:v>0</x:v>
      </x:c>
      <x:c r="T1008" t="n">
        <x:v>0</x:v>
      </x:c>
      <x:c r="U1008" t="n">
        <x:v>1</x:v>
      </x:c>
      <x:c r="V1008" t="n">
        <x:v>1</x:v>
      </x:c>
      <x:c r="W1008" t="n">
        <x:v>0</x:v>
      </x:c>
      <x:c r="X1008" t="n">
        <x:v>0</x:v>
      </x:c>
      <x:c r="Y1008" t="n">
        <x:v>0</x:v>
      </x:c>
      <x:c r="Z1008" t="n">
        <x:v>2</x:v>
      </x:c>
      <x:c r="AA1008" t="n">
        <x:v>2</x:v>
      </x:c>
      <x:c r="AB1008" t="str">
        <x:v>Pass</x:v>
      </x:c>
      <x:c r="AC1008" t="str"/>
      <x:c r="AD1008" t="str"/>
    </x:row>
    <x:row r="1009">
      <x:c r="A1009" t="str">
        <x:v>REC1008</x:v>
      </x:c>
      <x:c r="B1009" t="n">
        <x:v>1007</x:v>
      </x:c>
      <x:c r="C1009" t="str">
        <x:v>St. John, USVI</x:v>
      </x:c>
      <x:c r="D1009" t="str">
        <x:v>GV</x:v>
      </x:c>
      <x:c r="E1009" t="str">
        <x:v>Ground Validation</x:v>
      </x:c>
      <x:c r="F1009" t="str">
        <x:v>HD Seaviewer Drop Camera</x:v>
      </x:c>
      <x:c r="G1009" t="str">
        <x:v>GV2016_377</x:v>
      </x:c>
      <x:c r="H1009" s="28" t="n">
        <x:v>42625</x:v>
      </x:c>
      <x:c r="I1009" t="str">
        <x:v>12:23:20</x:v>
      </x:c>
      <x:c r="J1009" t="n">
        <x:v>2016</x:v>
      </x:c>
      <x:c r="K1009" t="n">
        <x:v>18.22778891</x:v>
      </x:c>
      <x:c r="L1009" t="n">
        <x:v>-64.68913681</x:v>
      </x:c>
      <x:c r="M1009" t="n">
        <x:v>53.085</x:v>
      </x:c>
      <x:c r="N1009" t="str">
        <x:v>https://nccospublicstor.blob.core.windows.net/biomapper/usviinsularshelf2017/videos/low/GV2016_377.mp4</x:v>
      </x:c>
      <x:c r="O1009" t="n">
        <x:v>0</x:v>
      </x:c>
      <x:c r="P1009" t="n">
        <x:v>0</x:v>
      </x:c>
      <x:c r="Q1009" t="n">
        <x:v>1</x:v>
      </x:c>
      <x:c r="R1009" t="n">
        <x:v>0</x:v>
      </x:c>
      <x:c r="S1009" t="n">
        <x:v>1</x:v>
      </x:c>
      <x:c r="T1009" t="n">
        <x:v>0</x:v>
      </x:c>
      <x:c r="U1009" t="n">
        <x:v>1</x:v>
      </x:c>
      <x:c r="V1009" t="n">
        <x:v>1</x:v>
      </x:c>
      <x:c r="W1009" t="n">
        <x:v>0</x:v>
      </x:c>
      <x:c r="X1009" t="n">
        <x:v>0</x:v>
      </x:c>
      <x:c r="Y1009" t="n">
        <x:v>0</x:v>
      </x:c>
      <x:c r="Z1009" t="n">
        <x:v>1</x:v>
      </x:c>
      <x:c r="AA1009" t="n">
        <x:v>3</x:v>
      </x:c>
      <x:c r="AB1009" t="str">
        <x:v>Pass</x:v>
      </x:c>
      <x:c r="AC1009" t="str"/>
      <x:c r="AD1009" t="str"/>
    </x:row>
    <x:row r="1010">
      <x:c r="A1010" t="str">
        <x:v>REC1009</x:v>
      </x:c>
      <x:c r="B1010" t="n">
        <x:v>1008</x:v>
      </x:c>
      <x:c r="C1010" t="str">
        <x:v>St. Thomas, USVI</x:v>
      </x:c>
      <x:c r="D1010" t="str">
        <x:v>GV</x:v>
      </x:c>
      <x:c r="E1010" t="str">
        <x:v>Ground Validation</x:v>
      </x:c>
      <x:c r="F1010" t="str">
        <x:v>HD Seaviewer Drop Camera</x:v>
      </x:c>
      <x:c r="G1010" t="str">
        <x:v>GV2016_378</x:v>
      </x:c>
      <x:c r="H1010" s="28" t="n">
        <x:v>42609</x:v>
      </x:c>
      <x:c r="I1010" t="str">
        <x:v>14:24:29</x:v>
      </x:c>
      <x:c r="J1010" t="n">
        <x:v>2016</x:v>
      </x:c>
      <x:c r="K1010" t="n">
        <x:v>18.23444768</x:v>
      </x:c>
      <x:c r="L1010" t="n">
        <x:v>-65.04819498</x:v>
      </x:c>
      <x:c r="M1010" t="n">
        <x:v>39.372</x:v>
      </x:c>
      <x:c r="N1010" t="str">
        <x:v>https://nccospublicstor.blob.core.windows.net/biomapper/usviinsularshelf2017/videos/low/GV2016_378.mp4</x:v>
      </x:c>
      <x:c r="O1010" t="n">
        <x:v>0</x:v>
      </x:c>
      <x:c r="P1010" t="n">
        <x:v>0</x:v>
      </x:c>
      <x:c r="Q1010" t="n">
        <x:v>0</x:v>
      </x:c>
      <x:c r="R1010" t="n">
        <x:v>1</x:v>
      </x:c>
      <x:c r="S1010" t="n">
        <x:v>0</x:v>
      </x:c>
      <x:c r="T1010" t="n">
        <x:v>0</x:v>
      </x:c>
      <x:c r="U1010" t="n">
        <x:v>1</x:v>
      </x:c>
      <x:c r="V1010" t="n">
        <x:v>1</x:v>
      </x:c>
      <x:c r="W1010" t="n">
        <x:v>0</x:v>
      </x:c>
      <x:c r="X1010" t="n">
        <x:v>0</x:v>
      </x:c>
      <x:c r="Y1010" t="n">
        <x:v>0</x:v>
      </x:c>
      <x:c r="Z1010" t="n">
        <x:v>1</x:v>
      </x:c>
      <x:c r="AA1010" t="n">
        <x:v>2</x:v>
      </x:c>
      <x:c r="AB1010" t="str">
        <x:v>Pass</x:v>
      </x:c>
      <x:c r="AC1010" t="str"/>
      <x:c r="AD1010" t="str"/>
    </x:row>
    <x:row r="1011">
      <x:c r="A1011" t="str">
        <x:v>REC1010</x:v>
      </x:c>
      <x:c r="B1011" t="n">
        <x:v>1009</x:v>
      </x:c>
      <x:c r="C1011" t="str">
        <x:v>St. John, USVI</x:v>
      </x:c>
      <x:c r="D1011" t="str">
        <x:v>GV</x:v>
      </x:c>
      <x:c r="E1011" t="str">
        <x:v>Ground Validation</x:v>
      </x:c>
      <x:c r="F1011" t="str">
        <x:v>HD Seaviewer Drop Camera</x:v>
      </x:c>
      <x:c r="G1011" t="str">
        <x:v>GV2016_379</x:v>
      </x:c>
      <x:c r="H1011" s="28" t="n">
        <x:v>42626</x:v>
      </x:c>
      <x:c r="I1011" t="str">
        <x:v>13:42:58</x:v>
      </x:c>
      <x:c r="J1011" t="n">
        <x:v>2016</x:v>
      </x:c>
      <x:c r="K1011" t="n">
        <x:v>18.24705725</x:v>
      </x:c>
      <x:c r="L1011" t="n">
        <x:v>-64.80296533</x:v>
      </x:c>
      <x:c r="M1011" t="n">
        <x:v>39.192</x:v>
      </x:c>
      <x:c r="N1011" t="str">
        <x:v>https://nccospublicstor.blob.core.windows.net/biomapper/usviinsularshelf2017/videos/low/GV2016_379.mp4</x:v>
      </x:c>
      <x:c r="O1011" t="n">
        <x:v>0</x:v>
      </x:c>
      <x:c r="P1011" t="n">
        <x:v>1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1</x:v>
      </x:c>
      <x:c r="V1011" t="n">
        <x:v>1</x:v>
      </x:c>
      <x:c r="W1011" t="n">
        <x:v>0</x:v>
      </x:c>
      <x:c r="X1011" t="n">
        <x:v>0</x:v>
      </x:c>
      <x:c r="Y1011" t="n">
        <x:v>0</x:v>
      </x:c>
      <x:c r="Z1011" t="n">
        <x:v>1</x:v>
      </x:c>
      <x:c r="AA1011" t="n">
        <x:v>2</x:v>
      </x:c>
      <x:c r="AB1011" t="str">
        <x:v>Pass</x:v>
      </x:c>
      <x:c r="AC1011" t="str"/>
      <x:c r="AD1011" t="str">
        <x:v>Red Hind</x:v>
      </x:c>
    </x:row>
    <x:row r="1012">
      <x:c r="A1012" t="str">
        <x:v>REC1011</x:v>
      </x:c>
      <x:c r="B1012" t="n">
        <x:v>1010</x:v>
      </x:c>
      <x:c r="C1012" t="str">
        <x:v>St. John, USVI</x:v>
      </x:c>
      <x:c r="D1012" t="str">
        <x:v>GV</x:v>
      </x:c>
      <x:c r="E1012" t="str">
        <x:v>Ground Validation</x:v>
      </x:c>
      <x:c r="F1012" t="str">
        <x:v>HD Seaviewer Drop Camera</x:v>
      </x:c>
      <x:c r="G1012" t="str">
        <x:v>GV2016_380</x:v>
      </x:c>
      <x:c r="H1012" s="28" t="n">
        <x:v>42613</x:v>
      </x:c>
      <x:c r="I1012" t="str">
        <x:v>10:38:18</x:v>
      </x:c>
      <x:c r="J1012" t="n">
        <x:v>2016</x:v>
      </x:c>
      <x:c r="K1012" t="n">
        <x:v>18.27699099</x:v>
      </x:c>
      <x:c r="L1012" t="n">
        <x:v>-64.79689743</x:v>
      </x:c>
      <x:c r="M1012" t="n">
        <x:v>35.147</x:v>
      </x:c>
      <x:c r="N1012" t="str">
        <x:v>https://nccospublicstor.blob.core.windows.net/biomapper/usviinsularshelf2017/videos/low/GV2016_380.mp4</x:v>
      </x:c>
      <x:c r="O1012" t="n">
        <x:v>0</x:v>
      </x:c>
      <x:c r="P1012" t="n">
        <x:v>0</x:v>
      </x:c>
      <x:c r="Q1012" t="n">
        <x:v>0</x:v>
      </x:c>
      <x:c r="R1012" t="n">
        <x:v>1</x:v>
      </x:c>
      <x:c r="S1012" t="n">
        <x:v>0</x:v>
      </x:c>
      <x:c r="T1012" t="n">
        <x:v>0</x:v>
      </x:c>
      <x:c r="U1012" t="n">
        <x:v>0</x:v>
      </x:c>
      <x:c r="V1012" t="n">
        <x:v>1</x:v>
      </x:c>
      <x:c r="W1012" t="n">
        <x:v>0</x:v>
      </x:c>
      <x:c r="X1012" t="n">
        <x:v>0</x:v>
      </x:c>
      <x:c r="Y1012" t="n">
        <x:v>0</x:v>
      </x:c>
      <x:c r="Z1012" t="n">
        <x:v>1</x:v>
      </x:c>
      <x:c r="AA1012" t="n">
        <x:v>1</x:v>
      </x:c>
      <x:c r="AB1012" t="str">
        <x:v>Pass</x:v>
      </x:c>
      <x:c r="AC1012" t="str"/>
      <x:c r="AD1012" t="str"/>
    </x:row>
    <x:row r="1013">
      <x:c r="A1013" t="str">
        <x:v>REC1012</x:v>
      </x:c>
      <x:c r="B1013" t="n">
        <x:v>1011</x:v>
      </x:c>
      <x:c r="C1013" t="str">
        <x:v>St. Thomas, USVI</x:v>
      </x:c>
      <x:c r="D1013" t="str">
        <x:v>GV</x:v>
      </x:c>
      <x:c r="E1013" t="str">
        <x:v>Ground Validation</x:v>
      </x:c>
      <x:c r="F1013" t="str">
        <x:v>HD Seaviewer Drop Camera</x:v>
      </x:c>
      <x:c r="G1013" t="str">
        <x:v>GV2016_381</x:v>
      </x:c>
      <x:c r="H1013" s="28" t="n">
        <x:v>42609</x:v>
      </x:c>
      <x:c r="I1013" t="str">
        <x:v>13:03:47</x:v>
      </x:c>
      <x:c r="J1013" t="n">
        <x:v>2016</x:v>
      </x:c>
      <x:c r="K1013" t="n">
        <x:v>18.24721463</x:v>
      </x:c>
      <x:c r="L1013" t="n">
        <x:v>-65.00080931</x:v>
      </x:c>
      <x:c r="M1013" t="n">
        <x:v>40.361</x:v>
      </x:c>
      <x:c r="N1013" t="str">
        <x:v>https://nccospublicstor.blob.core.windows.net/biomapper/usviinsularshelf2017/videos/low/GV2016_381.mp4</x:v>
      </x:c>
      <x:c r="O1013" t="n">
        <x:v>0</x:v>
      </x:c>
      <x:c r="P1013" t="n">
        <x:v>0</x:v>
      </x:c>
      <x:c r="Q1013" t="n">
        <x:v>1</x:v>
      </x:c>
      <x:c r="R1013" t="n">
        <x:v>1</x:v>
      </x:c>
      <x:c r="S1013" t="n">
        <x:v>0</x:v>
      </x:c>
      <x:c r="T1013" t="n">
        <x:v>0</x:v>
      </x:c>
      <x:c r="U1013" t="n">
        <x:v>1</x:v>
      </x:c>
      <x:c r="V1013" t="n">
        <x:v>1</x:v>
      </x:c>
      <x:c r="W1013" t="n">
        <x:v>0</x:v>
      </x:c>
      <x:c r="X1013" t="n">
        <x:v>0</x:v>
      </x:c>
      <x:c r="Y1013" t="n">
        <x:v>0</x:v>
      </x:c>
      <x:c r="Z1013" t="n">
        <x:v>2</x:v>
      </x:c>
      <x:c r="AA1013" t="n">
        <x:v>2</x:v>
      </x:c>
      <x:c r="AB1013" t="str">
        <x:v>Pass</x:v>
      </x:c>
      <x:c r="AC1013" t="str"/>
      <x:c r="AD1013" t="str"/>
    </x:row>
    <x:row r="1014">
      <x:c r="A1014" t="str">
        <x:v>REC1013</x:v>
      </x:c>
      <x:c r="B1014" t="n">
        <x:v>1012</x:v>
      </x:c>
      <x:c r="C1014" t="str">
        <x:v>St. John, USVI</x:v>
      </x:c>
      <x:c r="D1014" t="str">
        <x:v>GV</x:v>
      </x:c>
      <x:c r="E1014" t="str">
        <x:v>Ground Validation</x:v>
      </x:c>
      <x:c r="F1014" t="str">
        <x:v>HD Seaviewer Drop Camera</x:v>
      </x:c>
      <x:c r="G1014" t="str">
        <x:v>GV2016_382</x:v>
      </x:c>
      <x:c r="H1014" s="28" t="n">
        <x:v>42614</x:v>
      </x:c>
      <x:c r="I1014" t="str">
        <x:v>12:43:57</x:v>
      </x:c>
      <x:c r="J1014" t="n">
        <x:v>2016</x:v>
      </x:c>
      <x:c r="K1014" t="n">
        <x:v>18.29104981</x:v>
      </x:c>
      <x:c r="L1014" t="n">
        <x:v>-64.74035581</x:v>
      </x:c>
      <x:c r="M1014" t="n">
        <x:v>31.879</x:v>
      </x:c>
      <x:c r="N1014" t="str">
        <x:v>https://nccospublicstor.blob.core.windows.net/biomapper/usviinsularshelf2017/videos/low/GV2016_382.mp4</x:v>
      </x:c>
      <x:c r="O1014" t="n">
        <x:v>0</x:v>
      </x:c>
      <x:c r="P1014" t="n">
        <x:v>0</x:v>
      </x:c>
      <x:c r="Q1014" t="n">
        <x:v>1</x:v>
      </x:c>
      <x:c r="R1014" t="n">
        <x:v>0</x:v>
      </x:c>
      <x:c r="S1014" t="n">
        <x:v>0</x:v>
      </x:c>
      <x:c r="T1014" t="n">
        <x:v>0</x:v>
      </x:c>
      <x:c r="U1014" t="n">
        <x:v>1</x:v>
      </x:c>
      <x:c r="V1014" t="n">
        <x:v>1</x:v>
      </x:c>
      <x:c r="W1014" t="n">
        <x:v>0</x:v>
      </x:c>
      <x:c r="X1014" t="n">
        <x:v>0</x:v>
      </x:c>
      <x:c r="Y1014" t="n">
        <x:v>0</x:v>
      </x:c>
      <x:c r="Z1014" t="n">
        <x:v>1</x:v>
      </x:c>
      <x:c r="AA1014" t="n">
        <x:v>2</x:v>
      </x:c>
      <x:c r="AB1014" t="str">
        <x:v>Pass</x:v>
      </x:c>
      <x:c r="AC1014" t="str"/>
      <x:c r="AD1014" t="str"/>
    </x:row>
    <x:row r="1015">
      <x:c r="A1015" t="str">
        <x:v>REC1014</x:v>
      </x:c>
      <x:c r="B1015" t="n">
        <x:v>1013</x:v>
      </x:c>
      <x:c r="C1015" t="str">
        <x:v>St. Thomas, USVI</x:v>
      </x:c>
      <x:c r="D1015" t="str">
        <x:v>GV</x:v>
      </x:c>
      <x:c r="E1015" t="str">
        <x:v>Ground Validation</x:v>
      </x:c>
      <x:c r="F1015" t="str">
        <x:v>HD Seaviewer Drop Camera</x:v>
      </x:c>
      <x:c r="G1015" t="str">
        <x:v>GV2016_383</x:v>
      </x:c>
      <x:c r="H1015" s="28" t="n">
        <x:v>42612</x:v>
      </x:c>
      <x:c r="I1015" t="str">
        <x:v>09:58:42</x:v>
      </x:c>
      <x:c r="J1015" t="n">
        <x:v>2016</x:v>
      </x:c>
      <x:c r="K1015" t="n">
        <x:v>18.249722</x:v>
      </x:c>
      <x:c r="L1015" t="n">
        <x:v>-64.97615472</x:v>
      </x:c>
      <x:c r="M1015" t="n">
        <x:v>39.615</x:v>
      </x:c>
      <x:c r="N1015" t="str">
        <x:v>https://nccospublicstor.blob.core.windows.net/biomapper/usviinsularshelf2017/videos/low/GV2016_383.mp4</x:v>
      </x:c>
      <x:c r="O1015" t="n">
        <x:v>0</x:v>
      </x:c>
      <x:c r="P1015" t="n">
        <x:v>0</x:v>
      </x:c>
      <x:c r="Q1015" t="n">
        <x:v>1</x:v>
      </x:c>
      <x:c r="R1015" t="n">
        <x:v>0</x:v>
      </x:c>
      <x:c r="S1015" t="n">
        <x:v>0</x:v>
      </x:c>
      <x:c r="T1015" t="n">
        <x:v>0</x:v>
      </x:c>
      <x:c r="U1015" t="n">
        <x:v>1</x:v>
      </x:c>
      <x:c r="V1015" t="n">
        <x:v>1</x:v>
      </x:c>
      <x:c r="W1015" t="n">
        <x:v>0</x:v>
      </x:c>
      <x:c r="X1015" t="n">
        <x:v>0</x:v>
      </x:c>
      <x:c r="Y1015" t="n">
        <x:v>0</x:v>
      </x:c>
      <x:c r="Z1015" t="n">
        <x:v>1</x:v>
      </x:c>
      <x:c r="AA1015" t="n">
        <x:v>2</x:v>
      </x:c>
      <x:c r="AB1015" t="str">
        <x:v>Pass</x:v>
      </x:c>
      <x:c r="AC1015" t="str"/>
      <x:c r="AD1015" t="str"/>
    </x:row>
    <x:row r="1016">
      <x:c r="A1016" t="str">
        <x:v>REC1015</x:v>
      </x:c>
      <x:c r="B1016" t="n">
        <x:v>1014</x:v>
      </x:c>
      <x:c r="C1016" t="str">
        <x:v>St. Thomas, USVI</x:v>
      </x:c>
      <x:c r="D1016" t="str">
        <x:v>GV</x:v>
      </x:c>
      <x:c r="E1016" t="str">
        <x:v>Ground Validation</x:v>
      </x:c>
      <x:c r="F1016" t="str">
        <x:v>HD Seaviewer Drop Camera</x:v>
      </x:c>
      <x:c r="G1016" t="str">
        <x:v>GV2016_384</x:v>
      </x:c>
      <x:c r="H1016" s="28" t="n">
        <x:v>42611</x:v>
      </x:c>
      <x:c r="I1016" t="str">
        <x:v>12:37:03</x:v>
      </x:c>
      <x:c r="J1016" t="n">
        <x:v>2016</x:v>
      </x:c>
      <x:c r="K1016" t="n">
        <x:v>18.23421307</x:v>
      </x:c>
      <x:c r="L1016" t="n">
        <x:v>-64.92528854</x:v>
      </x:c>
      <x:c r="M1016" t="n">
        <x:v>42.779</x:v>
      </x:c>
      <x:c r="N1016" t="str">
        <x:v>https://nccospublicstor.blob.core.windows.net/biomapper/usviinsularshelf2017/videos/low/GV2016_384.mp4</x:v>
      </x:c>
      <x:c r="O1016" t="n">
        <x:v>0</x:v>
      </x:c>
      <x:c r="P1016" t="n">
        <x:v>0</x:v>
      </x:c>
      <x:c r="Q1016" t="n">
        <x:v>1</x:v>
      </x:c>
      <x:c r="R1016" t="n">
        <x:v>1</x:v>
      </x:c>
      <x:c r="S1016" t="n">
        <x:v>0</x:v>
      </x:c>
      <x:c r="T1016" t="n">
        <x:v>0</x:v>
      </x:c>
      <x:c r="U1016" t="n">
        <x:v>1</x:v>
      </x:c>
      <x:c r="V1016" t="n">
        <x:v>1</x:v>
      </x:c>
      <x:c r="W1016" t="n">
        <x:v>0</x:v>
      </x:c>
      <x:c r="X1016" t="n">
        <x:v>0</x:v>
      </x:c>
      <x:c r="Y1016" t="n">
        <x:v>0</x:v>
      </x:c>
      <x:c r="Z1016" t="n">
        <x:v>2</x:v>
      </x:c>
      <x:c r="AA1016" t="n">
        <x:v>2</x:v>
      </x:c>
      <x:c r="AB1016" t="str">
        <x:v>Pass</x:v>
      </x:c>
      <x:c r="AC1016" t="str"/>
      <x:c r="AD1016" t="str"/>
    </x:row>
    <x:row r="1017">
      <x:c r="A1017" t="str">
        <x:v>REC1016</x:v>
      </x:c>
      <x:c r="B1017" t="n">
        <x:v>1015</x:v>
      </x:c>
      <x:c r="C1017" t="str">
        <x:v>St. Thomas, USVI</x:v>
      </x:c>
      <x:c r="D1017" t="str">
        <x:v>GV</x:v>
      </x:c>
      <x:c r="E1017" t="str">
        <x:v>Ground Validation</x:v>
      </x:c>
      <x:c r="F1017" t="str">
        <x:v>HD Seaviewer Drop Camera</x:v>
      </x:c>
      <x:c r="G1017" t="str">
        <x:v>GV2016_385</x:v>
      </x:c>
      <x:c r="H1017" s="28" t="n">
        <x:v>42608</x:v>
      </x:c>
      <x:c r="I1017" t="str">
        <x:v>08:49:22</x:v>
      </x:c>
      <x:c r="J1017" t="n">
        <x:v>2016</x:v>
      </x:c>
      <x:c r="K1017" t="n">
        <x:v>18.20245006</x:v>
      </x:c>
      <x:c r="L1017" t="n">
        <x:v>-64.93183616</x:v>
      </x:c>
      <x:c r="M1017" t="n">
        <x:v>46.899</x:v>
      </x:c>
      <x:c r="N1017" t="str">
        <x:v>https://nccospublicstor.blob.core.windows.net/biomapper/usviinsularshelf2017/videos/low/GV2016_385.mp4</x:v>
      </x:c>
      <x:c r="O1017" t="n">
        <x:v>0</x:v>
      </x:c>
      <x:c r="P1017" t="n">
        <x:v>0</x:v>
      </x:c>
      <x:c r="Q1017" t="n">
        <x:v>1</x:v>
      </x:c>
      <x:c r="R1017" t="n">
        <x:v>1</x:v>
      </x:c>
      <x:c r="S1017" t="n">
        <x:v>0</x:v>
      </x:c>
      <x:c r="T1017" t="n">
        <x:v>0</x:v>
      </x:c>
      <x:c r="U1017" t="n">
        <x:v>1</x:v>
      </x:c>
      <x:c r="V1017" t="n">
        <x:v>1</x:v>
      </x:c>
      <x:c r="W1017" t="n">
        <x:v>0</x:v>
      </x:c>
      <x:c r="X1017" t="n">
        <x:v>0</x:v>
      </x:c>
      <x:c r="Y1017" t="n">
        <x:v>0</x:v>
      </x:c>
      <x:c r="Z1017" t="n">
        <x:v>2</x:v>
      </x:c>
      <x:c r="AA1017" t="n">
        <x:v>2</x:v>
      </x:c>
      <x:c r="AB1017" t="str">
        <x:v>Pass</x:v>
      </x:c>
      <x:c r="AC1017" t="str"/>
      <x:c r="AD1017" t="str"/>
    </x:row>
    <x:row r="1018">
      <x:c r="A1018" t="str">
        <x:v>REC1017</x:v>
      </x:c>
      <x:c r="B1018" t="n">
        <x:v>1016</x:v>
      </x:c>
      <x:c r="C1018" t="str">
        <x:v>St. Thomas, USVI</x:v>
      </x:c>
      <x:c r="D1018" t="str">
        <x:v>GV</x:v>
      </x:c>
      <x:c r="E1018" t="str">
        <x:v>Ground Validation</x:v>
      </x:c>
      <x:c r="F1018" t="str">
        <x:v>HD Seaviewer Drop Camera</x:v>
      </x:c>
      <x:c r="G1018" t="str">
        <x:v>GV2016_386</x:v>
      </x:c>
      <x:c r="H1018" s="28" t="n">
        <x:v>42602</x:v>
      </x:c>
      <x:c r="I1018" t="str">
        <x:v>12:01:36</x:v>
      </x:c>
      <x:c r="J1018" t="n">
        <x:v>2016</x:v>
      </x:c>
      <x:c r="K1018" t="n">
        <x:v>18.27131713</x:v>
      </x:c>
      <x:c r="L1018" t="n">
        <x:v>-65.07800122</x:v>
      </x:c>
      <x:c r="M1018" t="n">
        <x:v>34.608</x:v>
      </x:c>
      <x:c r="N1018" t="str">
        <x:v>https://nccospublicstor.blob.core.windows.net/biomapper/usviinsularshelf2017/videos/low/GV2016_386.mp4</x:v>
      </x:c>
      <x:c r="O1018" t="n">
        <x:v>0</x:v>
      </x:c>
      <x:c r="P1018" t="n">
        <x:v>0</x:v>
      </x:c>
      <x:c r="Q1018" t="n">
        <x:v>1</x:v>
      </x:c>
      <x:c r="R1018" t="n">
        <x:v>1</x:v>
      </x:c>
      <x:c r="S1018" t="n">
        <x:v>0</x:v>
      </x:c>
      <x:c r="T1018" t="n">
        <x:v>0</x:v>
      </x:c>
      <x:c r="U1018" t="n">
        <x:v>1</x:v>
      </x:c>
      <x:c r="V1018" t="n">
        <x:v>1</x:v>
      </x:c>
      <x:c r="W1018" t="n">
        <x:v>0</x:v>
      </x:c>
      <x:c r="X1018" t="n">
        <x:v>0</x:v>
      </x:c>
      <x:c r="Y1018" t="n">
        <x:v>0</x:v>
      </x:c>
      <x:c r="Z1018" t="n">
        <x:v>2</x:v>
      </x:c>
      <x:c r="AA1018" t="n">
        <x:v>2</x:v>
      </x:c>
      <x:c r="AB1018" t="str">
        <x:v>Pass</x:v>
      </x:c>
      <x:c r="AC1018" t="str"/>
      <x:c r="AD1018" t="str"/>
    </x:row>
    <x:row r="1019">
      <x:c r="A1019" t="str">
        <x:v>REC1018</x:v>
      </x:c>
      <x:c r="B1019" t="n">
        <x:v>1017</x:v>
      </x:c>
      <x:c r="C1019" t="str">
        <x:v>St. Thomas, USVI</x:v>
      </x:c>
      <x:c r="D1019" t="str">
        <x:v>GV</x:v>
      </x:c>
      <x:c r="E1019" t="str">
        <x:v>Ground Validation</x:v>
      </x:c>
      <x:c r="F1019" t="str">
        <x:v>HD Seaviewer Drop Camera</x:v>
      </x:c>
      <x:c r="G1019" t="str">
        <x:v>GV2016_387</x:v>
      </x:c>
      <x:c r="H1019" s="28" t="n">
        <x:v>42602</x:v>
      </x:c>
      <x:c r="I1019" t="str">
        <x:v>13:27:59</x:v>
      </x:c>
      <x:c r="J1019" t="n">
        <x:v>2016</x:v>
      </x:c>
      <x:c r="K1019" t="n">
        <x:v>18.26737761</x:v>
      </x:c>
      <x:c r="L1019" t="n">
        <x:v>-65.12275556</x:v>
      </x:c>
      <x:c r="M1019" t="n">
        <x:v>29.327</x:v>
      </x:c>
      <x:c r="N1019" t="str">
        <x:v>https://nccospublicstor.blob.core.windows.net/biomapper/usviinsularshelf2017/videos/low/GV2016_387.mp4</x:v>
      </x:c>
      <x:c r="O1019" t="n">
        <x:v>1</x:v>
      </x:c>
      <x:c r="P1019" t="n">
        <x:v>0</x:v>
      </x:c>
      <x:c r="Q1019" t="n">
        <x:v>0</x:v>
      </x:c>
      <x:c r="R1019" t="n">
        <x:v>0</x:v>
      </x:c>
      <x:c r="S1019" t="n">
        <x:v>1</x:v>
      </x:c>
      <x:c r="T1019" t="n">
        <x:v>1</x:v>
      </x:c>
      <x:c r="U1019" t="n">
        <x:v>1</x:v>
      </x:c>
      <x:c r="V1019" t="n">
        <x:v>1</x:v>
      </x:c>
      <x:c r="W1019" t="n">
        <x:v>0</x:v>
      </x:c>
      <x:c r="X1019" t="n">
        <x:v>0</x:v>
      </x:c>
      <x:c r="Y1019" t="n">
        <x:v>0</x:v>
      </x:c>
      <x:c r="Z1019" t="n">
        <x:v>1</x:v>
      </x:c>
      <x:c r="AA1019" t="n">
        <x:v>4</x:v>
      </x:c>
      <x:c r="AB1019" t="str">
        <x:v>Pass</x:v>
      </x:c>
      <x:c r="AC1019" t="str"/>
      <x:c r="AD1019" t="str"/>
    </x:row>
    <x:row r="1020">
      <x:c r="A1020" t="str">
        <x:v>REC1019</x:v>
      </x:c>
      <x:c r="B1020" t="n">
        <x:v>1018</x:v>
      </x:c>
      <x:c r="C1020" t="str">
        <x:v>St. John, USVI</x:v>
      </x:c>
      <x:c r="D1020" t="str">
        <x:v>GV</x:v>
      </x:c>
      <x:c r="E1020" t="str">
        <x:v>Ground Validation</x:v>
      </x:c>
      <x:c r="F1020" t="str">
        <x:v>HD Seaviewer Drop Camera</x:v>
      </x:c>
      <x:c r="G1020" t="str">
        <x:v>GV2016_388</x:v>
      </x:c>
      <x:c r="H1020" s="28" t="n">
        <x:v>42613</x:v>
      </x:c>
      <x:c r="I1020" t="str">
        <x:v>12:08:55</x:v>
      </x:c>
      <x:c r="J1020" t="n">
        <x:v>2016</x:v>
      </x:c>
      <x:c r="K1020" t="n">
        <x:v>18.27366104</x:v>
      </x:c>
      <x:c r="L1020" t="n">
        <x:v>-64.8041071</x:v>
      </x:c>
      <x:c r="M1020" t="n">
        <x:v>35.03</x:v>
      </x:c>
      <x:c r="N1020" t="str">
        <x:v>https://nccospublicstor.blob.core.windows.net/biomapper/usviinsularshelf2017/videos/low/GV2016_388.mp4</x:v>
      </x:c>
      <x:c r="O1020" t="n">
        <x:v>0</x:v>
      </x:c>
      <x:c r="P1020" t="n">
        <x:v>1</x:v>
      </x:c>
      <x:c r="Q1020" t="n">
        <x:v>1</x:v>
      </x:c>
      <x:c r="R1020" t="n">
        <x:v>1</x:v>
      </x:c>
      <x:c r="S1020" t="n">
        <x:v>0</x:v>
      </x:c>
      <x:c r="T1020" t="n">
        <x:v>0</x:v>
      </x:c>
      <x:c r="U1020" t="n">
        <x:v>1</x:v>
      </x:c>
      <x:c r="V1020" t="n">
        <x:v>1</x:v>
      </x:c>
      <x:c r="W1020" t="n">
        <x:v>0</x:v>
      </x:c>
      <x:c r="X1020" t="n">
        <x:v>0</x:v>
      </x:c>
      <x:c r="Y1020" t="n">
        <x:v>0</x:v>
      </x:c>
      <x:c r="Z1020" t="n">
        <x:v>3</x:v>
      </x:c>
      <x:c r="AA1020" t="n">
        <x:v>2</x:v>
      </x:c>
      <x:c r="AB1020" t="str">
        <x:v>Pass</x:v>
      </x:c>
      <x:c r="AC1020" t="str"/>
      <x:c r="AD1020" t="str"/>
    </x:row>
    <x:row r="1021">
      <x:c r="A1021" t="str">
        <x:v>REC1020</x:v>
      </x:c>
      <x:c r="B1021" t="n">
        <x:v>1019</x:v>
      </x:c>
      <x:c r="C1021" t="str">
        <x:v>St. Thomas, USVI</x:v>
      </x:c>
      <x:c r="D1021" t="str">
        <x:v>GV</x:v>
      </x:c>
      <x:c r="E1021" t="str">
        <x:v>Ground Validation</x:v>
      </x:c>
      <x:c r="F1021" t="str">
        <x:v>HD Seaviewer Drop Camera</x:v>
      </x:c>
      <x:c r="G1021" t="str">
        <x:v>GV2016_389</x:v>
      </x:c>
      <x:c r="H1021" s="28" t="n">
        <x:v>42611</x:v>
      </x:c>
      <x:c r="I1021" t="str">
        <x:v>10:53:42</x:v>
      </x:c>
      <x:c r="J1021" t="n">
        <x:v>2016</x:v>
      </x:c>
      <x:c r="K1021" t="n">
        <x:v>18.23858509</x:v>
      </x:c>
      <x:c r="L1021" t="n">
        <x:v>-64.88880502</x:v>
      </x:c>
      <x:c r="M1021" t="n">
        <x:v>41.982</x:v>
      </x:c>
      <x:c r="N1021" t="str">
        <x:v>https://nccospublicstor.blob.core.windows.net/biomapper/usviinsularshelf2017/videos/low/GV2016_389.mp4</x:v>
      </x:c>
      <x:c r="O1021" t="n">
        <x:v>0</x:v>
      </x:c>
      <x:c r="P1021" t="n">
        <x:v>0</x:v>
      </x:c>
      <x:c r="Q1021" t="n">
        <x:v>1</x:v>
      </x:c>
      <x:c r="R1021" t="n">
        <x:v>1</x:v>
      </x:c>
      <x:c r="S1021" t="n">
        <x:v>0</x:v>
      </x:c>
      <x:c r="T1021" t="n">
        <x:v>0</x:v>
      </x:c>
      <x:c r="U1021" t="n">
        <x:v>1</x:v>
      </x:c>
      <x:c r="V1021" t="n">
        <x:v>1</x:v>
      </x:c>
      <x:c r="W1021" t="n">
        <x:v>0</x:v>
      </x:c>
      <x:c r="X1021" t="n">
        <x:v>0</x:v>
      </x:c>
      <x:c r="Y1021" t="n">
        <x:v>0</x:v>
      </x:c>
      <x:c r="Z1021" t="n">
        <x:v>2</x:v>
      </x:c>
      <x:c r="AA1021" t="n">
        <x:v>2</x:v>
      </x:c>
      <x:c r="AB1021" t="str">
        <x:v>Pass</x:v>
      </x:c>
      <x:c r="AC1021" t="str"/>
      <x:c r="AD1021" t="str"/>
    </x:row>
    <x:row r="1022">
      <x:c r="A1022" t="str">
        <x:v>REC1021</x:v>
      </x:c>
      <x:c r="B1022" t="n">
        <x:v>1020</x:v>
      </x:c>
      <x:c r="C1022" t="str">
        <x:v>Puerto Rico</x:v>
      </x:c>
      <x:c r="D1022" t="str">
        <x:v>GV</x:v>
      </x:c>
      <x:c r="E1022" t="str">
        <x:v>Ground Validation</x:v>
      </x:c>
      <x:c r="F1022" t="str">
        <x:v>HD Seaviewer Drop Camera</x:v>
      </x:c>
      <x:c r="G1022" t="str">
        <x:v>GV2016_390</x:v>
      </x:c>
      <x:c r="H1022" s="28" t="n">
        <x:v>42603</x:v>
      </x:c>
      <x:c r="I1022" t="str">
        <x:v>08:41:09</x:v>
      </x:c>
      <x:c r="J1022" t="n">
        <x:v>2016</x:v>
      </x:c>
      <x:c r="K1022" t="n">
        <x:v>18.14987354</x:v>
      </x:c>
      <x:c r="L1022" t="n">
        <x:v>-65.18731716</x:v>
      </x:c>
      <x:c r="M1022" t="n">
        <x:v>52.802</x:v>
      </x:c>
      <x:c r="N1022" t="str">
        <x:v>https://nccospublicstor.blob.core.windows.net/biomapper/usviinsularshelf2017/videos/low/GV2016_390.mp4</x:v>
      </x:c>
      <x:c r="O1022" t="n">
        <x:v>0</x:v>
      </x:c>
      <x:c r="P1022" t="n">
        <x:v>0</x:v>
      </x:c>
      <x:c r="Q1022" t="n">
        <x:v>1</x:v>
      </x:c>
      <x:c r="R1022" t="n">
        <x:v>0</x:v>
      </x:c>
      <x:c r="S1022" t="n">
        <x:v>0</x:v>
      </x:c>
      <x:c r="T1022" t="n">
        <x:v>0</x:v>
      </x:c>
      <x:c r="U1022" t="n">
        <x:v>1</x:v>
      </x:c>
      <x:c r="V1022" t="n">
        <x:v>1</x:v>
      </x:c>
      <x:c r="W1022" t="n">
        <x:v>0</x:v>
      </x:c>
      <x:c r="X1022" t="n">
        <x:v>0</x:v>
      </x:c>
      <x:c r="Y1022" t="n">
        <x:v>0</x:v>
      </x:c>
      <x:c r="Z1022" t="n">
        <x:v>1</x:v>
      </x:c>
      <x:c r="AA1022" t="n">
        <x:v>2</x:v>
      </x:c>
      <x:c r="AB1022" t="str">
        <x:v>Pass</x:v>
      </x:c>
      <x:c r="AC1022" t="str"/>
      <x:c r="AD1022" t="str"/>
    </x:row>
    <x:row r="1023">
      <x:c r="A1023" t="str">
        <x:v>REC1022</x:v>
      </x:c>
      <x:c r="B1023" t="n">
        <x:v>1021</x:v>
      </x:c>
      <x:c r="C1023" t="str">
        <x:v>Puerto Rico</x:v>
      </x:c>
      <x:c r="D1023" t="str">
        <x:v>GV</x:v>
      </x:c>
      <x:c r="E1023" t="str">
        <x:v>Ground Validation</x:v>
      </x:c>
      <x:c r="F1023" t="str">
        <x:v>HD Seaviewer Drop Camera</x:v>
      </x:c>
      <x:c r="G1023" t="str">
        <x:v>GV2016_391</x:v>
      </x:c>
      <x:c r="H1023" s="28" t="n">
        <x:v>42603</x:v>
      </x:c>
      <x:c r="I1023" t="str">
        <x:v>08:13:41</x:v>
      </x:c>
      <x:c r="J1023" t="n">
        <x:v>2016</x:v>
      </x:c>
      <x:c r="K1023" t="n">
        <x:v>18.15168186</x:v>
      </x:c>
      <x:c r="L1023" t="n">
        <x:v>-65.21365013</x:v>
      </x:c>
      <x:c r="M1023" t="n">
        <x:v>39.538</x:v>
      </x:c>
      <x:c r="N1023" t="str">
        <x:v>https://nccospublicstor.blob.core.windows.net/biomapper/usviinsularshelf2017/videos/low/GV2016_391.mp4</x:v>
      </x:c>
      <x:c r="O1023" t="n">
        <x:v>1</x:v>
      </x:c>
      <x:c r="P1023" t="n">
        <x:v>0</x:v>
      </x:c>
      <x:c r="Q1023" t="n">
        <x:v>0</x:v>
      </x:c>
      <x:c r="R1023" t="n">
        <x:v>0</x:v>
      </x:c>
      <x:c r="S1023" t="n">
        <x:v>1</x:v>
      </x:c>
      <x:c r="T1023" t="n">
        <x:v>1</x:v>
      </x:c>
      <x:c r="U1023" t="n">
        <x:v>1</x:v>
      </x:c>
      <x:c r="V1023" t="n">
        <x:v>1</x:v>
      </x:c>
      <x:c r="W1023" t="n">
        <x:v>0</x:v>
      </x:c>
      <x:c r="X1023" t="n">
        <x:v>0</x:v>
      </x:c>
      <x:c r="Y1023" t="n">
        <x:v>0</x:v>
      </x:c>
      <x:c r="Z1023" t="n">
        <x:v>1</x:v>
      </x:c>
      <x:c r="AA1023" t="n">
        <x:v>4</x:v>
      </x:c>
      <x:c r="AB1023" t="str">
        <x:v>Pass</x:v>
      </x:c>
      <x:c r="AC1023" t="str"/>
      <x:c r="AD1023" t="str">
        <x:v>lionfish @ 1:33</x:v>
      </x:c>
    </x:row>
    <x:row r="1024">
      <x:c r="A1024" t="str">
        <x:v>REC1023</x:v>
      </x:c>
      <x:c r="B1024" t="n">
        <x:v>1022</x:v>
      </x:c>
      <x:c r="C1024" t="str">
        <x:v>Puerto Rico</x:v>
      </x:c>
      <x:c r="D1024" t="str">
        <x:v>GV</x:v>
      </x:c>
      <x:c r="E1024" t="str">
        <x:v>Ground Validation</x:v>
      </x:c>
      <x:c r="F1024" t="str">
        <x:v>HD Seaviewer Drop Camera</x:v>
      </x:c>
      <x:c r="G1024" t="str">
        <x:v>GV2016_392</x:v>
      </x:c>
      <x:c r="H1024" s="28" t="n">
        <x:v>42603</x:v>
      </x:c>
      <x:c r="I1024" t="str">
        <x:v>11:44:06</x:v>
      </x:c>
      <x:c r="J1024" t="n">
        <x:v>2016</x:v>
      </x:c>
      <x:c r="K1024" t="n">
        <x:v>18.12100371</x:v>
      </x:c>
      <x:c r="L1024" t="n">
        <x:v>-65.21729254</x:v>
      </x:c>
      <x:c r="M1024" t="n">
        <x:v>45.333</x:v>
      </x:c>
      <x:c r="N1024" t="str">
        <x:v>https://nccospublicstor.blob.core.windows.net/biomapper/usviinsularshelf2017/videos/low/GV2016_392.mp4</x:v>
      </x:c>
      <x:c r="O1024" t="n">
        <x:v>0</x:v>
      </x:c>
      <x:c r="P1024" t="n">
        <x:v>0</x:v>
      </x:c>
      <x:c r="Q1024" t="n">
        <x:v>1</x:v>
      </x:c>
      <x:c r="R1024" t="n">
        <x:v>0</x:v>
      </x:c>
      <x:c r="S1024" t="n">
        <x:v>0</x:v>
      </x:c>
      <x:c r="T1024" t="n">
        <x:v>0</x:v>
      </x:c>
      <x:c r="U1024" t="n">
        <x:v>1</x:v>
      </x:c>
      <x:c r="V1024" t="n">
        <x:v>1</x:v>
      </x:c>
      <x:c r="W1024" t="n">
        <x:v>0</x:v>
      </x:c>
      <x:c r="X1024" t="n">
        <x:v>0</x:v>
      </x:c>
      <x:c r="Y1024" t="n">
        <x:v>0</x:v>
      </x:c>
      <x:c r="Z1024" t="n">
        <x:v>1</x:v>
      </x:c>
      <x:c r="AA1024" t="n">
        <x:v>2</x:v>
      </x:c>
      <x:c r="AB1024" t="str">
        <x:v>Pass</x:v>
      </x:c>
      <x:c r="AC1024" t="str"/>
      <x:c r="AD1024" t="str"/>
    </x:row>
    <x:row r="1025">
      <x:c r="A1025" t="str">
        <x:v>REC1024</x:v>
      </x:c>
      <x:c r="B1025" t="n">
        <x:v>1023</x:v>
      </x:c>
      <x:c r="C1025" t="str">
        <x:v>St. Thomas, USVI</x:v>
      </x:c>
      <x:c r="D1025" t="str">
        <x:v>GV</x:v>
      </x:c>
      <x:c r="E1025" t="str">
        <x:v>Ground Validation</x:v>
      </x:c>
      <x:c r="F1025" t="str">
        <x:v>HD Seaviewer Drop Camera</x:v>
      </x:c>
      <x:c r="G1025" t="str">
        <x:v>GV2016_393</x:v>
      </x:c>
      <x:c r="H1025" s="28" t="n">
        <x:v>42608</x:v>
      </x:c>
      <x:c r="I1025" t="str">
        <x:v>11:33:28</x:v>
      </x:c>
      <x:c r="J1025" t="n">
        <x:v>2016</x:v>
      </x:c>
      <x:c r="K1025" t="n">
        <x:v>18.21115356</x:v>
      </x:c>
      <x:c r="L1025" t="n">
        <x:v>-65.02322938</x:v>
      </x:c>
      <x:c r="M1025" t="n">
        <x:v>43.969</x:v>
      </x:c>
      <x:c r="N1025" t="str">
        <x:v>https://nccospublicstor.blob.core.windows.net/biomapper/usviinsularshelf2017/videos/low/GV2016_393.mp4</x:v>
      </x:c>
      <x:c r="O1025" t="n">
        <x:v>1</x:v>
      </x:c>
      <x:c r="P1025" t="n">
        <x:v>0</x:v>
      </x:c>
      <x:c r="Q1025" t="n">
        <x:v>0</x:v>
      </x:c>
      <x:c r="R1025" t="n">
        <x:v>1</x:v>
      </x:c>
      <x:c r="S1025" t="n">
        <x:v>1</x:v>
      </x:c>
      <x:c r="T1025" t="n">
        <x:v>0</x:v>
      </x:c>
      <x:c r="U1025" t="n">
        <x:v>1</x:v>
      </x:c>
      <x:c r="V1025" t="n">
        <x:v>1</x:v>
      </x:c>
      <x:c r="W1025" t="n">
        <x:v>0</x:v>
      </x:c>
      <x:c r="X1025" t="n">
        <x:v>0</x:v>
      </x:c>
      <x:c r="Y1025" t="n">
        <x:v>0</x:v>
      </x:c>
      <x:c r="Z1025" t="n">
        <x:v>2</x:v>
      </x:c>
      <x:c r="AA1025" t="n">
        <x:v>3</x:v>
      </x:c>
      <x:c r="AB1025" t="str">
        <x:v>Pass</x:v>
      </x:c>
      <x:c r="AC1025" t="str"/>
      <x:c r="AD1025" t="str">
        <x:v>Spotted Trunkfish 1:06</x:v>
      </x:c>
    </x:row>
    <x:row r="1026">
      <x:c r="A1026" t="str">
        <x:v>REC1025</x:v>
      </x:c>
      <x:c r="B1026" t="n">
        <x:v>1024</x:v>
      </x:c>
      <x:c r="C1026" t="str">
        <x:v>Puerto Rico</x:v>
      </x:c>
      <x:c r="D1026" t="str">
        <x:v>GV</x:v>
      </x:c>
      <x:c r="E1026" t="str">
        <x:v>Ground Validation</x:v>
      </x:c>
      <x:c r="F1026" t="str">
        <x:v>HD Seaviewer Drop Camera</x:v>
      </x:c>
      <x:c r="G1026" t="str">
        <x:v>GV2016_394</x:v>
      </x:c>
      <x:c r="H1026" s="28" t="n">
        <x:v>42604</x:v>
      </x:c>
      <x:c r="I1026" t="str">
        <x:v>10:17:41</x:v>
      </x:c>
      <x:c r="J1026" t="n">
        <x:v>2016</x:v>
      </x:c>
      <x:c r="K1026" t="n">
        <x:v>18.18007884</x:v>
      </x:c>
      <x:c r="L1026" t="n">
        <x:v>-65.20238314</x:v>
      </x:c>
      <x:c r="M1026" t="n">
        <x:v>40.73</x:v>
      </x:c>
      <x:c r="N1026" t="str">
        <x:v>https://nccospublicstor.blob.core.windows.net/biomapper/usviinsularshelf2017/videos/low/GV2016_394.mp4</x:v>
      </x:c>
      <x:c r="O1026" t="n">
        <x:v>1</x:v>
      </x:c>
      <x:c r="P1026" t="n">
        <x:v>0</x:v>
      </x:c>
      <x:c r="Q1026" t="n">
        <x:v>0</x:v>
      </x:c>
      <x:c r="R1026" t="n">
        <x:v>0</x:v>
      </x:c>
      <x:c r="S1026" t="n">
        <x:v>1</x:v>
      </x:c>
      <x:c r="T1026" t="n">
        <x:v>1</x:v>
      </x:c>
      <x:c r="U1026" t="n">
        <x:v>1</x:v>
      </x:c>
      <x:c r="V1026" t="n">
        <x:v>1</x:v>
      </x:c>
      <x:c r="W1026" t="n">
        <x:v>0</x:v>
      </x:c>
      <x:c r="X1026" t="n">
        <x:v>0</x:v>
      </x:c>
      <x:c r="Y1026" t="n">
        <x:v>0</x:v>
      </x:c>
      <x:c r="Z1026" t="n">
        <x:v>1</x:v>
      </x:c>
      <x:c r="AA1026" t="n">
        <x:v>4</x:v>
      </x:c>
      <x:c r="AB1026" t="str">
        <x:v>Pass</x:v>
      </x:c>
      <x:c r="AC1026" t="str"/>
      <x:c r="AD1026" t="str"/>
    </x:row>
    <x:row r="1027">
      <x:c r="A1027" t="str">
        <x:v>REC1026</x:v>
      </x:c>
      <x:c r="B1027" t="n">
        <x:v>1025</x:v>
      </x:c>
      <x:c r="C1027" t="str">
        <x:v>St. John, USVI</x:v>
      </x:c>
      <x:c r="D1027" t="str">
        <x:v>GV</x:v>
      </x:c>
      <x:c r="E1027" t="str">
        <x:v>Ground Validation</x:v>
      </x:c>
      <x:c r="F1027" t="str">
        <x:v>HD Seaviewer Drop Camera</x:v>
      </x:c>
      <x:c r="G1027" t="str">
        <x:v>GV2016_395</x:v>
      </x:c>
      <x:c r="H1027" s="28" t="n">
        <x:v>42625</x:v>
      </x:c>
      <x:c r="I1027" t="str">
        <x:v>09:53:22</x:v>
      </x:c>
      <x:c r="J1027" t="n">
        <x:v>2016</x:v>
      </x:c>
      <x:c r="K1027" t="n">
        <x:v>18.24996948</x:v>
      </x:c>
      <x:c r="L1027" t="n">
        <x:v>-64.66503911</x:v>
      </x:c>
      <x:c r="M1027" t="n">
        <x:v>45.959</x:v>
      </x:c>
      <x:c r="N1027" t="str">
        <x:v>https://nccospublicstor.blob.core.windows.net/biomapper/usviinsularshelf2017/videos/low/GV2016_395.mp4</x:v>
      </x:c>
      <x:c r="O1027" t="n">
        <x:v>1</x:v>
      </x:c>
      <x:c r="P1027" t="n">
        <x:v>0</x:v>
      </x:c>
      <x:c r="Q1027" t="n">
        <x:v>0</x:v>
      </x:c>
      <x:c r="R1027" t="n">
        <x:v>1</x:v>
      </x:c>
      <x:c r="S1027" t="n">
        <x:v>1</x:v>
      </x:c>
      <x:c r="T1027" t="n">
        <x:v>0</x:v>
      </x:c>
      <x:c r="U1027" t="n">
        <x:v>1</x:v>
      </x:c>
      <x:c r="V1027" t="n">
        <x:v>1</x:v>
      </x:c>
      <x:c r="W1027" t="n">
        <x:v>0</x:v>
      </x:c>
      <x:c r="X1027" t="n">
        <x:v>0</x:v>
      </x:c>
      <x:c r="Y1027" t="n">
        <x:v>0</x:v>
      </x:c>
      <x:c r="Z1027" t="n">
        <x:v>2</x:v>
      </x:c>
      <x:c r="AA1027" t="n">
        <x:v>3</x:v>
      </x:c>
      <x:c r="AB1027" t="str">
        <x:v>Pass</x:v>
      </x:c>
      <x:c r="AC1027" t="str"/>
      <x:c r="AD1027" t="str"/>
    </x:row>
    <x:row r="1028">
      <x:c r="A1028" t="str">
        <x:v>REC1027</x:v>
      </x:c>
      <x:c r="B1028" t="n">
        <x:v>1026</x:v>
      </x:c>
      <x:c r="C1028" t="str">
        <x:v>St. Thomas, USVI</x:v>
      </x:c>
      <x:c r="D1028" t="str">
        <x:v>GV</x:v>
      </x:c>
      <x:c r="E1028" t="str">
        <x:v>Ground Validation</x:v>
      </x:c>
      <x:c r="F1028" t="str">
        <x:v>HD Seaviewer Drop Camera</x:v>
      </x:c>
      <x:c r="G1028" t="str">
        <x:v>GV2016_396</x:v>
      </x:c>
      <x:c r="H1028" s="28" t="n">
        <x:v>42602</x:v>
      </x:c>
      <x:c r="I1028" t="str">
        <x:v>12:51:31</x:v>
      </x:c>
      <x:c r="J1028" t="n">
        <x:v>2016</x:v>
      </x:c>
      <x:c r="K1028" t="n">
        <x:v>18.27795129</x:v>
      </x:c>
      <x:c r="L1028" t="n">
        <x:v>-65.096732</x:v>
      </x:c>
      <x:c r="M1028" t="n">
        <x:v>34.925</x:v>
      </x:c>
      <x:c r="N1028" t="str">
        <x:v>https://nccospublicstor.blob.core.windows.net/biomapper/usviinsularshelf2017/videos/low/GV2016_396.mp4</x:v>
      </x:c>
      <x:c r="O1028" t="n">
        <x:v>0</x:v>
      </x:c>
      <x:c r="P1028" t="n">
        <x:v>0</x:v>
      </x:c>
      <x:c r="Q1028" t="n">
        <x:v>0</x:v>
      </x:c>
      <x:c r="R1028" t="n">
        <x:v>1</x:v>
      </x:c>
      <x:c r="S1028" t="n">
        <x:v>0</x:v>
      </x:c>
      <x:c r="T1028" t="n">
        <x:v>1</x:v>
      </x:c>
      <x:c r="U1028" t="n">
        <x:v>0</x:v>
      </x:c>
      <x:c r="V1028" t="n">
        <x:v>1</x:v>
      </x:c>
      <x:c r="W1028" t="n">
        <x:v>0</x:v>
      </x:c>
      <x:c r="X1028" t="n">
        <x:v>0</x:v>
      </x:c>
      <x:c r="Y1028" t="n">
        <x:v>0</x:v>
      </x:c>
      <x:c r="Z1028" t="n">
        <x:v>1</x:v>
      </x:c>
      <x:c r="AA1028" t="n">
        <x:v>2</x:v>
      </x:c>
      <x:c r="AB1028" t="str">
        <x:v>Pass</x:v>
      </x:c>
      <x:c r="AC1028" t="str"/>
      <x:c r="AD1028" t="str"/>
    </x:row>
    <x:row r="1029">
      <x:c r="A1029" t="str">
        <x:v>REC1028</x:v>
      </x:c>
      <x:c r="B1029" t="n">
        <x:v>1027</x:v>
      </x:c>
      <x:c r="C1029" t="str">
        <x:v>St. Thomas, USVI</x:v>
      </x:c>
      <x:c r="D1029" t="str">
        <x:v>GV</x:v>
      </x:c>
      <x:c r="E1029" t="str">
        <x:v>Ground Validation</x:v>
      </x:c>
      <x:c r="F1029" t="str">
        <x:v>HD Seaviewer Drop Camera</x:v>
      </x:c>
      <x:c r="G1029" t="str">
        <x:v>GV2016_397</x:v>
      </x:c>
      <x:c r="H1029" s="28" t="n">
        <x:v>42608</x:v>
      </x:c>
      <x:c r="I1029" t="str">
        <x:v>10:50:59</x:v>
      </x:c>
      <x:c r="J1029" t="n">
        <x:v>2016</x:v>
      </x:c>
      <x:c r="K1029" t="n">
        <x:v>18.21997176</x:v>
      </x:c>
      <x:c r="L1029" t="n">
        <x:v>-65.00792763</x:v>
      </x:c>
      <x:c r="M1029" t="n">
        <x:v>42.224</x:v>
      </x:c>
      <x:c r="N1029" t="str">
        <x:v>https://nccospublicstor.blob.core.windows.net/biomapper/usviinsularshelf2017/videos/low/GV2016_397.mp4</x:v>
      </x:c>
      <x:c r="O1029" t="n">
        <x:v>0</x:v>
      </x:c>
      <x:c r="P1029" t="n">
        <x:v>0</x:v>
      </x:c>
      <x:c r="Q1029" t="n">
        <x:v>0</x:v>
      </x:c>
      <x:c r="R1029" t="n">
        <x:v>1</x:v>
      </x:c>
      <x:c r="S1029" t="n">
        <x:v>0</x:v>
      </x:c>
      <x:c r="T1029" t="n">
        <x:v>0</x:v>
      </x:c>
      <x:c r="U1029" t="n">
        <x:v>1</x:v>
      </x:c>
      <x:c r="V1029" t="n">
        <x:v>1</x:v>
      </x:c>
      <x:c r="W1029" t="n">
        <x:v>0</x:v>
      </x:c>
      <x:c r="X1029" t="n">
        <x:v>0</x:v>
      </x:c>
      <x:c r="Y1029" t="n">
        <x:v>0</x:v>
      </x:c>
      <x:c r="Z1029" t="n">
        <x:v>1</x:v>
      </x:c>
      <x:c r="AA1029" t="n">
        <x:v>2</x:v>
      </x:c>
      <x:c r="AB1029" t="str">
        <x:v>Pass</x:v>
      </x:c>
      <x:c r="AC1029" t="str"/>
      <x:c r="AD1029" t="str">
        <x:v>Grat Barracuda 00:18 and two sharks 1:39</x:v>
      </x:c>
    </x:row>
    <x:row r="1030">
      <x:c r="A1030" t="str">
        <x:v>REC1029</x:v>
      </x:c>
      <x:c r="B1030" t="n">
        <x:v>1028</x:v>
      </x:c>
      <x:c r="C1030" t="str">
        <x:v>Puerto Rico</x:v>
      </x:c>
      <x:c r="D1030" t="str">
        <x:v>GV</x:v>
      </x:c>
      <x:c r="E1030" t="str">
        <x:v>Ground Validation</x:v>
      </x:c>
      <x:c r="F1030" t="str">
        <x:v>HD Seaviewer Drop Camera</x:v>
      </x:c>
      <x:c r="G1030" t="str">
        <x:v>GV2016_398</x:v>
      </x:c>
      <x:c r="H1030" s="28" t="n">
        <x:v>42604</x:v>
      </x:c>
      <x:c r="I1030" t="str">
        <x:v>10:36:43</x:v>
      </x:c>
      <x:c r="J1030" t="n">
        <x:v>2016</x:v>
      </x:c>
      <x:c r="K1030" t="n">
        <x:v>18.19049489</x:v>
      </x:c>
      <x:c r="L1030" t="n">
        <x:v>-65.20871503</x:v>
      </x:c>
      <x:c r="M1030" t="n">
        <x:v>36.6</x:v>
      </x:c>
      <x:c r="N1030" t="str">
        <x:v>https://nccospublicstor.blob.core.windows.net/biomapper/usviinsularshelf2017/videos/low/GV2016_398.mp4</x:v>
      </x:c>
      <x:c r="O1030" t="n">
        <x:v>1</x:v>
      </x:c>
      <x:c r="P1030" t="n">
        <x:v>0</x:v>
      </x:c>
      <x:c r="Q1030" t="n">
        <x:v>0</x:v>
      </x:c>
      <x:c r="R1030" t="n">
        <x:v>0</x:v>
      </x:c>
      <x:c r="S1030" t="n">
        <x:v>1</x:v>
      </x:c>
      <x:c r="T1030" t="n">
        <x:v>0</x:v>
      </x:c>
      <x:c r="U1030" t="n">
        <x:v>1</x:v>
      </x:c>
      <x:c r="V1030" t="n">
        <x:v>1</x:v>
      </x:c>
      <x:c r="W1030" t="n">
        <x:v>0</x:v>
      </x:c>
      <x:c r="X1030" t="n">
        <x:v>0</x:v>
      </x:c>
      <x:c r="Y1030" t="n">
        <x:v>0</x:v>
      </x:c>
      <x:c r="Z1030" t="n">
        <x:v>1</x:v>
      </x:c>
      <x:c r="AA1030" t="n">
        <x:v>3</x:v>
      </x:c>
      <x:c r="AB1030" t="str">
        <x:v>Pass</x:v>
      </x:c>
      <x:c r="AC1030" t="str"/>
      <x:c r="AD1030" t="str"/>
    </x:row>
    <x:row r="1031">
      <x:c r="A1031" t="str">
        <x:v>REC1030</x:v>
      </x:c>
      <x:c r="B1031" t="n">
        <x:v>1029</x:v>
      </x:c>
      <x:c r="C1031" t="str">
        <x:v>St. Thomas, USVI</x:v>
      </x:c>
      <x:c r="D1031" t="str">
        <x:v>GV</x:v>
      </x:c>
      <x:c r="E1031" t="str">
        <x:v>Ground Validation</x:v>
      </x:c>
      <x:c r="F1031" t="str">
        <x:v>HD Seaviewer Drop Camera</x:v>
      </x:c>
      <x:c r="G1031" t="str">
        <x:v>GV2016_399</x:v>
      </x:c>
      <x:c r="H1031" s="28" t="n">
        <x:v>42629</x:v>
      </x:c>
      <x:c r="I1031" t="str">
        <x:v>09:38:14</x:v>
      </x:c>
      <x:c r="J1031" t="n">
        <x:v>2016</x:v>
      </x:c>
      <x:c r="K1031" t="n">
        <x:v>18.20922574</x:v>
      </x:c>
      <x:c r="L1031" t="n">
        <x:v>-64.82704068</x:v>
      </x:c>
      <x:c r="M1031" t="n">
        <x:v>55.068</x:v>
      </x:c>
      <x:c r="N1031" t="str">
        <x:v>https://nccospublicstor.blob.core.windows.net/biomapper/usviinsularshelf2017/videos/low/GV2016_399.mp4</x:v>
      </x:c>
      <x:c r="O1031" t="n">
        <x:v>0</x:v>
      </x:c>
      <x:c r="P1031" t="n">
        <x:v>0</x:v>
      </x:c>
      <x:c r="Q1031" t="n">
        <x:v>1</x:v>
      </x:c>
      <x:c r="R1031" t="n">
        <x:v>0</x:v>
      </x:c>
      <x:c r="S1031" t="n">
        <x:v>1</x:v>
      </x:c>
      <x:c r="T1031" t="n">
        <x:v>0</x:v>
      </x:c>
      <x:c r="U1031" t="n">
        <x:v>1</x:v>
      </x:c>
      <x:c r="V1031" t="n">
        <x:v>1</x:v>
      </x:c>
      <x:c r="W1031" t="n">
        <x:v>0</x:v>
      </x:c>
      <x:c r="X1031" t="n">
        <x:v>0</x:v>
      </x:c>
      <x:c r="Y1031" t="n">
        <x:v>0</x:v>
      </x:c>
      <x:c r="Z1031" t="n">
        <x:v>1</x:v>
      </x:c>
      <x:c r="AA1031" t="n">
        <x:v>3</x:v>
      </x:c>
      <x:c r="AB1031" t="str">
        <x:v>Pass</x:v>
      </x:c>
      <x:c r="AC1031" t="str"/>
      <x:c r="AD1031" t="str"/>
    </x:row>
    <x:row r="1032">
      <x:c r="A1032" t="str">
        <x:v>REC1031</x:v>
      </x:c>
      <x:c r="B1032" t="n">
        <x:v>1030</x:v>
      </x:c>
      <x:c r="C1032" t="str">
        <x:v>St. Thomas, USVI</x:v>
      </x:c>
      <x:c r="D1032" t="str">
        <x:v>GV</x:v>
      </x:c>
      <x:c r="E1032" t="str">
        <x:v>Ground Validation</x:v>
      </x:c>
      <x:c r="F1032" t="str">
        <x:v>HD Seaviewer Drop Camera</x:v>
      </x:c>
      <x:c r="G1032" t="str">
        <x:v>GV2016_400</x:v>
      </x:c>
      <x:c r="H1032" s="28" t="n">
        <x:v>42609</x:v>
      </x:c>
      <x:c r="I1032" t="str">
        <x:v>13:31:21</x:v>
      </x:c>
      <x:c r="J1032" t="n">
        <x:v>2016</x:v>
      </x:c>
      <x:c r="K1032" t="n">
        <x:v>18.22756367</x:v>
      </x:c>
      <x:c r="L1032" t="n">
        <x:v>-65.00754419</x:v>
      </x:c>
      <x:c r="M1032" t="n">
        <x:v>41.029</x:v>
      </x:c>
      <x:c r="N1032" t="str">
        <x:v>https://nccospublicstor.blob.core.windows.net/biomapper/usviinsularshelf2017/videos/low/GV2016_400.mp4</x:v>
      </x:c>
      <x:c r="O1032" t="n">
        <x:v>0</x:v>
      </x:c>
      <x:c r="P1032" t="n">
        <x:v>0</x:v>
      </x:c>
      <x:c r="Q1032" t="n">
        <x:v>1</x:v>
      </x:c>
      <x:c r="R1032" t="n">
        <x:v>1</x:v>
      </x:c>
      <x:c r="S1032" t="n">
        <x:v>0</x:v>
      </x:c>
      <x:c r="T1032" t="n">
        <x:v>0</x:v>
      </x:c>
      <x:c r="U1032" t="n">
        <x:v>1</x:v>
      </x:c>
      <x:c r="V1032" t="n">
        <x:v>1</x:v>
      </x:c>
      <x:c r="W1032" t="n">
        <x:v>0</x:v>
      </x:c>
      <x:c r="X1032" t="n">
        <x:v>0</x:v>
      </x:c>
      <x:c r="Y1032" t="n">
        <x:v>0</x:v>
      </x:c>
      <x:c r="Z1032" t="n">
        <x:v>2</x:v>
      </x:c>
      <x:c r="AA1032" t="n">
        <x:v>2</x:v>
      </x:c>
      <x:c r="AB1032" t="str">
        <x:v>Pass</x:v>
      </x:c>
      <x:c r="AC1032" t="str"/>
      <x:c r="AD1032" t="str"/>
    </x:row>
    <x:row r="1033">
      <x:c r="A1033" t="str">
        <x:v>REC1032</x:v>
      </x:c>
      <x:c r="B1033" t="n">
        <x:v>1031</x:v>
      </x:c>
      <x:c r="C1033" t="str">
        <x:v>St. John, USVI</x:v>
      </x:c>
      <x:c r="D1033" t="str">
        <x:v>GV</x:v>
      </x:c>
      <x:c r="E1033" t="str">
        <x:v>Ground Validation</x:v>
      </x:c>
      <x:c r="F1033" t="str">
        <x:v>HD Seaviewer Drop Camera</x:v>
      </x:c>
      <x:c r="G1033" t="str">
        <x:v>GV2016_402</x:v>
      </x:c>
      <x:c r="H1033" s="28" t="n">
        <x:v>42630</x:v>
      </x:c>
      <x:c r="I1033" t="str">
        <x:v>07:26:33</x:v>
      </x:c>
      <x:c r="J1033" t="n">
        <x:v>2016</x:v>
      </x:c>
      <x:c r="K1033" t="n">
        <x:v>18.2515213</x:v>
      </x:c>
      <x:c r="L1033" t="n">
        <x:v>-64.75551689</x:v>
      </x:c>
      <x:c r="M1033" t="n">
        <x:v>45.195</x:v>
      </x:c>
      <x:c r="N1033" t="str">
        <x:v>https://nccospublicstor.blob.core.windows.net/biomapper/usviinsularshelf2017/videos/low/GV2016_402.mp4</x:v>
      </x:c>
      <x:c r="O1033" t="n">
        <x:v>0</x:v>
      </x:c>
      <x:c r="P1033" t="n">
        <x:v>0</x:v>
      </x:c>
      <x:c r="Q1033" t="n">
        <x:v>1</x:v>
      </x:c>
      <x:c r="R1033" t="n">
        <x:v>0</x:v>
      </x:c>
      <x:c r="S1033" t="n">
        <x:v>0</x:v>
      </x:c>
      <x:c r="T1033" t="n">
        <x:v>0</x:v>
      </x:c>
      <x:c r="U1033" t="n">
        <x:v>1</x:v>
      </x:c>
      <x:c r="V1033" t="n">
        <x:v>1</x:v>
      </x:c>
      <x:c r="W1033" t="n">
        <x:v>0</x:v>
      </x:c>
      <x:c r="X1033" t="n">
        <x:v>0</x:v>
      </x:c>
      <x:c r="Y1033" t="n">
        <x:v>0</x:v>
      </x:c>
      <x:c r="Z1033" t="n">
        <x:v>1</x:v>
      </x:c>
      <x:c r="AA1033" t="n">
        <x:v>2</x:v>
      </x:c>
      <x:c r="AB1033" t="str">
        <x:v>Pass</x:v>
      </x:c>
      <x:c r="AC1033" t="str"/>
      <x:c r="AD1033" t="str"/>
    </x:row>
    <x:row r="1034">
      <x:c r="A1034" t="str">
        <x:v>REC1033</x:v>
      </x:c>
      <x:c r="B1034" t="n">
        <x:v>1032</x:v>
      </x:c>
      <x:c r="C1034" t="str">
        <x:v>St. John, USVI</x:v>
      </x:c>
      <x:c r="D1034" t="str">
        <x:v>GV</x:v>
      </x:c>
      <x:c r="E1034" t="str">
        <x:v>Ground Validation</x:v>
      </x:c>
      <x:c r="F1034" t="str">
        <x:v>HD Seaviewer Drop Camera</x:v>
      </x:c>
      <x:c r="G1034" t="str">
        <x:v>GV2016_403</x:v>
      </x:c>
      <x:c r="H1034" s="28" t="n">
        <x:v>42630</x:v>
      </x:c>
      <x:c r="I1034" t="str">
        <x:v>09:20:46</x:v>
      </x:c>
      <x:c r="J1034" t="n">
        <x:v>2016</x:v>
      </x:c>
      <x:c r="K1034" t="n">
        <x:v>18.2383665</x:v>
      </x:c>
      <x:c r="L1034" t="n">
        <x:v>-64.69756533</x:v>
      </x:c>
      <x:c r="M1034" t="n">
        <x:v>49.891</x:v>
      </x:c>
      <x:c r="N1034" t="str">
        <x:v>https://nccospublicstor.blob.core.windows.net/biomapper/usviinsularshelf2017/videos/low/GV2016_403.mp4</x:v>
      </x:c>
      <x:c r="O1034" t="n">
        <x:v>0</x:v>
      </x:c>
      <x:c r="P1034" t="n">
        <x:v>1</x:v>
      </x:c>
      <x:c r="Q1034" t="n">
        <x:v>1</x:v>
      </x:c>
      <x:c r="R1034" t="n">
        <x:v>0</x:v>
      </x:c>
      <x:c r="S1034" t="n">
        <x:v>1</x:v>
      </x:c>
      <x:c r="T1034" t="n">
        <x:v>1</x:v>
      </x:c>
      <x:c r="U1034" t="n">
        <x:v>1</x:v>
      </x:c>
      <x:c r="V1034" t="n">
        <x:v>1</x:v>
      </x:c>
      <x:c r="W1034" t="n">
        <x:v>0</x:v>
      </x:c>
      <x:c r="X1034" t="n">
        <x:v>0</x:v>
      </x:c>
      <x:c r="Y1034" t="n">
        <x:v>0</x:v>
      </x:c>
      <x:c r="Z1034" t="n">
        <x:v>2</x:v>
      </x:c>
      <x:c r="AA1034" t="n">
        <x:v>4</x:v>
      </x:c>
      <x:c r="AB1034" t="str">
        <x:v>Pass</x:v>
      </x:c>
      <x:c r="AC1034" t="str"/>
      <x:c r="AD1034" t="str">
        <x:v>SeaWhip</x:v>
      </x:c>
    </x:row>
    <x:row r="1035">
      <x:c r="A1035" t="str">
        <x:v>REC1034</x:v>
      </x:c>
      <x:c r="B1035" t="n">
        <x:v>1033</x:v>
      </x:c>
      <x:c r="C1035" t="str">
        <x:v>Puerto Rico</x:v>
      </x:c>
      <x:c r="D1035" t="str">
        <x:v>GV</x:v>
      </x:c>
      <x:c r="E1035" t="str">
        <x:v>Ground Validation</x:v>
      </x:c>
      <x:c r="F1035" t="str">
        <x:v>HD Seaviewer Drop Camera</x:v>
      </x:c>
      <x:c r="G1035" t="str">
        <x:v>GV2016_404</x:v>
      </x:c>
      <x:c r="H1035" s="28" t="n">
        <x:v>42607</x:v>
      </x:c>
      <x:c r="I1035" t="str">
        <x:v>10:43:04</x:v>
      </x:c>
      <x:c r="J1035" t="n">
        <x:v>2016</x:v>
      </x:c>
      <x:c r="K1035" t="n">
        <x:v>18.2405358</x:v>
      </x:c>
      <x:c r="L1035" t="n">
        <x:v>-65.16413909</x:v>
      </x:c>
      <x:c r="M1035" t="n">
        <x:v>34.167</x:v>
      </x:c>
      <x:c r="N1035" t="str">
        <x:v>https://nccospublicstor.blob.core.windows.net/biomapper/usviinsularshelf2017/videos/low/GV2016_404.mp4</x:v>
      </x:c>
      <x:c r="O1035" t="n">
        <x:v>1</x:v>
      </x:c>
      <x:c r="P1035" t="n">
        <x:v>0</x:v>
      </x:c>
      <x:c r="Q1035" t="n">
        <x:v>0</x:v>
      </x:c>
      <x:c r="R1035" t="n">
        <x:v>0</x:v>
      </x:c>
      <x:c r="S1035" t="n">
        <x:v>1</x:v>
      </x:c>
      <x:c r="T1035" t="n">
        <x:v>1</x:v>
      </x:c>
      <x:c r="U1035" t="n">
        <x:v>1</x:v>
      </x:c>
      <x:c r="V1035" t="n">
        <x:v>1</x:v>
      </x:c>
      <x:c r="W1035" t="n">
        <x:v>0</x:v>
      </x:c>
      <x:c r="X1035" t="n">
        <x:v>0</x:v>
      </x:c>
      <x:c r="Y1035" t="n">
        <x:v>0</x:v>
      </x:c>
      <x:c r="Z1035" t="n">
        <x:v>1</x:v>
      </x:c>
      <x:c r="AA1035" t="n">
        <x:v>4</x:v>
      </x:c>
      <x:c r="AB1035" t="str">
        <x:v>Pass</x:v>
      </x:c>
      <x:c r="AC1035" t="str"/>
      <x:c r="AD1035" t="str"/>
    </x:row>
    <x:row r="1036">
      <x:c r="A1036" t="str">
        <x:v>REC1035</x:v>
      </x:c>
      <x:c r="B1036" t="n">
        <x:v>1034</x:v>
      </x:c>
      <x:c r="C1036" t="str">
        <x:v>Puerto Rico</x:v>
      </x:c>
      <x:c r="D1036" t="str">
        <x:v>GV</x:v>
      </x:c>
      <x:c r="E1036" t="str">
        <x:v>Ground Validation</x:v>
      </x:c>
      <x:c r="F1036" t="str">
        <x:v>HD Seaviewer Drop Camera</x:v>
      </x:c>
      <x:c r="G1036" t="str">
        <x:v>GV2016_405</x:v>
      </x:c>
      <x:c r="H1036" s="28" t="n">
        <x:v>42603</x:v>
      </x:c>
      <x:c r="I1036" t="str">
        <x:v>09:32:32</x:v>
      </x:c>
      <x:c r="J1036" t="n">
        <x:v>2016</x:v>
      </x:c>
      <x:c r="K1036" t="n">
        <x:v>18.13420962</x:v>
      </x:c>
      <x:c r="L1036" t="n">
        <x:v>-65.21918616</x:v>
      </x:c>
      <x:c r="M1036" t="n">
        <x:v>39.299</x:v>
      </x:c>
      <x:c r="N1036" t="str">
        <x:v>https://nccospublicstor.blob.core.windows.net/biomapper/usviinsularshelf2017/videos/low/GV2016_405.mp4</x:v>
      </x:c>
      <x:c r="O1036" t="n">
        <x:v>0</x:v>
      </x:c>
      <x:c r="P1036" t="n">
        <x:v>0</x:v>
      </x:c>
      <x:c r="Q1036" t="n">
        <x:v>1</x:v>
      </x:c>
      <x:c r="R1036" t="n">
        <x:v>0</x:v>
      </x:c>
      <x:c r="S1036" t="n">
        <x:v>1</x:v>
      </x:c>
      <x:c r="T1036" t="n">
        <x:v>0</x:v>
      </x:c>
      <x:c r="U1036" t="n">
        <x:v>1</x:v>
      </x:c>
      <x:c r="V1036" t="n">
        <x:v>1</x:v>
      </x:c>
      <x:c r="W1036" t="n">
        <x:v>0</x:v>
      </x:c>
      <x:c r="X1036" t="n">
        <x:v>0</x:v>
      </x:c>
      <x:c r="Y1036" t="n">
        <x:v>0</x:v>
      </x:c>
      <x:c r="Z1036" t="n">
        <x:v>1</x:v>
      </x:c>
      <x:c r="AA1036" t="n">
        <x:v>3</x:v>
      </x:c>
      <x:c r="AB1036" t="str">
        <x:v>Pass</x:v>
      </x:c>
      <x:c r="AC1036" t="str"/>
      <x:c r="AD1036" t="str"/>
    </x:row>
    <x:row r="1037">
      <x:c r="A1037" t="str">
        <x:v>REC1036</x:v>
      </x:c>
      <x:c r="B1037" t="n">
        <x:v>1035</x:v>
      </x:c>
      <x:c r="C1037" t="str">
        <x:v>Puerto Rico</x:v>
      </x:c>
      <x:c r="D1037" t="str">
        <x:v>GV</x:v>
      </x:c>
      <x:c r="E1037" t="str">
        <x:v>Ground Validation</x:v>
      </x:c>
      <x:c r="F1037" t="str">
        <x:v>HD Seaviewer Drop Camera</x:v>
      </x:c>
      <x:c r="G1037" t="str">
        <x:v>GV2016_406</x:v>
      </x:c>
      <x:c r="H1037" s="28" t="n">
        <x:v>42605</x:v>
      </x:c>
      <x:c r="I1037" t="str">
        <x:v>10:58:38</x:v>
      </x:c>
      <x:c r="J1037" t="n">
        <x:v>2016</x:v>
      </x:c>
      <x:c r="K1037" t="n">
        <x:v>18.20023724</x:v>
      </x:c>
      <x:c r="L1037" t="n">
        <x:v>-65.1406495</x:v>
      </x:c>
      <x:c r="M1037" t="n">
        <x:v>37.182</x:v>
      </x:c>
      <x:c r="N1037" t="str">
        <x:v>https://nccospublicstor.blob.core.windows.net/biomapper/usviinsularshelf2017/videos/low/GV2016_406.mp4</x:v>
      </x:c>
      <x:c r="O1037" t="n">
        <x:v>1</x:v>
      </x:c>
      <x:c r="P1037" t="n">
        <x:v>0</x:v>
      </x:c>
      <x:c r="Q1037" t="n">
        <x:v>0</x:v>
      </x:c>
      <x:c r="R1037" t="n">
        <x:v>0</x:v>
      </x:c>
      <x:c r="S1037" t="n">
        <x:v>1</x:v>
      </x:c>
      <x:c r="T1037" t="n">
        <x:v>0</x:v>
      </x:c>
      <x:c r="U1037" t="n">
        <x:v>1</x:v>
      </x:c>
      <x:c r="V1037" t="n">
        <x:v>1</x:v>
      </x:c>
      <x:c r="W1037" t="n">
        <x:v>0</x:v>
      </x:c>
      <x:c r="X1037" t="n">
        <x:v>0</x:v>
      </x:c>
      <x:c r="Y1037" t="n">
        <x:v>0</x:v>
      </x:c>
      <x:c r="Z1037" t="n">
        <x:v>1</x:v>
      </x:c>
      <x:c r="AA1037" t="n">
        <x:v>3</x:v>
      </x:c>
      <x:c r="AB1037" t="str">
        <x:v>Pass</x:v>
      </x:c>
      <x:c r="AC1037" t="str"/>
      <x:c r="AD1037" t="str"/>
    </x:row>
    <x:row r="1038">
      <x:c r="A1038" t="str">
        <x:v>REC1037</x:v>
      </x:c>
      <x:c r="B1038" t="n">
        <x:v>1036</x:v>
      </x:c>
      <x:c r="C1038" t="str">
        <x:v>St. John, USVI</x:v>
      </x:c>
      <x:c r="D1038" t="str">
        <x:v>GV</x:v>
      </x:c>
      <x:c r="E1038" t="str">
        <x:v>Ground Validation</x:v>
      </x:c>
      <x:c r="F1038" t="str">
        <x:v>HD Seaviewer Drop Camera</x:v>
      </x:c>
      <x:c r="G1038" t="str">
        <x:v>GV2016_407</x:v>
      </x:c>
      <x:c r="H1038" s="28" t="n">
        <x:v>42630</x:v>
      </x:c>
      <x:c r="I1038" t="str">
        <x:v>11:35:35</x:v>
      </x:c>
      <x:c r="J1038" t="n">
        <x:v>2016</x:v>
      </x:c>
      <x:c r="K1038" t="n">
        <x:v>18.20512128</x:v>
      </x:c>
      <x:c r="L1038" t="n">
        <x:v>-64.76188893</x:v>
      </x:c>
      <x:c r="M1038" t="n">
        <x:v>54.372</x:v>
      </x:c>
      <x:c r="N1038" t="str">
        <x:v>https://nccospublicstor.blob.core.windows.net/biomapper/usviinsularshelf2017/videos/low/GV2016_407.mp4</x:v>
      </x:c>
      <x:c r="O1038" t="n">
        <x:v>0</x:v>
      </x:c>
      <x:c r="P1038" t="n">
        <x:v>1</x:v>
      </x:c>
      <x:c r="Q1038" t="n">
        <x:v>1</x:v>
      </x:c>
      <x:c r="R1038" t="n">
        <x:v>0</x:v>
      </x:c>
      <x:c r="S1038" t="n">
        <x:v>1</x:v>
      </x:c>
      <x:c r="T1038" t="n">
        <x:v>0</x:v>
      </x:c>
      <x:c r="U1038" t="n">
        <x:v>1</x:v>
      </x:c>
      <x:c r="V1038" t="n">
        <x:v>1</x:v>
      </x:c>
      <x:c r="W1038" t="n">
        <x:v>0</x:v>
      </x:c>
      <x:c r="X1038" t="n">
        <x:v>0</x:v>
      </x:c>
      <x:c r="Y1038" t="n">
        <x:v>0</x:v>
      </x:c>
      <x:c r="Z1038" t="n">
        <x:v>2</x:v>
      </x:c>
      <x:c r="AA1038" t="n">
        <x:v>3</x:v>
      </x:c>
      <x:c r="AB1038" t="str">
        <x:v>Pass</x:v>
      </x:c>
      <x:c r="AC1038" t="str"/>
      <x:c r="AD1038" t="str"/>
    </x:row>
    <x:row r="1039">
      <x:c r="A1039" t="str">
        <x:v>REC1038</x:v>
      </x:c>
      <x:c r="B1039" t="n">
        <x:v>1037</x:v>
      </x:c>
      <x:c r="C1039" t="str">
        <x:v>St. Thomas, USVI</x:v>
      </x:c>
      <x:c r="D1039" t="str">
        <x:v>GV</x:v>
      </x:c>
      <x:c r="E1039" t="str">
        <x:v>Ground Validation</x:v>
      </x:c>
      <x:c r="F1039" t="str">
        <x:v>HD Seaviewer Drop Camera</x:v>
      </x:c>
      <x:c r="G1039" t="str">
        <x:v>GV2016_408</x:v>
      </x:c>
      <x:c r="H1039" s="28" t="n">
        <x:v>42610</x:v>
      </x:c>
      <x:c r="I1039" t="str">
        <x:v>14:26:44</x:v>
      </x:c>
      <x:c r="J1039" t="n">
        <x:v>2016</x:v>
      </x:c>
      <x:c r="K1039" t="n">
        <x:v>18.25010352</x:v>
      </x:c>
      <x:c r="L1039" t="n">
        <x:v>-64.89832327</x:v>
      </x:c>
      <x:c r="M1039" t="n">
        <x:v>40.403</x:v>
      </x:c>
      <x:c r="N1039" t="str">
        <x:v>https://nccospublicstor.blob.core.windows.net/biomapper/usviinsularshelf2017/videos/low/GV2016_408.mp4</x:v>
      </x:c>
      <x:c r="O1039" t="n">
        <x:v>0</x:v>
      </x:c>
      <x:c r="P1039" t="n">
        <x:v>0</x:v>
      </x:c>
      <x:c r="Q1039" t="n">
        <x:v>1</x:v>
      </x:c>
      <x:c r="R1039" t="n">
        <x:v>1</x:v>
      </x:c>
      <x:c r="S1039" t="n">
        <x:v>0</x:v>
      </x:c>
      <x:c r="T1039" t="n">
        <x:v>0</x:v>
      </x:c>
      <x:c r="U1039" t="n">
        <x:v>1</x:v>
      </x:c>
      <x:c r="V1039" t="n">
        <x:v>1</x:v>
      </x:c>
      <x:c r="W1039" t="n">
        <x:v>0</x:v>
      </x:c>
      <x:c r="X1039" t="n">
        <x:v>0</x:v>
      </x:c>
      <x:c r="Y1039" t="n">
        <x:v>0</x:v>
      </x:c>
      <x:c r="Z1039" t="n">
        <x:v>2</x:v>
      </x:c>
      <x:c r="AA1039" t="n">
        <x:v>2</x:v>
      </x:c>
      <x:c r="AB1039" t="str">
        <x:v>Pass</x:v>
      </x:c>
      <x:c r="AC1039" t="str"/>
      <x:c r="AD1039" t="str"/>
    </x:row>
    <x:row r="1040">
      <x:c r="A1040" t="str">
        <x:v>REC1039</x:v>
      </x:c>
      <x:c r="B1040" t="n">
        <x:v>1038</x:v>
      </x:c>
      <x:c r="C1040" t="str">
        <x:v>St. Thomas, USVI</x:v>
      </x:c>
      <x:c r="D1040" t="str">
        <x:v>GV</x:v>
      </x:c>
      <x:c r="E1040" t="str">
        <x:v>Ground Validation</x:v>
      </x:c>
      <x:c r="F1040" t="str">
        <x:v>HD Seaviewer Drop Camera</x:v>
      </x:c>
      <x:c r="G1040" t="str">
        <x:v>GV2016_409</x:v>
      </x:c>
      <x:c r="H1040" s="28" t="n">
        <x:v>42611</x:v>
      </x:c>
      <x:c r="I1040" t="str">
        <x:v>09:56:03</x:v>
      </x:c>
      <x:c r="J1040" t="n">
        <x:v>2016</x:v>
      </x:c>
      <x:c r="K1040" t="n">
        <x:v>18.23093343</x:v>
      </x:c>
      <x:c r="L1040" t="n">
        <x:v>-64.87324057</x:v>
      </x:c>
      <x:c r="M1040" t="n">
        <x:v>43.837</x:v>
      </x:c>
      <x:c r="N1040" t="str">
        <x:v>https://nccospublicstor.blob.core.windows.net/biomapper/usviinsularshelf2017/videos/low/GV2016_409.mp4</x:v>
      </x:c>
      <x:c r="O1040" t="n">
        <x:v>0</x:v>
      </x:c>
      <x:c r="P1040" t="n">
        <x:v>0</x:v>
      </x:c>
      <x:c r="Q1040" t="n">
        <x:v>0</x:v>
      </x:c>
      <x:c r="R1040" t="n">
        <x:v>1</x:v>
      </x:c>
      <x:c r="S1040" t="n">
        <x:v>0</x:v>
      </x:c>
      <x:c r="T1040" t="n">
        <x:v>0</x:v>
      </x:c>
      <x:c r="U1040" t="n">
        <x:v>1</x:v>
      </x:c>
      <x:c r="V1040" t="n">
        <x:v>1</x:v>
      </x:c>
      <x:c r="W1040" t="n">
        <x:v>0</x:v>
      </x:c>
      <x:c r="X1040" t="n">
        <x:v>0</x:v>
      </x:c>
      <x:c r="Y1040" t="n">
        <x:v>0</x:v>
      </x:c>
      <x:c r="Z1040" t="n">
        <x:v>1</x:v>
      </x:c>
      <x:c r="AA1040" t="n">
        <x:v>2</x:v>
      </x:c>
      <x:c r="AB1040" t="str">
        <x:v>Pass</x:v>
      </x:c>
      <x:c r="AC1040" t="str"/>
      <x:c r="AD1040" t="str"/>
    </x:row>
    <x:row r="1041">
      <x:c r="A1041" t="str">
        <x:v>REC1040</x:v>
      </x:c>
      <x:c r="B1041" t="n">
        <x:v>1039</x:v>
      </x:c>
      <x:c r="C1041" t="str">
        <x:v>St. John, USVI</x:v>
      </x:c>
      <x:c r="D1041" t="str">
        <x:v>GV</x:v>
      </x:c>
      <x:c r="E1041" t="str">
        <x:v>Ground Validation</x:v>
      </x:c>
      <x:c r="F1041" t="str">
        <x:v>HD Seaviewer Drop Camera</x:v>
      </x:c>
      <x:c r="G1041" t="str">
        <x:v>GV2016_410</x:v>
      </x:c>
      <x:c r="H1041" s="28" t="n">
        <x:v>42630</x:v>
      </x:c>
      <x:c r="I1041" t="str">
        <x:v>10:05:30</x:v>
      </x:c>
      <x:c r="J1041" t="n">
        <x:v>2016</x:v>
      </x:c>
      <x:c r="K1041" t="n">
        <x:v>18.22010642</x:v>
      </x:c>
      <x:c r="L1041" t="n">
        <x:v>-64.7309104</x:v>
      </x:c>
      <x:c r="M1041" t="n">
        <x:v>52.557</x:v>
      </x:c>
      <x:c r="N1041" t="str">
        <x:v>https://nccospublicstor.blob.core.windows.net/biomapper/usviinsularshelf2017/videos/low/GV2016_410.mp4</x:v>
      </x:c>
      <x:c r="O1041" t="n">
        <x:v>0</x:v>
      </x:c>
      <x:c r="P1041" t="n">
        <x:v>1</x:v>
      </x:c>
      <x:c r="Q1041" t="n">
        <x:v>1</x:v>
      </x:c>
      <x:c r="R1041" t="n">
        <x:v>0</x:v>
      </x:c>
      <x:c r="S1041" t="n">
        <x:v>1</x:v>
      </x:c>
      <x:c r="T1041" t="n">
        <x:v>0</x:v>
      </x:c>
      <x:c r="U1041" t="n">
        <x:v>1</x:v>
      </x:c>
      <x:c r="V1041" t="n">
        <x:v>1</x:v>
      </x:c>
      <x:c r="W1041" t="n">
        <x:v>0</x:v>
      </x:c>
      <x:c r="X1041" t="n">
        <x:v>0</x:v>
      </x:c>
      <x:c r="Y1041" t="n">
        <x:v>0</x:v>
      </x:c>
      <x:c r="Z1041" t="n">
        <x:v>2</x:v>
      </x:c>
      <x:c r="AA1041" t="n">
        <x:v>3</x:v>
      </x:c>
      <x:c r="AB1041" t="str">
        <x:v>Pass</x:v>
      </x:c>
      <x:c r="AC1041" t="str"/>
      <x:c r="AD1041" t="str"/>
    </x:row>
    <x:row r="1042">
      <x:c r="A1042" t="str">
        <x:v>REC1041</x:v>
      </x:c>
      <x:c r="B1042" t="n">
        <x:v>1040</x:v>
      </x:c>
      <x:c r="C1042" t="str">
        <x:v>St. Thomas, USVI</x:v>
      </x:c>
      <x:c r="D1042" t="str">
        <x:v>GV</x:v>
      </x:c>
      <x:c r="E1042" t="str">
        <x:v>Ground Validation</x:v>
      </x:c>
      <x:c r="F1042" t="str">
        <x:v>HD Seaviewer Drop Camera</x:v>
      </x:c>
      <x:c r="G1042" t="str">
        <x:v>GV2016_411</x:v>
      </x:c>
      <x:c r="H1042" s="28" t="n">
        <x:v>42607</x:v>
      </x:c>
      <x:c r="I1042" t="str">
        <x:v>14:35:18</x:v>
      </x:c>
      <x:c r="J1042" t="n">
        <x:v>2016</x:v>
      </x:c>
      <x:c r="K1042" t="n">
        <x:v>18.252714</x:v>
      </x:c>
      <x:c r="L1042" t="n">
        <x:v>-65.05640716</x:v>
      </x:c>
      <x:c r="M1042" t="n">
        <x:v>35.809</x:v>
      </x:c>
      <x:c r="N1042" t="str">
        <x:v>https://nccospublicstor.blob.core.windows.net/biomapper/usviinsularshelf2017/videos/low/GV2016_411.mp4</x:v>
      </x:c>
      <x:c r="O1042" t="n">
        <x:v>0</x:v>
      </x:c>
      <x:c r="P1042" t="n">
        <x:v>0</x:v>
      </x:c>
      <x:c r="Q1042" t="n">
        <x:v>1</x:v>
      </x:c>
      <x:c r="R1042" t="n">
        <x:v>1</x:v>
      </x:c>
      <x:c r="S1042" t="n">
        <x:v>0</x:v>
      </x:c>
      <x:c r="T1042" t="n">
        <x:v>0</x:v>
      </x:c>
      <x:c r="U1042" t="n">
        <x:v>1</x:v>
      </x:c>
      <x:c r="V1042" t="n">
        <x:v>1</x:v>
      </x:c>
      <x:c r="W1042" t="n">
        <x:v>0</x:v>
      </x:c>
      <x:c r="X1042" t="n">
        <x:v>0</x:v>
      </x:c>
      <x:c r="Y1042" t="n">
        <x:v>0</x:v>
      </x:c>
      <x:c r="Z1042" t="n">
        <x:v>2</x:v>
      </x:c>
      <x:c r="AA1042" t="n">
        <x:v>2</x:v>
      </x:c>
      <x:c r="AB1042" t="str">
        <x:v>Pass</x:v>
      </x:c>
      <x:c r="AC1042" t="str"/>
      <x:c r="AD1042" t="str"/>
    </x:row>
    <x:row r="1043">
      <x:c r="A1043" t="str">
        <x:v>REC1042</x:v>
      </x:c>
      <x:c r="B1043" t="n">
        <x:v>1041</x:v>
      </x:c>
      <x:c r="C1043" t="str">
        <x:v>St. Thomas, USVI</x:v>
      </x:c>
      <x:c r="D1043" t="str">
        <x:v>GV</x:v>
      </x:c>
      <x:c r="E1043" t="str">
        <x:v>Ground Validation</x:v>
      </x:c>
      <x:c r="F1043" t="str">
        <x:v>HD Seaviewer Drop Camera</x:v>
      </x:c>
      <x:c r="G1043" t="str">
        <x:v>GV2016_412</x:v>
      </x:c>
      <x:c r="H1043" s="28" t="n">
        <x:v>42609</x:v>
      </x:c>
      <x:c r="I1043" t="str">
        <x:v>11:04:01</x:v>
      </x:c>
      <x:c r="J1043" t="n">
        <x:v>2016</x:v>
      </x:c>
      <x:c r="K1043" t="n">
        <x:v>18.27254876</x:v>
      </x:c>
      <x:c r="L1043" t="n">
        <x:v>-65.03785583</x:v>
      </x:c>
      <x:c r="M1043" t="n">
        <x:v>33.092</x:v>
      </x:c>
      <x:c r="N1043" t="str">
        <x:v>https://nccospublicstor.blob.core.windows.net/biomapper/usviinsularshelf2017/videos/low/GV2016_412.mp4</x:v>
      </x:c>
      <x:c r="O1043" t="n">
        <x:v>0</x:v>
      </x:c>
      <x:c r="P1043" t="n">
        <x:v>0</x:v>
      </x:c>
      <x:c r="Q1043" t="n">
        <x:v>1</x:v>
      </x:c>
      <x:c r="R1043" t="n">
        <x:v>0</x:v>
      </x:c>
      <x:c r="S1043" t="n">
        <x:v>0</x:v>
      </x:c>
      <x:c r="T1043" t="n">
        <x:v>0</x:v>
      </x:c>
      <x:c r="U1043" t="n">
        <x:v>1</x:v>
      </x:c>
      <x:c r="V1043" t="n">
        <x:v>1</x:v>
      </x:c>
      <x:c r="W1043" t="n">
        <x:v>0</x:v>
      </x:c>
      <x:c r="X1043" t="n">
        <x:v>0</x:v>
      </x:c>
      <x:c r="Y1043" t="n">
        <x:v>0</x:v>
      </x:c>
      <x:c r="Z1043" t="n">
        <x:v>1</x:v>
      </x:c>
      <x:c r="AA1043" t="n">
        <x:v>2</x:v>
      </x:c>
      <x:c r="AB1043" t="str">
        <x:v>Pass</x:v>
      </x:c>
      <x:c r="AC1043" t="str"/>
      <x:c r="AD1043" t="str"/>
    </x:row>
    <x:row r="1044">
      <x:c r="A1044" t="str">
        <x:v>REC1043</x:v>
      </x:c>
      <x:c r="B1044" t="n">
        <x:v>1042</x:v>
      </x:c>
      <x:c r="C1044" t="str">
        <x:v>St. Thomas, USVI</x:v>
      </x:c>
      <x:c r="D1044" t="str">
        <x:v>GV</x:v>
      </x:c>
      <x:c r="E1044" t="str">
        <x:v>Ground Validation</x:v>
      </x:c>
      <x:c r="F1044" t="str">
        <x:v>HD Seaviewer Drop Camera</x:v>
      </x:c>
      <x:c r="G1044" t="str">
        <x:v>GV2016_414</x:v>
      </x:c>
      <x:c r="H1044" s="28" t="n">
        <x:v>42607</x:v>
      </x:c>
      <x:c r="I1044" t="str">
        <x:v>14:17:25</x:v>
      </x:c>
      <x:c r="J1044" t="n">
        <x:v>2016</x:v>
      </x:c>
      <x:c r="K1044" t="n">
        <x:v>18.25867646</x:v>
      </x:c>
      <x:c r="L1044" t="n">
        <x:v>-65.08410216</x:v>
      </x:c>
      <x:c r="M1044" t="n">
        <x:v>26.058</x:v>
      </x:c>
      <x:c r="N1044" t="str">
        <x:v>https://nccospublicstor.blob.core.windows.net/biomapper/usviinsularshelf2017/videos/low/GV2016_414.mp4</x:v>
      </x:c>
      <x:c r="O1044" t="n">
        <x:v>1</x:v>
      </x:c>
      <x:c r="P1044" t="n">
        <x:v>0</x:v>
      </x:c>
      <x:c r="Q1044" t="n">
        <x:v>0</x:v>
      </x:c>
      <x:c r="R1044" t="n">
        <x:v>0</x:v>
      </x:c>
      <x:c r="S1044" t="n">
        <x:v>1</x:v>
      </x:c>
      <x:c r="T1044" t="n">
        <x:v>1</x:v>
      </x:c>
      <x:c r="U1044" t="n">
        <x:v>1</x:v>
      </x:c>
      <x:c r="V1044" t="n">
        <x:v>1</x:v>
      </x:c>
      <x:c r="W1044" t="n">
        <x:v>0</x:v>
      </x:c>
      <x:c r="X1044" t="n">
        <x:v>0</x:v>
      </x:c>
      <x:c r="Y1044" t="n">
        <x:v>0</x:v>
      </x:c>
      <x:c r="Z1044" t="n">
        <x:v>1</x:v>
      </x:c>
      <x:c r="AA1044" t="n">
        <x:v>4</x:v>
      </x:c>
      <x:c r="AB1044" t="str">
        <x:v>Pass</x:v>
      </x:c>
      <x:c r="AC1044" t="str"/>
      <x:c r="AD1044" t="str"/>
    </x:row>
    <x:row r="1045">
      <x:c r="A1045" t="str">
        <x:v>REC1044</x:v>
      </x:c>
      <x:c r="B1045" t="n">
        <x:v>1043</x:v>
      </x:c>
      <x:c r="C1045" t="str">
        <x:v>St. Thomas, USVI</x:v>
      </x:c>
      <x:c r="D1045" t="str">
        <x:v>GV</x:v>
      </x:c>
      <x:c r="E1045" t="str">
        <x:v>Ground Validation</x:v>
      </x:c>
      <x:c r="F1045" t="str">
        <x:v>HD Seaviewer Drop Camera</x:v>
      </x:c>
      <x:c r="G1045" t="str">
        <x:v>GV2016_415</x:v>
      </x:c>
      <x:c r="H1045" s="28" t="n">
        <x:v>42610</x:v>
      </x:c>
      <x:c r="I1045" t="str">
        <x:v>13:15:32</x:v>
      </x:c>
      <x:c r="J1045" t="n">
        <x:v>2016</x:v>
      </x:c>
      <x:c r="K1045" t="n">
        <x:v>18.22935613</x:v>
      </x:c>
      <x:c r="L1045" t="n">
        <x:v>-64.90686362</x:v>
      </x:c>
      <x:c r="M1045" t="n">
        <x:v>43.791</x:v>
      </x:c>
      <x:c r="N1045" t="str">
        <x:v>https://nccospublicstor.blob.core.windows.net/biomapper/usviinsularshelf2017/videos/low/GV2016_415.mp4</x:v>
      </x:c>
      <x:c r="O1045" t="n">
        <x:v>0</x:v>
      </x:c>
      <x:c r="P1045" t="n">
        <x:v>0</x:v>
      </x:c>
      <x:c r="Q1045" t="n">
        <x:v>1</x:v>
      </x:c>
      <x:c r="R1045" t="n">
        <x:v>1</x:v>
      </x:c>
      <x:c r="S1045" t="n">
        <x:v>0</x:v>
      </x:c>
      <x:c r="T1045" t="n">
        <x:v>0</x:v>
      </x:c>
      <x:c r="U1045" t="n">
        <x:v>1</x:v>
      </x:c>
      <x:c r="V1045" t="n">
        <x:v>1</x:v>
      </x:c>
      <x:c r="W1045" t="n">
        <x:v>0</x:v>
      </x:c>
      <x:c r="X1045" t="n">
        <x:v>0</x:v>
      </x:c>
      <x:c r="Y1045" t="n">
        <x:v>0</x:v>
      </x:c>
      <x:c r="Z1045" t="n">
        <x:v>2</x:v>
      </x:c>
      <x:c r="AA1045" t="n">
        <x:v>2</x:v>
      </x:c>
      <x:c r="AB1045" t="str">
        <x:v>Pass</x:v>
      </x:c>
      <x:c r="AC1045" t="str"/>
      <x:c r="AD1045" t="str"/>
    </x:row>
    <x:row r="1046">
      <x:c r="A1046" t="str">
        <x:v>REC1045</x:v>
      </x:c>
      <x:c r="B1046" t="n">
        <x:v>1044</x:v>
      </x:c>
      <x:c r="C1046" t="str">
        <x:v>Puerto Rico</x:v>
      </x:c>
      <x:c r="D1046" t="str">
        <x:v>GV</x:v>
      </x:c>
      <x:c r="E1046" t="str">
        <x:v>Ground Validation</x:v>
      </x:c>
      <x:c r="F1046" t="str">
        <x:v>HD Seaviewer Drop Camera</x:v>
      </x:c>
      <x:c r="G1046" t="str">
        <x:v>GV2016_416</x:v>
      </x:c>
      <x:c r="H1046" s="28" t="n">
        <x:v>42603</x:v>
      </x:c>
      <x:c r="I1046" t="str">
        <x:v>07:55:56</x:v>
      </x:c>
      <x:c r="J1046" t="n">
        <x:v>2016</x:v>
      </x:c>
      <x:c r="K1046" t="n">
        <x:v>18.16201413</x:v>
      </x:c>
      <x:c r="L1046" t="n">
        <x:v>-65.2048225</x:v>
      </x:c>
      <x:c r="M1046" t="n">
        <x:v>35.204</x:v>
      </x:c>
      <x:c r="N1046" t="str">
        <x:v>https://nccospublicstor.blob.core.windows.net/biomapper/usviinsularshelf2017/videos/low/GV2016_416.mp4</x:v>
      </x:c>
      <x:c r="O1046" t="n">
        <x:v>1</x:v>
      </x:c>
      <x:c r="P1046" t="n">
        <x:v>0</x:v>
      </x:c>
      <x:c r="Q1046" t="n">
        <x:v>0</x:v>
      </x:c>
      <x:c r="R1046" t="n">
        <x:v>0</x:v>
      </x:c>
      <x:c r="S1046" t="n">
        <x:v>1</x:v>
      </x:c>
      <x:c r="T1046" t="n">
        <x:v>1</x:v>
      </x:c>
      <x:c r="U1046" t="n">
        <x:v>1</x:v>
      </x:c>
      <x:c r="V1046" t="n">
        <x:v>1</x:v>
      </x:c>
      <x:c r="W1046" t="n">
        <x:v>0</x:v>
      </x:c>
      <x:c r="X1046" t="n">
        <x:v>0</x:v>
      </x:c>
      <x:c r="Y1046" t="n">
        <x:v>0</x:v>
      </x:c>
      <x:c r="Z1046" t="n">
        <x:v>1</x:v>
      </x:c>
      <x:c r="AA1046" t="n">
        <x:v>4</x:v>
      </x:c>
      <x:c r="AB1046" t="str">
        <x:v>Pass</x:v>
      </x:c>
      <x:c r="AC1046" t="str"/>
      <x:c r="AD1046" t="str">
        <x:v>Coral Bleaching</x:v>
      </x:c>
    </x:row>
    <x:row r="1047">
      <x:c r="A1047" t="str">
        <x:v>REC1046</x:v>
      </x:c>
      <x:c r="B1047" t="n">
        <x:v>1045</x:v>
      </x:c>
      <x:c r="C1047" t="str">
        <x:v>St. Thomas, USVI</x:v>
      </x:c>
      <x:c r="D1047" t="str">
        <x:v>GV</x:v>
      </x:c>
      <x:c r="E1047" t="str">
        <x:v>Ground Validation</x:v>
      </x:c>
      <x:c r="F1047" t="str">
        <x:v>HD Seaviewer Drop Camera</x:v>
      </x:c>
      <x:c r="G1047" t="str">
        <x:v>GV2016_417</x:v>
      </x:c>
      <x:c r="H1047" s="28" t="n">
        <x:v>42610</x:v>
      </x:c>
      <x:c r="I1047" t="str">
        <x:v>13:04:30</x:v>
      </x:c>
      <x:c r="J1047" t="n">
        <x:v>2016</x:v>
      </x:c>
      <x:c r="K1047" t="n">
        <x:v>18.22464204</x:v>
      </x:c>
      <x:c r="L1047" t="n">
        <x:v>-64.90178692</x:v>
      </x:c>
      <x:c r="M1047" t="n">
        <x:v>41.728</x:v>
      </x:c>
      <x:c r="N1047" t="str">
        <x:v>https://nccospublicstor.blob.core.windows.net/biomapper/usviinsularshelf2017/videos/low/GV2016_417.mp4</x:v>
      </x:c>
      <x:c r="O1047" t="n">
        <x:v>0</x:v>
      </x:c>
      <x:c r="P1047" t="n">
        <x:v>0</x:v>
      </x:c>
      <x:c r="Q1047" t="n">
        <x:v>1</x:v>
      </x:c>
      <x:c r="R1047" t="n">
        <x:v>0</x:v>
      </x:c>
      <x:c r="S1047" t="n">
        <x:v>1</x:v>
      </x:c>
      <x:c r="T1047" t="n">
        <x:v>0</x:v>
      </x:c>
      <x:c r="U1047" t="n">
        <x:v>1</x:v>
      </x:c>
      <x:c r="V1047" t="n">
        <x:v>1</x:v>
      </x:c>
      <x:c r="W1047" t="n">
        <x:v>0</x:v>
      </x:c>
      <x:c r="X1047" t="n">
        <x:v>0</x:v>
      </x:c>
      <x:c r="Y1047" t="n">
        <x:v>0</x:v>
      </x:c>
      <x:c r="Z1047" t="n">
        <x:v>1</x:v>
      </x:c>
      <x:c r="AA1047" t="n">
        <x:v>3</x:v>
      </x:c>
      <x:c r="AB1047" t="str">
        <x:v>Pass</x:v>
      </x:c>
      <x:c r="AC1047" t="str"/>
      <x:c r="AD1047" t="str"/>
    </x:row>
    <x:row r="1048">
      <x:c r="A1048" t="str">
        <x:v>REC1047</x:v>
      </x:c>
      <x:c r="B1048" t="n">
        <x:v>1046</x:v>
      </x:c>
      <x:c r="C1048" t="str">
        <x:v>St. Thomas, USVI</x:v>
      </x:c>
      <x:c r="D1048" t="str">
        <x:v>GV</x:v>
      </x:c>
      <x:c r="E1048" t="str">
        <x:v>Ground Validation</x:v>
      </x:c>
      <x:c r="F1048" t="str">
        <x:v>HD Seaviewer Drop Camera</x:v>
      </x:c>
      <x:c r="G1048" t="str">
        <x:v>GV2016_418</x:v>
      </x:c>
      <x:c r="H1048" s="28" t="n">
        <x:v>42609</x:v>
      </x:c>
      <x:c r="I1048" t="str">
        <x:v>12:13:13</x:v>
      </x:c>
      <x:c r="J1048" t="n">
        <x:v>2016</x:v>
      </x:c>
      <x:c r="K1048" t="n">
        <x:v>18.27597131</x:v>
      </x:c>
      <x:c r="L1048" t="n">
        <x:v>-64.99611349</x:v>
      </x:c>
      <x:c r="M1048" t="n">
        <x:v>32.525</x:v>
      </x:c>
      <x:c r="N1048" t="str">
        <x:v>https://nccospublicstor.blob.core.windows.net/biomapper/usviinsularshelf2017/videos/low/GV2016_418.mp4</x:v>
      </x:c>
      <x:c r="O1048" t="n">
        <x:v>0</x:v>
      </x:c>
      <x:c r="P1048" t="n">
        <x:v>0</x:v>
      </x:c>
      <x:c r="Q1048" t="n">
        <x:v>1</x:v>
      </x:c>
      <x:c r="R1048" t="n">
        <x:v>0</x:v>
      </x:c>
      <x:c r="S1048" t="n">
        <x:v>0</x:v>
      </x:c>
      <x:c r="T1048" t="n">
        <x:v>0</x:v>
      </x:c>
      <x:c r="U1048" t="n">
        <x:v>1</x:v>
      </x:c>
      <x:c r="V1048" t="n">
        <x:v>1</x:v>
      </x:c>
      <x:c r="W1048" t="n">
        <x:v>0</x:v>
      </x:c>
      <x:c r="X1048" t="n">
        <x:v>0</x:v>
      </x:c>
      <x:c r="Y1048" t="n">
        <x:v>0</x:v>
      </x:c>
      <x:c r="Z1048" t="n">
        <x:v>1</x:v>
      </x:c>
      <x:c r="AA1048" t="n">
        <x:v>2</x:v>
      </x:c>
      <x:c r="AB1048" t="str">
        <x:v>Pass</x:v>
      </x:c>
      <x:c r="AC1048" t="str"/>
      <x:c r="AD1048" t="str"/>
    </x:row>
    <x:row r="1049">
      <x:c r="A1049" t="str">
        <x:v>REC1048</x:v>
      </x:c>
      <x:c r="B1049" t="n">
        <x:v>1047</x:v>
      </x:c>
      <x:c r="C1049" t="str">
        <x:v>St. John, USVI</x:v>
      </x:c>
      <x:c r="D1049" t="str">
        <x:v>GV</x:v>
      </x:c>
      <x:c r="E1049" t="str">
        <x:v>Ground Validation</x:v>
      </x:c>
      <x:c r="F1049" t="str">
        <x:v>HD Seaviewer Drop Camera</x:v>
      </x:c>
      <x:c r="G1049" t="str">
        <x:v>GV2016_419</x:v>
      </x:c>
      <x:c r="H1049" s="28" t="n">
        <x:v>42625</x:v>
      </x:c>
      <x:c r="I1049" t="str">
        <x:v>11:57:17</x:v>
      </x:c>
      <x:c r="J1049" t="n">
        <x:v>2016</x:v>
      </x:c>
      <x:c r="K1049" t="n">
        <x:v>18.22485397</x:v>
      </x:c>
      <x:c r="L1049" t="n">
        <x:v>-64.70891016</x:v>
      </x:c>
      <x:c r="M1049" t="n">
        <x:v>54.238</x:v>
      </x:c>
      <x:c r="N1049" t="str">
        <x:v>https://nccospublicstor.blob.core.windows.net/biomapper/usviinsularshelf2017/videos/low/GV2016_419.mp4</x:v>
      </x:c>
      <x:c r="O1049" t="n">
        <x:v>0</x:v>
      </x:c>
      <x:c r="P1049" t="n">
        <x:v>1</x:v>
      </x:c>
      <x:c r="Q1049" t="n">
        <x:v>0</x:v>
      </x:c>
      <x:c r="R1049" t="n">
        <x:v>0</x:v>
      </x:c>
      <x:c r="S1049" t="n">
        <x:v>1</x:v>
      </x:c>
      <x:c r="T1049" t="n">
        <x:v>0</x:v>
      </x:c>
      <x:c r="U1049" t="n">
        <x:v>1</x:v>
      </x:c>
      <x:c r="V1049" t="n">
        <x:v>1</x:v>
      </x:c>
      <x:c r="W1049" t="n">
        <x:v>0</x:v>
      </x:c>
      <x:c r="X1049" t="n">
        <x:v>0</x:v>
      </x:c>
      <x:c r="Y1049" t="n">
        <x:v>0</x:v>
      </x:c>
      <x:c r="Z1049" t="n">
        <x:v>1</x:v>
      </x:c>
      <x:c r="AA1049" t="n">
        <x:v>3</x:v>
      </x:c>
      <x:c r="AB1049" t="str">
        <x:v>Pass</x:v>
      </x:c>
      <x:c r="AC1049" t="str"/>
      <x:c r="AD1049" t="str"/>
    </x:row>
    <x:row r="1050">
      <x:c r="A1050" t="str">
        <x:v>REC1049</x:v>
      </x:c>
      <x:c r="B1050" t="n">
        <x:v>1048</x:v>
      </x:c>
      <x:c r="C1050" t="str">
        <x:v>St. Thomas, USVI</x:v>
      </x:c>
      <x:c r="D1050" t="str">
        <x:v>GV</x:v>
      </x:c>
      <x:c r="E1050" t="str">
        <x:v>Ground Validation</x:v>
      </x:c>
      <x:c r="F1050" t="str">
        <x:v>HD Seaviewer Drop Camera</x:v>
      </x:c>
      <x:c r="G1050" t="str">
        <x:v>GV2016_420</x:v>
      </x:c>
      <x:c r="H1050" s="28" t="n">
        <x:v>42611</x:v>
      </x:c>
      <x:c r="I1050" t="str">
        <x:v>09:23:20</x:v>
      </x:c>
      <x:c r="J1050" t="n">
        <x:v>2016</x:v>
      </x:c>
      <x:c r="K1050" t="n">
        <x:v>18.22505154</x:v>
      </x:c>
      <x:c r="L1050" t="n">
        <x:v>-64.86287088</x:v>
      </x:c>
      <x:c r="M1050" t="n">
        <x:v>45.849</x:v>
      </x:c>
      <x:c r="N1050" t="str">
        <x:v>https://nccospublicstor.blob.core.windows.net/biomapper/usviinsularshelf2017/videos/low/GV2016_420.mp4</x:v>
      </x:c>
      <x:c r="O1050" t="n">
        <x:v>0</x:v>
      </x:c>
      <x:c r="P1050" t="n">
        <x:v>0</x:v>
      </x:c>
      <x:c r="Q1050" t="n">
        <x:v>1</x:v>
      </x:c>
      <x:c r="R1050" t="n">
        <x:v>0</x:v>
      </x:c>
      <x:c r="S1050" t="n">
        <x:v>1</x:v>
      </x:c>
      <x:c r="T1050" t="n">
        <x:v>0</x:v>
      </x:c>
      <x:c r="U1050" t="n">
        <x:v>1</x:v>
      </x:c>
      <x:c r="V1050" t="n">
        <x:v>1</x:v>
      </x:c>
      <x:c r="W1050" t="n">
        <x:v>0</x:v>
      </x:c>
      <x:c r="X1050" t="n">
        <x:v>0</x:v>
      </x:c>
      <x:c r="Y1050" t="n">
        <x:v>0</x:v>
      </x:c>
      <x:c r="Z1050" t="n">
        <x:v>1</x:v>
      </x:c>
      <x:c r="AA1050" t="n">
        <x:v>3</x:v>
      </x:c>
      <x:c r="AB1050" t="str">
        <x:v>Pass</x:v>
      </x:c>
      <x:c r="AC1050" t="str"/>
      <x:c r="AD1050" t="str"/>
    </x:row>
    <x:row r="1051">
      <x:c r="A1051" t="str">
        <x:v>REC1050</x:v>
      </x:c>
      <x:c r="B1051" t="n">
        <x:v>1049</x:v>
      </x:c>
      <x:c r="C1051" t="str">
        <x:v>St. Thomas, USVI</x:v>
      </x:c>
      <x:c r="D1051" t="str">
        <x:v>GV</x:v>
      </x:c>
      <x:c r="E1051" t="str">
        <x:v>Ground Validation</x:v>
      </x:c>
      <x:c r="F1051" t="str">
        <x:v>HD Seaviewer Drop Camera</x:v>
      </x:c>
      <x:c r="G1051" t="str">
        <x:v>GV2016_421</x:v>
      </x:c>
      <x:c r="H1051" s="28" t="n">
        <x:v>42608</x:v>
      </x:c>
      <x:c r="I1051" t="str">
        <x:v>13:10:38</x:v>
      </x:c>
      <x:c r="J1051" t="n">
        <x:v>2016</x:v>
      </x:c>
      <x:c r="K1051" t="n">
        <x:v>18.20266664</x:v>
      </x:c>
      <x:c r="L1051" t="n">
        <x:v>-65.07817705</x:v>
      </x:c>
      <x:c r="M1051" t="n">
        <x:v>43.71</x:v>
      </x:c>
      <x:c r="N1051" t="str">
        <x:v>https://nccospublicstor.blob.core.windows.net/biomapper/usviinsularshelf2017/videos/low/GV2016_421.mp4</x:v>
      </x:c>
      <x:c r="O1051" t="n">
        <x:v>1</x:v>
      </x:c>
      <x:c r="P1051" t="n">
        <x:v>0</x:v>
      </x:c>
      <x:c r="Q1051" t="n">
        <x:v>0</x:v>
      </x:c>
      <x:c r="R1051" t="n">
        <x:v>0</x:v>
      </x:c>
      <x:c r="S1051" t="n">
        <x:v>1</x:v>
      </x:c>
      <x:c r="T1051" t="n">
        <x:v>1</x:v>
      </x:c>
      <x:c r="U1051" t="n">
        <x:v>1</x:v>
      </x:c>
      <x:c r="V1051" t="n">
        <x:v>1</x:v>
      </x:c>
      <x:c r="W1051" t="n">
        <x:v>0</x:v>
      </x:c>
      <x:c r="X1051" t="n">
        <x:v>0</x:v>
      </x:c>
      <x:c r="Y1051" t="n">
        <x:v>0</x:v>
      </x:c>
      <x:c r="Z1051" t="n">
        <x:v>1</x:v>
      </x:c>
      <x:c r="AA1051" t="n">
        <x:v>4</x:v>
      </x:c>
      <x:c r="AB1051" t="str">
        <x:v>Pass</x:v>
      </x:c>
      <x:c r="AC1051" t="str"/>
      <x:c r="AD1051" t="str"/>
    </x:row>
    <x:row r="1052">
      <x:c r="A1052" t="str">
        <x:v>REC1051</x:v>
      </x:c>
      <x:c r="B1052" t="n">
        <x:v>1050</x:v>
      </x:c>
      <x:c r="C1052" t="str">
        <x:v>Puerto Rico</x:v>
      </x:c>
      <x:c r="D1052" t="str">
        <x:v>GV</x:v>
      </x:c>
      <x:c r="E1052" t="str">
        <x:v>Ground Validation</x:v>
      </x:c>
      <x:c r="F1052" t="str">
        <x:v>HD Seaviewer Drop Camera</x:v>
      </x:c>
      <x:c r="G1052" t="str">
        <x:v>GV2016_422</x:v>
      </x:c>
      <x:c r="H1052" s="28" t="n">
        <x:v>42607</x:v>
      </x:c>
      <x:c r="I1052" t="str">
        <x:v>11:50:17</x:v>
      </x:c>
      <x:c r="J1052" t="n">
        <x:v>2016</x:v>
      </x:c>
      <x:c r="K1052" t="n">
        <x:v>18.22991426</x:v>
      </x:c>
      <x:c r="L1052" t="n">
        <x:v>-65.13733022</x:v>
      </x:c>
      <x:c r="M1052" t="n">
        <x:v>32.897</x:v>
      </x:c>
      <x:c r="N1052" t="str">
        <x:v>https://nccospublicstor.blob.core.windows.net/biomapper/usviinsularshelf2017/videos/low/GV2016_422.mp4</x:v>
      </x:c>
      <x:c r="O1052" t="n">
        <x:v>1</x:v>
      </x:c>
      <x:c r="P1052" t="n">
        <x:v>0</x:v>
      </x:c>
      <x:c r="Q1052" t="n">
        <x:v>0</x:v>
      </x:c>
      <x:c r="R1052" t="n">
        <x:v>0</x:v>
      </x:c>
      <x:c r="S1052" t="n">
        <x:v>1</x:v>
      </x:c>
      <x:c r="T1052" t="n">
        <x:v>0</x:v>
      </x:c>
      <x:c r="U1052" t="n">
        <x:v>1</x:v>
      </x:c>
      <x:c r="V1052" t="n">
        <x:v>1</x:v>
      </x:c>
      <x:c r="W1052" t="n">
        <x:v>0</x:v>
      </x:c>
      <x:c r="X1052" t="n">
        <x:v>0</x:v>
      </x:c>
      <x:c r="Y1052" t="n">
        <x:v>0</x:v>
      </x:c>
      <x:c r="Z1052" t="n">
        <x:v>1</x:v>
      </x:c>
      <x:c r="AA1052" t="n">
        <x:v>3</x:v>
      </x:c>
      <x:c r="AB1052" t="str">
        <x:v>Pass</x:v>
      </x:c>
      <x:c r="AC1052" t="str"/>
      <x:c r="AD1052" t="str">
        <x:v>not a great video, camera was on its side, no placard</x:v>
      </x:c>
    </x:row>
    <x:row r="1053">
      <x:c r="A1053" t="str">
        <x:v>REC1052</x:v>
      </x:c>
      <x:c r="B1053" t="n">
        <x:v>1051</x:v>
      </x:c>
      <x:c r="C1053" t="str">
        <x:v>St. Thomas, USVI</x:v>
      </x:c>
      <x:c r="D1053" t="str">
        <x:v>GV</x:v>
      </x:c>
      <x:c r="E1053" t="str">
        <x:v>Ground Validation</x:v>
      </x:c>
      <x:c r="F1053" t="str">
        <x:v>HD Seaviewer Drop Camera</x:v>
      </x:c>
      <x:c r="G1053" t="str">
        <x:v>GV2016_423</x:v>
      </x:c>
      <x:c r="H1053" s="28" t="n">
        <x:v>42629</x:v>
      </x:c>
      <x:c r="I1053" t="str">
        <x:v>09:52:01</x:v>
      </x:c>
      <x:c r="J1053" t="n">
        <x:v>2016</x:v>
      </x:c>
      <x:c r="K1053" t="n">
        <x:v>18.20402588</x:v>
      </x:c>
      <x:c r="L1053" t="n">
        <x:v>-64.8255836</x:v>
      </x:c>
      <x:c r="M1053" t="n">
        <x:v>53.896</x:v>
      </x:c>
      <x:c r="N1053" t="str">
        <x:v>https://nccospublicstor.blob.core.windows.net/biomapper/usviinsularshelf2017/videos/low/GV2016_423.mp4</x:v>
      </x:c>
      <x:c r="O1053" t="n">
        <x:v>0</x:v>
      </x:c>
      <x:c r="P1053" t="n">
        <x:v>0</x:v>
      </x:c>
      <x:c r="Q1053" t="n">
        <x:v>1</x:v>
      </x:c>
      <x:c r="R1053" t="n">
        <x:v>1</x:v>
      </x:c>
      <x:c r="S1053" t="n">
        <x:v>1</x:v>
      </x:c>
      <x:c r="T1053" t="n">
        <x:v>0</x:v>
      </x:c>
      <x:c r="U1053" t="n">
        <x:v>1</x:v>
      </x:c>
      <x:c r="V1053" t="n">
        <x:v>1</x:v>
      </x:c>
      <x:c r="W1053" t="n">
        <x:v>0</x:v>
      </x:c>
      <x:c r="X1053" t="n">
        <x:v>0</x:v>
      </x:c>
      <x:c r="Y1053" t="n">
        <x:v>0</x:v>
      </x:c>
      <x:c r="Z1053" t="n">
        <x:v>2</x:v>
      </x:c>
      <x:c r="AA1053" t="n">
        <x:v>3</x:v>
      </x:c>
      <x:c r="AB1053" t="str">
        <x:v>Pass</x:v>
      </x:c>
      <x:c r="AC1053" t="str"/>
      <x:c r="AD1053" t="str"/>
    </x:row>
    <x:row r="1054">
      <x:c r="A1054" t="str">
        <x:v>REC1053</x:v>
      </x:c>
      <x:c r="B1054" t="n">
        <x:v>1052</x:v>
      </x:c>
      <x:c r="C1054" t="str">
        <x:v>St. Thomas, USVI</x:v>
      </x:c>
      <x:c r="D1054" t="str">
        <x:v>GV</x:v>
      </x:c>
      <x:c r="E1054" t="str">
        <x:v>Ground Validation</x:v>
      </x:c>
      <x:c r="F1054" t="str">
        <x:v>HD Seaviewer Drop Camera</x:v>
      </x:c>
      <x:c r="G1054" t="str">
        <x:v>GV2016_424</x:v>
      </x:c>
      <x:c r="H1054" s="28" t="n">
        <x:v>42608</x:v>
      </x:c>
      <x:c r="I1054" t="str">
        <x:v>11:59:49</x:v>
      </x:c>
      <x:c r="J1054" t="n">
        <x:v>2016</x:v>
      </x:c>
      <x:c r="K1054" t="n">
        <x:v>18.20236872</x:v>
      </x:c>
      <x:c r="L1054" t="n">
        <x:v>-65.04211697</x:v>
      </x:c>
      <x:c r="M1054" t="n">
        <x:v>48.554</x:v>
      </x:c>
      <x:c r="N1054" t="str">
        <x:v>https://nccospublicstor.blob.core.windows.net/biomapper/usviinsularshelf2017/videos/low/GV2016_424.mp4</x:v>
      </x:c>
      <x:c r="O1054" t="n">
        <x:v>1</x:v>
      </x:c>
      <x:c r="P1054" t="n">
        <x:v>0</x:v>
      </x:c>
      <x:c r="Q1054" t="n">
        <x:v>0</x:v>
      </x:c>
      <x:c r="R1054" t="n">
        <x:v>0</x:v>
      </x:c>
      <x:c r="S1054" t="n">
        <x:v>1</x:v>
      </x:c>
      <x:c r="T1054" t="n">
        <x:v>0</x:v>
      </x:c>
      <x:c r="U1054" t="n">
        <x:v>1</x:v>
      </x:c>
      <x:c r="V1054" t="n">
        <x:v>1</x:v>
      </x:c>
      <x:c r="W1054" t="n">
        <x:v>0</x:v>
      </x:c>
      <x:c r="X1054" t="n">
        <x:v>0</x:v>
      </x:c>
      <x:c r="Y1054" t="n">
        <x:v>0</x:v>
      </x:c>
      <x:c r="Z1054" t="n">
        <x:v>1</x:v>
      </x:c>
      <x:c r="AA1054" t="n">
        <x:v>3</x:v>
      </x:c>
      <x:c r="AB1054" t="str">
        <x:v>Pass</x:v>
      </x:c>
      <x:c r="AC1054" t="str"/>
      <x:c r="AD1054" t="str"/>
    </x:row>
    <x:row r="1055">
      <x:c r="A1055" t="str">
        <x:v>REC1054</x:v>
      </x:c>
      <x:c r="B1055" t="n">
        <x:v>1053</x:v>
      </x:c>
      <x:c r="C1055" t="str">
        <x:v>St. John, USVI</x:v>
      </x:c>
      <x:c r="D1055" t="str">
        <x:v>GV</x:v>
      </x:c>
      <x:c r="E1055" t="str">
        <x:v>Ground Validation</x:v>
      </x:c>
      <x:c r="F1055" t="str">
        <x:v>HD Seaviewer Drop Camera</x:v>
      </x:c>
      <x:c r="G1055" t="str">
        <x:v>GV2016_425</x:v>
      </x:c>
      <x:c r="H1055" s="28" t="n">
        <x:v>42630</x:v>
      </x:c>
      <x:c r="I1055" t="str">
        <x:v>12:13:00</x:v>
      </x:c>
      <x:c r="J1055" t="n">
        <x:v>2016</x:v>
      </x:c>
      <x:c r="K1055" t="n">
        <x:v>18.21798591</x:v>
      </x:c>
      <x:c r="L1055" t="n">
        <x:v>-64.74914171</x:v>
      </x:c>
      <x:c r="M1055" t="n">
        <x:v>52.107</x:v>
      </x:c>
      <x:c r="N1055" t="str">
        <x:v>https://nccospublicstor.blob.core.windows.net/biomapper/usviinsularshelf2017/videos/low/GV2016_425.mp4</x:v>
      </x:c>
      <x:c r="O1055" t="n">
        <x:v>0</x:v>
      </x:c>
      <x:c r="P1055" t="n">
        <x:v>1</x:v>
      </x:c>
      <x:c r="Q1055" t="n">
        <x:v>1</x:v>
      </x:c>
      <x:c r="R1055" t="n">
        <x:v>0</x:v>
      </x:c>
      <x:c r="S1055" t="n">
        <x:v>1</x:v>
      </x:c>
      <x:c r="T1055" t="n">
        <x:v>0</x:v>
      </x:c>
      <x:c r="U1055" t="n">
        <x:v>1</x:v>
      </x:c>
      <x:c r="V1055" t="n">
        <x:v>1</x:v>
      </x:c>
      <x:c r="W1055" t="n">
        <x:v>0</x:v>
      </x:c>
      <x:c r="X1055" t="n">
        <x:v>0</x:v>
      </x:c>
      <x:c r="Y1055" t="n">
        <x:v>0</x:v>
      </x:c>
      <x:c r="Z1055" t="n">
        <x:v>2</x:v>
      </x:c>
      <x:c r="AA1055" t="n">
        <x:v>3</x:v>
      </x:c>
      <x:c r="AB1055" t="str">
        <x:v>Pass</x:v>
      </x:c>
      <x:c r="AC1055" t="str"/>
      <x:c r="AD1055" t="str"/>
    </x:row>
    <x:row r="1056">
      <x:c r="A1056" t="str">
        <x:v>REC1055</x:v>
      </x:c>
      <x:c r="B1056" t="n">
        <x:v>1054</x:v>
      </x:c>
      <x:c r="C1056" t="str">
        <x:v>St. John, USVI</x:v>
      </x:c>
      <x:c r="D1056" t="str">
        <x:v>GV</x:v>
      </x:c>
      <x:c r="E1056" t="str">
        <x:v>Ground Validation</x:v>
      </x:c>
      <x:c r="F1056" t="str">
        <x:v>HD Seaviewer Drop Camera</x:v>
      </x:c>
      <x:c r="G1056" t="str">
        <x:v>GV2016_426</x:v>
      </x:c>
      <x:c r="H1056" s="28" t="n">
        <x:v>42615</x:v>
      </x:c>
      <x:c r="I1056" t="str">
        <x:v>11:37:25</x:v>
      </x:c>
      <x:c r="J1056" t="n">
        <x:v>2016</x:v>
      </x:c>
      <x:c r="K1056" t="n">
        <x:v>18.28616291</x:v>
      </x:c>
      <x:c r="L1056" t="n">
        <x:v>-64.71526474</x:v>
      </x:c>
      <x:c r="M1056" t="n">
        <x:v>33.196</x:v>
      </x:c>
      <x:c r="N1056" t="str">
        <x:v>https://nccospublicstor.blob.core.windows.net/biomapper/usviinsularshelf2017/videos/low/GV2016_426.mp4</x:v>
      </x:c>
      <x:c r="O1056" t="n">
        <x:v>0</x:v>
      </x:c>
      <x:c r="P1056" t="n">
        <x:v>0</x:v>
      </x:c>
      <x:c r="Q1056" t="n">
        <x:v>1</x:v>
      </x:c>
      <x:c r="R1056" t="n">
        <x:v>1</x:v>
      </x:c>
      <x:c r="S1056" t="n">
        <x:v>1</x:v>
      </x:c>
      <x:c r="T1056" t="n">
        <x:v>0</x:v>
      </x:c>
      <x:c r="U1056" t="n">
        <x:v>1</x:v>
      </x:c>
      <x:c r="V1056" t="n">
        <x:v>1</x:v>
      </x:c>
      <x:c r="W1056" t="n">
        <x:v>0</x:v>
      </x:c>
      <x:c r="X1056" t="n">
        <x:v>0</x:v>
      </x:c>
      <x:c r="Y1056" t="n">
        <x:v>0</x:v>
      </x:c>
      <x:c r="Z1056" t="n">
        <x:v>2</x:v>
      </x:c>
      <x:c r="AA1056" t="n">
        <x:v>3</x:v>
      </x:c>
      <x:c r="AB1056" t="str">
        <x:v>Pass</x:v>
      </x:c>
      <x:c r="AC1056" t="str"/>
      <x:c r="AD1056" t="str"/>
    </x:row>
    <x:row r="1057">
      <x:c r="A1057" t="str">
        <x:v>REC1056</x:v>
      </x:c>
      <x:c r="B1057" t="n">
        <x:v>1055</x:v>
      </x:c>
      <x:c r="C1057" t="str">
        <x:v>St. John, USVI</x:v>
      </x:c>
      <x:c r="D1057" t="str">
        <x:v>GV</x:v>
      </x:c>
      <x:c r="E1057" t="str">
        <x:v>Ground Validation</x:v>
      </x:c>
      <x:c r="F1057" t="str">
        <x:v>HD Seaviewer Drop Camera</x:v>
      </x:c>
      <x:c r="G1057" t="str">
        <x:v>GV2016_427</x:v>
      </x:c>
      <x:c r="H1057" s="28" t="n">
        <x:v>42625</x:v>
      </x:c>
      <x:c r="I1057" t="str">
        <x:v>08:33:46</x:v>
      </x:c>
      <x:c r="J1057" t="n">
        <x:v>2016</x:v>
      </x:c>
      <x:c r="K1057" t="n">
        <x:v>18.26550477</x:v>
      </x:c>
      <x:c r="L1057" t="n">
        <x:v>-64.70113758</x:v>
      </x:c>
      <x:c r="M1057" t="n">
        <x:v>47.5</x:v>
      </x:c>
      <x:c r="N1057" t="str">
        <x:v>https://nccospublicstor.blob.core.windows.net/biomapper/usviinsularshelf2017/videos/low/GV2016_427.mp4</x:v>
      </x:c>
      <x:c r="O1057" t="n">
        <x:v>0</x:v>
      </x:c>
      <x:c r="P1057" t="n">
        <x:v>0</x:v>
      </x:c>
      <x:c r="Q1057" t="n">
        <x:v>1</x:v>
      </x:c>
      <x:c r="R1057" t="n">
        <x:v>0</x:v>
      </x:c>
      <x:c r="S1057" t="n">
        <x:v>0</x:v>
      </x:c>
      <x:c r="T1057" t="n">
        <x:v>0</x:v>
      </x:c>
      <x:c r="U1057" t="n">
        <x:v>1</x:v>
      </x:c>
      <x:c r="V1057" t="n">
        <x:v>1</x:v>
      </x:c>
      <x:c r="W1057" t="n">
        <x:v>0</x:v>
      </x:c>
      <x:c r="X1057" t="n">
        <x:v>0</x:v>
      </x:c>
      <x:c r="Y1057" t="n">
        <x:v>0</x:v>
      </x:c>
      <x:c r="Z1057" t="n">
        <x:v>1</x:v>
      </x:c>
      <x:c r="AA1057" t="n">
        <x:v>2</x:v>
      </x:c>
      <x:c r="AB1057" t="str">
        <x:v>Pass</x:v>
      </x:c>
      <x:c r="AC1057" t="str"/>
      <x:c r="AD1057" t="str"/>
    </x:row>
    <x:row r="1058">
      <x:c r="A1058" t="str">
        <x:v>REC1057</x:v>
      </x:c>
      <x:c r="B1058" t="n">
        <x:v>1056</x:v>
      </x:c>
      <x:c r="C1058" t="str">
        <x:v>St. John, USVI</x:v>
      </x:c>
      <x:c r="D1058" t="str">
        <x:v>GV</x:v>
      </x:c>
      <x:c r="E1058" t="str">
        <x:v>Ground Validation</x:v>
      </x:c>
      <x:c r="F1058" t="str">
        <x:v>HD Seaviewer Drop Camera</x:v>
      </x:c>
      <x:c r="G1058" t="str">
        <x:v>GV2016_428</x:v>
      </x:c>
      <x:c r="H1058" s="28" t="n">
        <x:v>42630</x:v>
      </x:c>
      <x:c r="I1058" t="str">
        <x:v>14:23:14</x:v>
      </x:c>
      <x:c r="J1058" t="n">
        <x:v>2016</x:v>
      </x:c>
      <x:c r="K1058" t="n">
        <x:v>18.23961477</x:v>
      </x:c>
      <x:c r="L1058" t="n">
        <x:v>-64.75217712</x:v>
      </x:c>
      <x:c r="M1058" t="n">
        <x:v>45</x:v>
      </x:c>
      <x:c r="N1058" t="str">
        <x:v>https://nccospublicstor.blob.core.windows.net/biomapper/usviinsularshelf2017/videos/low/GV2016_428.mp4</x:v>
      </x:c>
      <x:c r="O1058" t="n">
        <x:v>1</x:v>
      </x:c>
      <x:c r="P1058" t="n">
        <x:v>0</x:v>
      </x:c>
      <x:c r="Q1058" t="n">
        <x:v>0</x:v>
      </x:c>
      <x:c r="R1058" t="n">
        <x:v>0</x:v>
      </x:c>
      <x:c r="S1058" t="n">
        <x:v>1</x:v>
      </x:c>
      <x:c r="T1058" t="n">
        <x:v>0</x:v>
      </x:c>
      <x:c r="U1058" t="n">
        <x:v>1</x:v>
      </x:c>
      <x:c r="V1058" t="n">
        <x:v>1</x:v>
      </x:c>
      <x:c r="W1058" t="n">
        <x:v>0</x:v>
      </x:c>
      <x:c r="X1058" t="n">
        <x:v>0</x:v>
      </x:c>
      <x:c r="Y1058" t="n">
        <x:v>0</x:v>
      </x:c>
      <x:c r="Z1058" t="n">
        <x:v>1</x:v>
      </x:c>
      <x:c r="AA1058" t="n">
        <x:v>3</x:v>
      </x:c>
      <x:c r="AB1058" t="str">
        <x:v>Pass</x:v>
      </x:c>
      <x:c r="AC1058" t="str"/>
      <x:c r="AD1058" t="str"/>
    </x:row>
    <x:row r="1059">
      <x:c r="A1059" t="str">
        <x:v>REC1058</x:v>
      </x:c>
      <x:c r="B1059" t="n">
        <x:v>1057</x:v>
      </x:c>
      <x:c r="C1059" t="str">
        <x:v>St. Thomas, USVI</x:v>
      </x:c>
      <x:c r="D1059" t="str">
        <x:v>GV</x:v>
      </x:c>
      <x:c r="E1059" t="str">
        <x:v>Ground Validation</x:v>
      </x:c>
      <x:c r="F1059" t="str">
        <x:v>HD Seaviewer Drop Camera</x:v>
      </x:c>
      <x:c r="G1059" t="str">
        <x:v>GV2016_429</x:v>
      </x:c>
      <x:c r="H1059" s="28" t="n">
        <x:v>42602</x:v>
      </x:c>
      <x:c r="I1059" t="str">
        <x:v>13:10:05</x:v>
      </x:c>
      <x:c r="J1059" t="n">
        <x:v>2016</x:v>
      </x:c>
      <x:c r="K1059" t="n">
        <x:v>18.27720552</x:v>
      </x:c>
      <x:c r="L1059" t="n">
        <x:v>-65.11158939</x:v>
      </x:c>
      <x:c r="M1059" t="n">
        <x:v>27.897</x:v>
      </x:c>
      <x:c r="N1059" t="str">
        <x:v>https://nccospublicstor.blob.core.windows.net/biomapper/usviinsularshelf2017/videos/low/GV2016_429.mp4</x:v>
      </x:c>
      <x:c r="O1059" t="n">
        <x:v>1</x:v>
      </x:c>
      <x:c r="P1059" t="n">
        <x:v>0</x:v>
      </x:c>
      <x:c r="Q1059" t="n">
        <x:v>0</x:v>
      </x:c>
      <x:c r="R1059" t="n">
        <x:v>0</x:v>
      </x:c>
      <x:c r="S1059" t="n">
        <x:v>1</x:v>
      </x:c>
      <x:c r="T1059" t="n">
        <x:v>0</x:v>
      </x:c>
      <x:c r="U1059" t="n">
        <x:v>1</x:v>
      </x:c>
      <x:c r="V1059" t="n">
        <x:v>1</x:v>
      </x:c>
      <x:c r="W1059" t="n">
        <x:v>0</x:v>
      </x:c>
      <x:c r="X1059" t="n">
        <x:v>0</x:v>
      </x:c>
      <x:c r="Y1059" t="n">
        <x:v>0</x:v>
      </x:c>
      <x:c r="Z1059" t="n">
        <x:v>1</x:v>
      </x:c>
      <x:c r="AA1059" t="n">
        <x:v>3</x:v>
      </x:c>
      <x:c r="AB1059" t="str">
        <x:v>Pass</x:v>
      </x:c>
      <x:c r="AC1059" t="str"/>
      <x:c r="AD1059" t="str"/>
    </x:row>
    <x:row r="1060">
      <x:c r="A1060" t="str">
        <x:v>REC1059</x:v>
      </x:c>
      <x:c r="B1060" t="n">
        <x:v>1058</x:v>
      </x:c>
      <x:c r="C1060" t="str">
        <x:v>Puerto Rico</x:v>
      </x:c>
      <x:c r="D1060" t="str">
        <x:v>GV</x:v>
      </x:c>
      <x:c r="E1060" t="str">
        <x:v>Ground Validation</x:v>
      </x:c>
      <x:c r="F1060" t="str">
        <x:v>HD Seaviewer Drop Camera</x:v>
      </x:c>
      <x:c r="G1060" t="str">
        <x:v>GV2016_430</x:v>
      </x:c>
      <x:c r="H1060" s="28" t="n">
        <x:v>42604</x:v>
      </x:c>
      <x:c r="I1060" t="str">
        <x:v>11:13:03</x:v>
      </x:c>
      <x:c r="J1060" t="n">
        <x:v>2016</x:v>
      </x:c>
      <x:c r="K1060" t="n">
        <x:v>18.20017997</x:v>
      </x:c>
      <x:c r="L1060" t="n">
        <x:v>-65.19891568</x:v>
      </x:c>
      <x:c r="M1060" t="n">
        <x:v>32.226</x:v>
      </x:c>
      <x:c r="N1060" t="str">
        <x:v>https://nccospublicstor.blob.core.windows.net/biomapper/usviinsularshelf2017/videos/low/GV2016_430.mp4</x:v>
      </x:c>
      <x:c r="O1060" t="n">
        <x:v>1</x:v>
      </x:c>
      <x:c r="P1060" t="n">
        <x:v>0</x:v>
      </x:c>
      <x:c r="Q1060" t="n">
        <x:v>0</x:v>
      </x:c>
      <x:c r="R1060" t="n">
        <x:v>0</x:v>
      </x:c>
      <x:c r="S1060" t="n">
        <x:v>1</x:v>
      </x:c>
      <x:c r="T1060" t="n">
        <x:v>1</x:v>
      </x:c>
      <x:c r="U1060" t="n">
        <x:v>1</x:v>
      </x:c>
      <x:c r="V1060" t="n">
        <x:v>1</x:v>
      </x:c>
      <x:c r="W1060" t="n">
        <x:v>0</x:v>
      </x:c>
      <x:c r="X1060" t="n">
        <x:v>0</x:v>
      </x:c>
      <x:c r="Y1060" t="n">
        <x:v>0</x:v>
      </x:c>
      <x:c r="Z1060" t="n">
        <x:v>1</x:v>
      </x:c>
      <x:c r="AA1060" t="n">
        <x:v>4</x:v>
      </x:c>
      <x:c r="AB1060" t="str">
        <x:v>Pass</x:v>
      </x:c>
      <x:c r="AC1060" t="str"/>
      <x:c r="AD1060" t="str"/>
    </x:row>
    <x:row r="1061">
      <x:c r="A1061" t="str">
        <x:v>REC1060</x:v>
      </x:c>
      <x:c r="B1061" t="n">
        <x:v>1059</x:v>
      </x:c>
      <x:c r="C1061" t="str">
        <x:v>Puerto Rico</x:v>
      </x:c>
      <x:c r="D1061" t="str">
        <x:v>GV</x:v>
      </x:c>
      <x:c r="E1061" t="str">
        <x:v>Ground Validation</x:v>
      </x:c>
      <x:c r="F1061" t="str">
        <x:v>HD Seaviewer Drop Camera</x:v>
      </x:c>
      <x:c r="G1061" t="str">
        <x:v>GV2016_431</x:v>
      </x:c>
      <x:c r="H1061" s="28" t="n">
        <x:v>42607</x:v>
      </x:c>
      <x:c r="I1061" t="str">
        <x:v>11:08:19</x:v>
      </x:c>
      <x:c r="J1061" t="n">
        <x:v>2016</x:v>
      </x:c>
      <x:c r="K1061" t="n">
        <x:v>18.22674406</x:v>
      </x:c>
      <x:c r="L1061" t="n">
        <x:v>-65.15316486</x:v>
      </x:c>
      <x:c r="M1061" t="n">
        <x:v>38.834</x:v>
      </x:c>
      <x:c r="N1061" t="str">
        <x:v>https://nccospublicstor.blob.core.windows.net/biomapper/usviinsularshelf2017/videos/low/GV2016_431.mp4</x:v>
      </x:c>
      <x:c r="O1061" t="n">
        <x:v>0</x:v>
      </x:c>
      <x:c r="P1061" t="n">
        <x:v>0</x:v>
      </x:c>
      <x:c r="Q1061" t="n">
        <x:v>1</x:v>
      </x:c>
      <x:c r="R1061" t="n">
        <x:v>1</x:v>
      </x:c>
      <x:c r="S1061" t="n">
        <x:v>0</x:v>
      </x:c>
      <x:c r="T1061" t="n">
        <x:v>0</x:v>
      </x:c>
      <x:c r="U1061" t="n">
        <x:v>1</x:v>
      </x:c>
      <x:c r="V1061" t="n">
        <x:v>1</x:v>
      </x:c>
      <x:c r="W1061" t="n">
        <x:v>0</x:v>
      </x:c>
      <x:c r="X1061" t="n">
        <x:v>0</x:v>
      </x:c>
      <x:c r="Y1061" t="n">
        <x:v>0</x:v>
      </x:c>
      <x:c r="Z1061" t="n">
        <x:v>2</x:v>
      </x:c>
      <x:c r="AA1061" t="n">
        <x:v>2</x:v>
      </x:c>
      <x:c r="AB1061" t="str">
        <x:v>Pass</x:v>
      </x:c>
      <x:c r="AC1061" t="str"/>
      <x:c r="AD1061" t="str"/>
    </x:row>
    <x:row r="1062">
      <x:c r="A1062" t="str">
        <x:v>REC1061</x:v>
      </x:c>
      <x:c r="B1062" t="n">
        <x:v>1060</x:v>
      </x:c>
      <x:c r="C1062" t="str">
        <x:v>St. Thomas, USVI</x:v>
      </x:c>
      <x:c r="D1062" t="str">
        <x:v>GV</x:v>
      </x:c>
      <x:c r="E1062" t="str">
        <x:v>Ground Validation</x:v>
      </x:c>
      <x:c r="F1062" t="str">
        <x:v>HD Seaviewer Drop Camera</x:v>
      </x:c>
      <x:c r="G1062" t="str">
        <x:v>GV2016_432</x:v>
      </x:c>
      <x:c r="H1062" s="28" t="n">
        <x:v>42609</x:v>
      </x:c>
      <x:c r="I1062" t="str">
        <x:v>13:18:58</x:v>
      </x:c>
      <x:c r="J1062" t="n">
        <x:v>2016</x:v>
      </x:c>
      <x:c r="K1062" t="n">
        <x:v>18.23947124</x:v>
      </x:c>
      <x:c r="L1062" t="n">
        <x:v>-65.00871603</x:v>
      </x:c>
      <x:c r="M1062" t="n">
        <x:v>40.185</x:v>
      </x:c>
      <x:c r="N1062" t="str">
        <x:v>https://nccospublicstor.blob.core.windows.net/biomapper/usviinsularshelf2017/videos/low/GV2016_432.mp4</x:v>
      </x:c>
      <x:c r="O1062" t="n">
        <x:v>0</x:v>
      </x:c>
      <x:c r="P1062" t="n">
        <x:v>0</x:v>
      </x:c>
      <x:c r="Q1062" t="n">
        <x:v>1</x:v>
      </x:c>
      <x:c r="R1062" t="n">
        <x:v>1</x:v>
      </x:c>
      <x:c r="S1062" t="n">
        <x:v>0</x:v>
      </x:c>
      <x:c r="T1062" t="n">
        <x:v>0</x:v>
      </x:c>
      <x:c r="U1062" t="n">
        <x:v>1</x:v>
      </x:c>
      <x:c r="V1062" t="n">
        <x:v>1</x:v>
      </x:c>
      <x:c r="W1062" t="n">
        <x:v>0</x:v>
      </x:c>
      <x:c r="X1062" t="n">
        <x:v>0</x:v>
      </x:c>
      <x:c r="Y1062" t="n">
        <x:v>0</x:v>
      </x:c>
      <x:c r="Z1062" t="n">
        <x:v>2</x:v>
      </x:c>
      <x:c r="AA1062" t="n">
        <x:v>2</x:v>
      </x:c>
      <x:c r="AB1062" t="str">
        <x:v>Pass</x:v>
      </x:c>
      <x:c r="AC1062" t="str"/>
      <x:c r="AD1062" t="str"/>
    </x:row>
    <x:row r="1063">
      <x:c r="A1063" t="str">
        <x:v>REC1062</x:v>
      </x:c>
      <x:c r="B1063" t="n">
        <x:v>1061</x:v>
      </x:c>
      <x:c r="C1063" t="str">
        <x:v>St. Thomas, USVI</x:v>
      </x:c>
      <x:c r="D1063" t="str">
        <x:v>GV</x:v>
      </x:c>
      <x:c r="E1063" t="str">
        <x:v>Ground Validation</x:v>
      </x:c>
      <x:c r="F1063" t="str">
        <x:v>HD Seaviewer Drop Camera</x:v>
      </x:c>
      <x:c r="G1063" t="str">
        <x:v>GV2016_433</x:v>
      </x:c>
      <x:c r="H1063" s="28" t="n">
        <x:v>42602</x:v>
      </x:c>
      <x:c r="I1063" t="str">
        <x:v>12:09:02</x:v>
      </x:c>
      <x:c r="J1063" t="n">
        <x:v>2016</x:v>
      </x:c>
      <x:c r="K1063" t="n">
        <x:v>18.26264291</x:v>
      </x:c>
      <x:c r="L1063" t="n">
        <x:v>-65.06850766</x:v>
      </x:c>
      <x:c r="M1063" t="n">
        <x:v>34.319</x:v>
      </x:c>
      <x:c r="N1063" t="str">
        <x:v>https://nccospublicstor.blob.core.windows.net/biomapper/usviinsularshelf2017/videos/low/GV2016_433.mp4</x:v>
      </x:c>
      <x:c r="O1063" t="n">
        <x:v>0</x:v>
      </x:c>
      <x:c r="P1063" t="n">
        <x:v>0</x:v>
      </x:c>
      <x:c r="Q1063" t="n">
        <x:v>1</x:v>
      </x:c>
      <x:c r="R1063" t="n">
        <x:v>0</x:v>
      </x:c>
      <x:c r="S1063" t="n">
        <x:v>0</x:v>
      </x:c>
      <x:c r="T1063" t="n">
        <x:v>0</x:v>
      </x:c>
      <x:c r="U1063" t="n">
        <x:v>1</x:v>
      </x:c>
      <x:c r="V1063" t="n">
        <x:v>1</x:v>
      </x:c>
      <x:c r="W1063" t="n">
        <x:v>0</x:v>
      </x:c>
      <x:c r="X1063" t="n">
        <x:v>0</x:v>
      </x:c>
      <x:c r="Y1063" t="n">
        <x:v>0</x:v>
      </x:c>
      <x:c r="Z1063" t="n">
        <x:v>1</x:v>
      </x:c>
      <x:c r="AA1063" t="n">
        <x:v>2</x:v>
      </x:c>
      <x:c r="AB1063" t="str">
        <x:v>Pass</x:v>
      </x:c>
      <x:c r="AC1063" t="str"/>
      <x:c r="AD1063" t="str"/>
    </x:row>
    <x:row r="1064">
      <x:c r="A1064" t="str">
        <x:v>REC1063</x:v>
      </x:c>
      <x:c r="B1064" t="n">
        <x:v>1062</x:v>
      </x:c>
      <x:c r="C1064" t="str">
        <x:v>St. Thomas, USVI</x:v>
      </x:c>
      <x:c r="D1064" t="str">
        <x:v>GV</x:v>
      </x:c>
      <x:c r="E1064" t="str">
        <x:v>Ground Validation</x:v>
      </x:c>
      <x:c r="F1064" t="str">
        <x:v>HD Seaviewer Drop Camera</x:v>
      </x:c>
      <x:c r="G1064" t="str">
        <x:v>GV2016_434</x:v>
      </x:c>
      <x:c r="H1064" s="28" t="n">
        <x:v>42609</x:v>
      </x:c>
      <x:c r="I1064" t="str">
        <x:v>14:47:40</x:v>
      </x:c>
      <x:c r="J1064" t="n">
        <x:v>2016</x:v>
      </x:c>
      <x:c r="K1064" t="n">
        <x:v>18.25394044</x:v>
      </x:c>
      <x:c r="L1064" t="n">
        <x:v>-65.02944532</x:v>
      </x:c>
      <x:c r="M1064" t="n">
        <x:v>35.755</x:v>
      </x:c>
      <x:c r="N1064" t="str">
        <x:v>https://nccospublicstor.blob.core.windows.net/biomapper/usviinsularshelf2017/videos/low/GV2016_434.mp4</x:v>
      </x:c>
      <x:c r="O1064" t="n">
        <x:v>1</x:v>
      </x:c>
      <x:c r="P1064" t="n">
        <x:v>0</x:v>
      </x:c>
      <x:c r="Q1064" t="n">
        <x:v>1</x:v>
      </x:c>
      <x:c r="R1064" t="n">
        <x:v>1</x:v>
      </x:c>
      <x:c r="S1064" t="n">
        <x:v>1</x:v>
      </x:c>
      <x:c r="T1064" t="n">
        <x:v>0</x:v>
      </x:c>
      <x:c r="U1064" t="n">
        <x:v>1</x:v>
      </x:c>
      <x:c r="V1064" t="n">
        <x:v>1</x:v>
      </x:c>
      <x:c r="W1064" t="n">
        <x:v>0</x:v>
      </x:c>
      <x:c r="X1064" t="n">
        <x:v>0</x:v>
      </x:c>
      <x:c r="Y1064" t="n">
        <x:v>0</x:v>
      </x:c>
      <x:c r="Z1064" t="n">
        <x:v>3</x:v>
      </x:c>
      <x:c r="AA1064" t="n">
        <x:v>3</x:v>
      </x:c>
      <x:c r="AB1064" t="str">
        <x:v>Pass</x:v>
      </x:c>
      <x:c r="AC1064" t="str"/>
      <x:c r="AD1064" t="str"/>
    </x:row>
    <x:row r="1065">
      <x:c r="A1065" t="str">
        <x:v>REC1064</x:v>
      </x:c>
      <x:c r="B1065" t="n">
        <x:v>1063</x:v>
      </x:c>
      <x:c r="C1065" t="str">
        <x:v>Puerto Rico</x:v>
      </x:c>
      <x:c r="D1065" t="str">
        <x:v>GV</x:v>
      </x:c>
      <x:c r="E1065" t="str">
        <x:v>Ground Validation</x:v>
      </x:c>
      <x:c r="F1065" t="str">
        <x:v>HD Seaviewer Drop Camera</x:v>
      </x:c>
      <x:c r="G1065" t="str">
        <x:v>GV2016_435</x:v>
      </x:c>
      <x:c r="H1065" s="28" t="n">
        <x:v>42603</x:v>
      </x:c>
      <x:c r="I1065" t="str">
        <x:v>08:35:24</x:v>
      </x:c>
      <x:c r="J1065" t="n">
        <x:v>2016</x:v>
      </x:c>
      <x:c r="K1065" t="n">
        <x:v>18.15174317</x:v>
      </x:c>
      <x:c r="L1065" t="n">
        <x:v>-65.19298062</x:v>
      </x:c>
      <x:c r="M1065" t="n">
        <x:v>37.234</x:v>
      </x:c>
      <x:c r="N1065" t="str">
        <x:v>https://nccospublicstor.blob.core.windows.net/biomapper/usviinsularshelf2017/videos/low/GV2016_435.mp4</x:v>
      </x:c>
      <x:c r="O1065" t="n">
        <x:v>1</x:v>
      </x:c>
      <x:c r="P1065" t="n">
        <x:v>0</x:v>
      </x:c>
      <x:c r="Q1065" t="n">
        <x:v>0</x:v>
      </x:c>
      <x:c r="R1065" t="n">
        <x:v>0</x:v>
      </x:c>
      <x:c r="S1065" t="n">
        <x:v>1</x:v>
      </x:c>
      <x:c r="T1065" t="n">
        <x:v>0</x:v>
      </x:c>
      <x:c r="U1065" t="n">
        <x:v>1</x:v>
      </x:c>
      <x:c r="V1065" t="n">
        <x:v>1</x:v>
      </x:c>
      <x:c r="W1065" t="n">
        <x:v>0</x:v>
      </x:c>
      <x:c r="X1065" t="n">
        <x:v>0</x:v>
      </x:c>
      <x:c r="Y1065" t="n">
        <x:v>0</x:v>
      </x:c>
      <x:c r="Z1065" t="n">
        <x:v>1</x:v>
      </x:c>
      <x:c r="AA1065" t="n">
        <x:v>3</x:v>
      </x:c>
      <x:c r="AB1065" t="str">
        <x:v>Pass</x:v>
      </x:c>
      <x:c r="AC1065" t="str"/>
      <x:c r="AD1065" t="str">
        <x:v>Coral Bleaching</x:v>
      </x:c>
    </x:row>
    <x:row r="1066">
      <x:c r="A1066" t="str">
        <x:v>REC1065</x:v>
      </x:c>
      <x:c r="B1066" t="n">
        <x:v>1064</x:v>
      </x:c>
      <x:c r="C1066" t="str">
        <x:v>St. Thomas, USVI</x:v>
      </x:c>
      <x:c r="D1066" t="str">
        <x:v>GV</x:v>
      </x:c>
      <x:c r="E1066" t="str">
        <x:v>Ground Validation</x:v>
      </x:c>
      <x:c r="F1066" t="str">
        <x:v>HD Seaviewer Drop Camera</x:v>
      </x:c>
      <x:c r="G1066" t="str">
        <x:v>GV2016_436</x:v>
      </x:c>
      <x:c r="H1066" s="28" t="n">
        <x:v>42609</x:v>
      </x:c>
      <x:c r="I1066" t="str">
        <x:v>12:05:09</x:v>
      </x:c>
      <x:c r="J1066" t="n">
        <x:v>2016</x:v>
      </x:c>
      <x:c r="K1066" t="n">
        <x:v>18.27416213</x:v>
      </x:c>
      <x:c r="L1066" t="n">
        <x:v>-65.01351489</x:v>
      </x:c>
      <x:c r="M1066" t="n">
        <x:v>33.368</x:v>
      </x:c>
      <x:c r="N1066" t="str">
        <x:v>https://nccospublicstor.blob.core.windows.net/biomapper/usviinsularshelf2017/videos/low/GV2016_436.mp4</x:v>
      </x:c>
      <x:c r="O1066" t="n">
        <x:v>0</x:v>
      </x:c>
      <x:c r="P1066" t="n">
        <x:v>0</x:v>
      </x:c>
      <x:c r="Q1066" t="n">
        <x:v>1</x:v>
      </x:c>
      <x:c r="R1066" t="n">
        <x:v>0</x:v>
      </x:c>
      <x:c r="S1066" t="n">
        <x:v>0</x:v>
      </x:c>
      <x:c r="T1066" t="n">
        <x:v>0</x:v>
      </x:c>
      <x:c r="U1066" t="n">
        <x:v>1</x:v>
      </x:c>
      <x:c r="V1066" t="n">
        <x:v>1</x:v>
      </x:c>
      <x:c r="W1066" t="n">
        <x:v>0</x:v>
      </x:c>
      <x:c r="X1066" t="n">
        <x:v>0</x:v>
      </x:c>
      <x:c r="Y1066" t="n">
        <x:v>0</x:v>
      </x:c>
      <x:c r="Z1066" t="n">
        <x:v>1</x:v>
      </x:c>
      <x:c r="AA1066" t="n">
        <x:v>2</x:v>
      </x:c>
      <x:c r="AB1066" t="str">
        <x:v>Pass</x:v>
      </x:c>
      <x:c r="AC1066" t="str"/>
      <x:c r="AD1066" t="str"/>
    </x:row>
    <x:row r="1067">
      <x:c r="A1067" t="str">
        <x:v>REC1066</x:v>
      </x:c>
      <x:c r="B1067" t="n">
        <x:v>1065</x:v>
      </x:c>
      <x:c r="C1067" t="str">
        <x:v>St. John, USVI</x:v>
      </x:c>
      <x:c r="D1067" t="str">
        <x:v>GV</x:v>
      </x:c>
      <x:c r="E1067" t="str">
        <x:v>Ground Validation</x:v>
      </x:c>
      <x:c r="F1067" t="str">
        <x:v>HD Seaviewer Drop Camera</x:v>
      </x:c>
      <x:c r="G1067" t="str">
        <x:v>GV2016_437</x:v>
      </x:c>
      <x:c r="H1067" s="28" t="n">
        <x:v>42614</x:v>
      </x:c>
      <x:c r="I1067" t="str">
        <x:v>12:56:16</x:v>
      </x:c>
      <x:c r="J1067" t="n">
        <x:v>2016</x:v>
      </x:c>
      <x:c r="K1067" t="n">
        <x:v>18.29659101</x:v>
      </x:c>
      <x:c r="L1067" t="n">
        <x:v>-64.73615295</x:v>
      </x:c>
      <x:c r="M1067" t="n">
        <x:v>28.902</x:v>
      </x:c>
      <x:c r="N1067" t="str">
        <x:v>https://nccospublicstor.blob.core.windows.net/biomapper/usviinsularshelf2017/videos/low/GV2016_437.mp4</x:v>
      </x:c>
      <x:c r="O1067" t="n">
        <x:v>0</x:v>
      </x:c>
      <x:c r="P1067" t="n">
        <x:v>0</x:v>
      </x:c>
      <x:c r="Q1067" t="n">
        <x:v>1</x:v>
      </x:c>
      <x:c r="R1067" t="n">
        <x:v>1</x:v>
      </x:c>
      <x:c r="S1067" t="n">
        <x:v>0</x:v>
      </x:c>
      <x:c r="T1067" t="n">
        <x:v>0</x:v>
      </x:c>
      <x:c r="U1067" t="n">
        <x:v>1</x:v>
      </x:c>
      <x:c r="V1067" t="n">
        <x:v>1</x:v>
      </x:c>
      <x:c r="W1067" t="n">
        <x:v>0</x:v>
      </x:c>
      <x:c r="X1067" t="n">
        <x:v>0</x:v>
      </x:c>
      <x:c r="Y1067" t="n">
        <x:v>0</x:v>
      </x:c>
      <x:c r="Z1067" t="n">
        <x:v>2</x:v>
      </x:c>
      <x:c r="AA1067" t="n">
        <x:v>2</x:v>
      </x:c>
      <x:c r="AB1067" t="str">
        <x:v>Pass</x:v>
      </x:c>
      <x:c r="AC1067" t="str"/>
      <x:c r="AD1067" t="str"/>
    </x:row>
    <x:row r="1068">
      <x:c r="A1068" t="str">
        <x:v>REC1067</x:v>
      </x:c>
      <x:c r="B1068" t="n">
        <x:v>1066</x:v>
      </x:c>
      <x:c r="C1068" t="str">
        <x:v>St. Thomas, USVI</x:v>
      </x:c>
      <x:c r="D1068" t="str">
        <x:v>GV</x:v>
      </x:c>
      <x:c r="E1068" t="str">
        <x:v>Ground Validation</x:v>
      </x:c>
      <x:c r="F1068" t="str">
        <x:v>HD Seaviewer Drop Camera</x:v>
      </x:c>
      <x:c r="G1068" t="str">
        <x:v>GV2016_439</x:v>
      </x:c>
      <x:c r="H1068" s="28" t="n">
        <x:v>42623</x:v>
      </x:c>
      <x:c r="I1068" t="str">
        <x:v>09:48:00</x:v>
      </x:c>
      <x:c r="J1068" t="n">
        <x:v>2016</x:v>
      </x:c>
      <x:c r="K1068" t="n">
        <x:v>18.25691794</x:v>
      </x:c>
      <x:c r="L1068" t="n">
        <x:v>-64.85238957</x:v>
      </x:c>
      <x:c r="M1068" t="n">
        <x:v>37.782</x:v>
      </x:c>
      <x:c r="N1068" t="str">
        <x:v>https://nccospublicstor.blob.core.windows.net/biomapper/usviinsularshelf2017/videos/low/GV2016_439.mp4</x:v>
      </x:c>
      <x:c r="O1068" t="n">
        <x:v>0</x:v>
      </x:c>
      <x:c r="P1068" t="n">
        <x:v>0</x:v>
      </x:c>
      <x:c r="Q1068" t="n">
        <x:v>1</x:v>
      </x:c>
      <x:c r="R1068" t="n">
        <x:v>1</x:v>
      </x:c>
      <x:c r="S1068" t="n">
        <x:v>0</x:v>
      </x:c>
      <x:c r="T1068" t="n">
        <x:v>0</x:v>
      </x:c>
      <x:c r="U1068" t="n">
        <x:v>1</x:v>
      </x:c>
      <x:c r="V1068" t="n">
        <x:v>1</x:v>
      </x:c>
      <x:c r="W1068" t="n">
        <x:v>0</x:v>
      </x:c>
      <x:c r="X1068" t="n">
        <x:v>0</x:v>
      </x:c>
      <x:c r="Y1068" t="n">
        <x:v>0</x:v>
      </x:c>
      <x:c r="Z1068" t="n">
        <x:v>2</x:v>
      </x:c>
      <x:c r="AA1068" t="n">
        <x:v>2</x:v>
      </x:c>
      <x:c r="AB1068" t="str">
        <x:v>Pass</x:v>
      </x:c>
      <x:c r="AC1068" t="str"/>
      <x:c r="AD1068" t="str">
        <x:v>Nurse Shark checkin it out</x:v>
      </x:c>
    </x:row>
    <x:row r="1069">
      <x:c r="A1069" t="str">
        <x:v>REC1068</x:v>
      </x:c>
      <x:c r="B1069" t="n">
        <x:v>1067</x:v>
      </x:c>
      <x:c r="C1069" t="str">
        <x:v>St. Thomas, USVI</x:v>
      </x:c>
      <x:c r="D1069" t="str">
        <x:v>GV</x:v>
      </x:c>
      <x:c r="E1069" t="str">
        <x:v>Ground Validation</x:v>
      </x:c>
      <x:c r="F1069" t="str">
        <x:v>HD Seaviewer Drop Camera</x:v>
      </x:c>
      <x:c r="G1069" t="str">
        <x:v>GV2016_440</x:v>
      </x:c>
      <x:c r="H1069" s="28" t="n">
        <x:v>42611</x:v>
      </x:c>
      <x:c r="I1069" t="str">
        <x:v>14:12:57</x:v>
      </x:c>
      <x:c r="J1069" t="n">
        <x:v>2016</x:v>
      </x:c>
      <x:c r="K1069" t="n">
        <x:v>18.23788828</x:v>
      </x:c>
      <x:c r="L1069" t="n">
        <x:v>-64.9802801</x:v>
      </x:c>
      <x:c r="M1069" t="n">
        <x:v>40.174</x:v>
      </x:c>
      <x:c r="N1069" t="str">
        <x:v>https://nccospublicstor.blob.core.windows.net/biomapper/usviinsularshelf2017/videos/low/GV2016_440.mp4</x:v>
      </x:c>
      <x:c r="O1069" t="n">
        <x:v>0</x:v>
      </x:c>
      <x:c r="P1069" t="n">
        <x:v>0</x:v>
      </x:c>
      <x:c r="Q1069" t="n">
        <x:v>1</x:v>
      </x:c>
      <x:c r="R1069" t="n">
        <x:v>1</x:v>
      </x:c>
      <x:c r="S1069" t="n">
        <x:v>0</x:v>
      </x:c>
      <x:c r="T1069" t="n">
        <x:v>0</x:v>
      </x:c>
      <x:c r="U1069" t="n">
        <x:v>1</x:v>
      </x:c>
      <x:c r="V1069" t="n">
        <x:v>1</x:v>
      </x:c>
      <x:c r="W1069" t="n">
        <x:v>0</x:v>
      </x:c>
      <x:c r="X1069" t="n">
        <x:v>0</x:v>
      </x:c>
      <x:c r="Y1069" t="n">
        <x:v>0</x:v>
      </x:c>
      <x:c r="Z1069" t="n">
        <x:v>2</x:v>
      </x:c>
      <x:c r="AA1069" t="n">
        <x:v>2</x:v>
      </x:c>
      <x:c r="AB1069" t="str">
        <x:v>Pass</x:v>
      </x:c>
      <x:c r="AC1069" t="str"/>
      <x:c r="AD1069" t="str"/>
    </x:row>
    <x:row r="1070">
      <x:c r="A1070" t="str">
        <x:v>REC1069</x:v>
      </x:c>
      <x:c r="B1070" t="n">
        <x:v>1068</x:v>
      </x:c>
      <x:c r="C1070" t="str">
        <x:v>St. John, USVI</x:v>
      </x:c>
      <x:c r="D1070" t="str">
        <x:v>GV</x:v>
      </x:c>
      <x:c r="E1070" t="str">
        <x:v>Ground Validation</x:v>
      </x:c>
      <x:c r="F1070" t="str">
        <x:v>HD Seaviewer Drop Camera</x:v>
      </x:c>
      <x:c r="G1070" t="str">
        <x:v>GV2016_441</x:v>
      </x:c>
      <x:c r="H1070" s="28" t="n">
        <x:v>42625</x:v>
      </x:c>
      <x:c r="I1070" t="str">
        <x:v>10:35:19</x:v>
      </x:c>
      <x:c r="J1070" t="n">
        <x:v>2016</x:v>
      </x:c>
      <x:c r="K1070" t="n">
        <x:v>18.22895919</x:v>
      </x:c>
      <x:c r="L1070" t="n">
        <x:v>-64.66793845</x:v>
      </x:c>
      <x:c r="M1070" t="n">
        <x:v>56.104</x:v>
      </x:c>
      <x:c r="N1070" t="str">
        <x:v>https://nccospublicstor.blob.core.windows.net/biomapper/usviinsularshelf2017/videos/low/GV2016_441.mp4</x:v>
      </x:c>
      <x:c r="O1070" t="n">
        <x:v>0</x:v>
      </x:c>
      <x:c r="P1070" t="n">
        <x:v>1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1</x:v>
      </x:c>
      <x:c r="V1070" t="n">
        <x:v>1</x:v>
      </x:c>
      <x:c r="W1070" t="n">
        <x:v>0</x:v>
      </x:c>
      <x:c r="X1070" t="n">
        <x:v>0</x:v>
      </x:c>
      <x:c r="Y1070" t="n">
        <x:v>0</x:v>
      </x:c>
      <x:c r="Z1070" t="n">
        <x:v>1</x:v>
      </x:c>
      <x:c r="AA1070" t="n">
        <x:v>2</x:v>
      </x:c>
      <x:c r="AB1070" t="str">
        <x:v>Pass</x:v>
      </x:c>
      <x:c r="AC1070" t="str"/>
      <x:c r="AD1070" t="str"/>
    </x:row>
    <x:row r="1071">
      <x:c r="A1071" t="str">
        <x:v>REC1070</x:v>
      </x:c>
      <x:c r="B1071" t="n">
        <x:v>1069</x:v>
      </x:c>
      <x:c r="C1071" t="str">
        <x:v>St. John, USVI</x:v>
      </x:c>
      <x:c r="D1071" t="str">
        <x:v>GV</x:v>
      </x:c>
      <x:c r="E1071" t="str">
        <x:v>Ground Validation</x:v>
      </x:c>
      <x:c r="F1071" t="str">
        <x:v>HD Seaviewer Drop Camera</x:v>
      </x:c>
      <x:c r="G1071" t="str">
        <x:v>GV2016_442</x:v>
      </x:c>
      <x:c r="H1071" s="28" t="n">
        <x:v>42625</x:v>
      </x:c>
      <x:c r="I1071" t="str">
        <x:v>10:43:20</x:v>
      </x:c>
      <x:c r="J1071" t="n">
        <x:v>2016</x:v>
      </x:c>
      <x:c r="K1071" t="n">
        <x:v>18.22357046</x:v>
      </x:c>
      <x:c r="L1071" t="n">
        <x:v>-64.67502423</x:v>
      </x:c>
      <x:c r="M1071" t="n">
        <x:v>39.739</x:v>
      </x:c>
      <x:c r="N1071" t="str">
        <x:v>https://nccospublicstor.blob.core.windows.net/biomapper/usviinsularshelf2017/videos/low/GV2016_442.mp4</x:v>
      </x:c>
      <x:c r="O1071" t="n">
        <x:v>0</x:v>
      </x:c>
      <x:c r="P1071" t="n">
        <x:v>1</x:v>
      </x:c>
      <x:c r="Q1071" t="n">
        <x:v>0</x:v>
      </x:c>
      <x:c r="R1071" t="n">
        <x:v>0</x:v>
      </x:c>
      <x:c r="S1071" t="n">
        <x:v>1</x:v>
      </x:c>
      <x:c r="T1071" t="n">
        <x:v>1</x:v>
      </x:c>
      <x:c r="U1071" t="n">
        <x:v>1</x:v>
      </x:c>
      <x:c r="V1071" t="n">
        <x:v>1</x:v>
      </x:c>
      <x:c r="W1071" t="n">
        <x:v>0</x:v>
      </x:c>
      <x:c r="X1071" t="n">
        <x:v>0</x:v>
      </x:c>
      <x:c r="Y1071" t="n">
        <x:v>0</x:v>
      </x:c>
      <x:c r="Z1071" t="n">
        <x:v>1</x:v>
      </x:c>
      <x:c r="AA1071" t="n">
        <x:v>4</x:v>
      </x:c>
      <x:c r="AB1071" t="str">
        <x:v>Pass</x:v>
      </x:c>
      <x:c r="AC1071" t="str"/>
      <x:c r="AD1071" t="str"/>
    </x:row>
    <x:row r="1072">
      <x:c r="A1072" t="str">
        <x:v>REC1071</x:v>
      </x:c>
      <x:c r="B1072" t="n">
        <x:v>1070</x:v>
      </x:c>
      <x:c r="C1072" t="str">
        <x:v>St. John, USVI</x:v>
      </x:c>
      <x:c r="D1072" t="str">
        <x:v>GV</x:v>
      </x:c>
      <x:c r="E1072" t="str">
        <x:v>Ground Validation</x:v>
      </x:c>
      <x:c r="F1072" t="str">
        <x:v>HD Seaviewer Drop Camera</x:v>
      </x:c>
      <x:c r="G1072" t="str">
        <x:v>GV2016_443</x:v>
      </x:c>
      <x:c r="H1072" s="28" t="n">
        <x:v>42625</x:v>
      </x:c>
      <x:c r="I1072" t="str">
        <x:v>11:26:58</x:v>
      </x:c>
      <x:c r="J1072" t="n">
        <x:v>2016</x:v>
      </x:c>
      <x:c r="K1072" t="n">
        <x:v>18.21387238</x:v>
      </x:c>
      <x:c r="L1072" t="n">
        <x:v>-64.70164194</x:v>
      </x:c>
      <x:c r="M1072" t="n">
        <x:v>55.791</x:v>
      </x:c>
      <x:c r="N1072" t="str">
        <x:v>https://nccospublicstor.blob.core.windows.net/biomapper/usviinsularshelf2017/videos/low/GV2016_443.mp4</x:v>
      </x:c>
      <x:c r="O1072" t="n">
        <x:v>0</x:v>
      </x:c>
      <x:c r="P1072" t="n">
        <x:v>1</x:v>
      </x:c>
      <x:c r="Q1072" t="n">
        <x:v>0</x:v>
      </x:c>
      <x:c r="R1072" t="n">
        <x:v>0</x:v>
      </x:c>
      <x:c r="S1072" t="n">
        <x:v>1</x:v>
      </x:c>
      <x:c r="T1072" t="n">
        <x:v>0</x:v>
      </x:c>
      <x:c r="U1072" t="n">
        <x:v>1</x:v>
      </x:c>
      <x:c r="V1072" t="n">
        <x:v>1</x:v>
      </x:c>
      <x:c r="W1072" t="n">
        <x:v>0</x:v>
      </x:c>
      <x:c r="X1072" t="n">
        <x:v>0</x:v>
      </x:c>
      <x:c r="Y1072" t="n">
        <x:v>0</x:v>
      </x:c>
      <x:c r="Z1072" t="n">
        <x:v>1</x:v>
      </x:c>
      <x:c r="AA1072" t="n">
        <x:v>3</x:v>
      </x:c>
      <x:c r="AB1072" t="str">
        <x:v>Pass</x:v>
      </x:c>
      <x:c r="AC1072" t="str"/>
      <x:c r="AD1072" t="str"/>
    </x:row>
    <x:row r="1073">
      <x:c r="A1073" t="str">
        <x:v>REC1072</x:v>
      </x:c>
      <x:c r="B1073" t="n">
        <x:v>1071</x:v>
      </x:c>
      <x:c r="C1073" t="str">
        <x:v>Puerto Rico</x:v>
      </x:c>
      <x:c r="D1073" t="str">
        <x:v>GV</x:v>
      </x:c>
      <x:c r="E1073" t="str">
        <x:v>Ground Validation</x:v>
      </x:c>
      <x:c r="F1073" t="str">
        <x:v>HD Seaviewer Drop Camera</x:v>
      </x:c>
      <x:c r="G1073" t="str">
        <x:v>GV2016_445</x:v>
      </x:c>
      <x:c r="H1073" s="28" t="n">
        <x:v>42603</x:v>
      </x:c>
      <x:c r="I1073" t="str">
        <x:v>14:09:36</x:v>
      </x:c>
      <x:c r="J1073" t="n">
        <x:v>2016</x:v>
      </x:c>
      <x:c r="K1073" t="n">
        <x:v>18.18379621</x:v>
      </x:c>
      <x:c r="L1073" t="n">
        <x:v>-65.23529083</x:v>
      </x:c>
      <x:c r="M1073" t="n">
        <x:v>23.811</x:v>
      </x:c>
      <x:c r="N1073" t="str">
        <x:v>https://nccospublicstor.blob.core.windows.net/biomapper/usviinsularshelf2017/videos/low/GV2016_445.mp4</x:v>
      </x:c>
      <x:c r="O1073" t="n">
        <x:v>1</x:v>
      </x:c>
      <x:c r="P1073" t="n">
        <x:v>0</x:v>
      </x:c>
      <x:c r="Q1073" t="n">
        <x:v>0</x:v>
      </x:c>
      <x:c r="R1073" t="n">
        <x:v>1</x:v>
      </x:c>
      <x:c r="S1073" t="n">
        <x:v>1</x:v>
      </x:c>
      <x:c r="T1073" t="n">
        <x:v>1</x:v>
      </x:c>
      <x:c r="U1073" t="n">
        <x:v>1</x:v>
      </x:c>
      <x:c r="V1073" t="n">
        <x:v>1</x:v>
      </x:c>
      <x:c r="W1073" t="n">
        <x:v>0</x:v>
      </x:c>
      <x:c r="X1073" t="n">
        <x:v>0</x:v>
      </x:c>
      <x:c r="Y1073" t="n">
        <x:v>0</x:v>
      </x:c>
      <x:c r="Z1073" t="n">
        <x:v>2</x:v>
      </x:c>
      <x:c r="AA1073" t="n">
        <x:v>4</x:v>
      </x:c>
      <x:c r="AB1073" t="str">
        <x:v>Pass</x:v>
      </x:c>
      <x:c r="AC1073" t="str"/>
      <x:c r="AD1073" t="str">
        <x:v>amazing coral cover!</x:v>
      </x:c>
    </x:row>
    <x:row r="1074">
      <x:c r="A1074" t="str">
        <x:v>REC1073</x:v>
      </x:c>
      <x:c r="B1074" t="n">
        <x:v>1072</x:v>
      </x:c>
      <x:c r="C1074" t="str">
        <x:v>St. Thomas, USVI</x:v>
      </x:c>
      <x:c r="D1074" t="str">
        <x:v>GV</x:v>
      </x:c>
      <x:c r="E1074" t="str">
        <x:v>Ground Validation</x:v>
      </x:c>
      <x:c r="F1074" t="str">
        <x:v>HD Seaviewer Drop Camera</x:v>
      </x:c>
      <x:c r="G1074" t="str">
        <x:v>GV2016_446</x:v>
      </x:c>
      <x:c r="H1074" s="28" t="n">
        <x:v>42609</x:v>
      </x:c>
      <x:c r="I1074" t="str">
        <x:v>09:48:59</x:v>
      </x:c>
      <x:c r="J1074" t="n">
        <x:v>2016</x:v>
      </x:c>
      <x:c r="K1074" t="n">
        <x:v>18.22214006</x:v>
      </x:c>
      <x:c r="L1074" t="n">
        <x:v>-65.09181586</x:v>
      </x:c>
      <x:c r="M1074" t="n">
        <x:v>35.366</x:v>
      </x:c>
      <x:c r="N1074" t="str">
        <x:v>https://nccospublicstor.blob.core.windows.net/biomapper/usviinsularshelf2017/videos/low/GV2016_446.mp4</x:v>
      </x:c>
      <x:c r="O1074" t="n">
        <x:v>1</x:v>
      </x:c>
      <x:c r="P1074" t="n">
        <x:v>0</x:v>
      </x:c>
      <x:c r="Q1074" t="n">
        <x:v>0</x:v>
      </x:c>
      <x:c r="R1074" t="n">
        <x:v>0</x:v>
      </x:c>
      <x:c r="S1074" t="n">
        <x:v>1</x:v>
      </x:c>
      <x:c r="T1074" t="n">
        <x:v>1</x:v>
      </x:c>
      <x:c r="U1074" t="n">
        <x:v>1</x:v>
      </x:c>
      <x:c r="V1074" t="n">
        <x:v>1</x:v>
      </x:c>
      <x:c r="W1074" t="n">
        <x:v>0</x:v>
      </x:c>
      <x:c r="X1074" t="n">
        <x:v>0</x:v>
      </x:c>
      <x:c r="Y1074" t="n">
        <x:v>0</x:v>
      </x:c>
      <x:c r="Z1074" t="n">
        <x:v>1</x:v>
      </x:c>
      <x:c r="AA1074" t="n">
        <x:v>4</x:v>
      </x:c>
      <x:c r="AB1074" t="str">
        <x:v>Pass</x:v>
      </x:c>
      <x:c r="AC1074" t="str"/>
      <x:c r="AD1074" t="str"/>
    </x:row>
    <x:row r="1075">
      <x:c r="A1075" t="str">
        <x:v>REC1074</x:v>
      </x:c>
      <x:c r="B1075" t="n">
        <x:v>1073</x:v>
      </x:c>
      <x:c r="C1075" t="str">
        <x:v>St. John, USVI</x:v>
      </x:c>
      <x:c r="D1075" t="str">
        <x:v>GV</x:v>
      </x:c>
      <x:c r="E1075" t="str">
        <x:v>Ground Validation</x:v>
      </x:c>
      <x:c r="F1075" t="str">
        <x:v>HD Seaviewer Drop Camera</x:v>
      </x:c>
      <x:c r="G1075" t="str">
        <x:v>GV2016_447</x:v>
      </x:c>
      <x:c r="H1075" s="28" t="n">
        <x:v>42626</x:v>
      </x:c>
      <x:c r="I1075" t="str">
        <x:v>12:18:33</x:v>
      </x:c>
      <x:c r="J1075" t="n">
        <x:v>2016</x:v>
      </x:c>
      <x:c r="K1075" t="n">
        <x:v>18.22727742</x:v>
      </x:c>
      <x:c r="L1075" t="n">
        <x:v>-64.80357139</x:v>
      </x:c>
      <x:c r="M1075" t="n">
        <x:v>55.275</x:v>
      </x:c>
      <x:c r="N1075" t="str">
        <x:v>https://nccospublicstor.blob.core.windows.net/biomapper/usviinsularshelf2017/videos/low/GV2016_447.mp4</x:v>
      </x:c>
      <x:c r="O1075" t="n">
        <x:v>0</x:v>
      </x:c>
      <x:c r="P1075" t="n">
        <x:v>0</x:v>
      </x:c>
      <x:c r="Q1075" t="n">
        <x:v>1</x:v>
      </x:c>
      <x:c r="R1075" t="n">
        <x:v>1</x:v>
      </x:c>
      <x:c r="S1075" t="n">
        <x:v>0</x:v>
      </x:c>
      <x:c r="T1075" t="n">
        <x:v>0</x:v>
      </x:c>
      <x:c r="U1075" t="n">
        <x:v>1</x:v>
      </x:c>
      <x:c r="V1075" t="n">
        <x:v>1</x:v>
      </x:c>
      <x:c r="W1075" t="n">
        <x:v>0</x:v>
      </x:c>
      <x:c r="X1075" t="n">
        <x:v>0</x:v>
      </x:c>
      <x:c r="Y1075" t="n">
        <x:v>0</x:v>
      </x:c>
      <x:c r="Z1075" t="n">
        <x:v>2</x:v>
      </x:c>
      <x:c r="AA1075" t="n">
        <x:v>2</x:v>
      </x:c>
      <x:c r="AB1075" t="str">
        <x:v>Pass</x:v>
      </x:c>
      <x:c r="AC1075" t="str"/>
      <x:c r="AD1075" t="str"/>
    </x:row>
    <x:row r="1076">
      <x:c r="A1076" t="str">
        <x:v>REC1075</x:v>
      </x:c>
      <x:c r="B1076" t="n">
        <x:v>1074</x:v>
      </x:c>
      <x:c r="C1076" t="str">
        <x:v>Puerto Rico</x:v>
      </x:c>
      <x:c r="D1076" t="str">
        <x:v>GV</x:v>
      </x:c>
      <x:c r="E1076" t="str">
        <x:v>Ground Validation</x:v>
      </x:c>
      <x:c r="F1076" t="str">
        <x:v>HD Seaviewer Drop Camera</x:v>
      </x:c>
      <x:c r="G1076" t="str">
        <x:v>GV2016_448</x:v>
      </x:c>
      <x:c r="H1076" s="28" t="n">
        <x:v>42605</x:v>
      </x:c>
      <x:c r="I1076" t="str">
        <x:v>13:36:59</x:v>
      </x:c>
      <x:c r="J1076" t="n">
        <x:v>2016</x:v>
      </x:c>
      <x:c r="K1076" t="n">
        <x:v>18.18360977</x:v>
      </x:c>
      <x:c r="L1076" t="n">
        <x:v>-65.17766343</x:v>
      </x:c>
      <x:c r="M1076" t="n">
        <x:v>39.798</x:v>
      </x:c>
      <x:c r="N1076" t="str">
        <x:v>https://nccospublicstor.blob.core.windows.net/biomapper/usviinsularshelf2017/videos/low/GV2016_448.mp4</x:v>
      </x:c>
      <x:c r="O1076" t="n">
        <x:v>1</x:v>
      </x:c>
      <x:c r="P1076" t="n">
        <x:v>0</x:v>
      </x:c>
      <x:c r="Q1076" t="n">
        <x:v>0</x:v>
      </x:c>
      <x:c r="R1076" t="n">
        <x:v>0</x:v>
      </x:c>
      <x:c r="S1076" t="n">
        <x:v>1</x:v>
      </x:c>
      <x:c r="T1076" t="n">
        <x:v>1</x:v>
      </x:c>
      <x:c r="U1076" t="n">
        <x:v>1</x:v>
      </x:c>
      <x:c r="V1076" t="n">
        <x:v>1</x:v>
      </x:c>
      <x:c r="W1076" t="n">
        <x:v>0</x:v>
      </x:c>
      <x:c r="X1076" t="n">
        <x:v>0</x:v>
      </x:c>
      <x:c r="Y1076" t="n">
        <x:v>0</x:v>
      </x:c>
      <x:c r="Z1076" t="n">
        <x:v>1</x:v>
      </x:c>
      <x:c r="AA1076" t="n">
        <x:v>4</x:v>
      </x:c>
      <x:c r="AB1076" t="str">
        <x:v>Pass</x:v>
      </x:c>
      <x:c r="AC1076" t="str"/>
      <x:c r="AD1076" t="str"/>
    </x:row>
    <x:row r="1077">
      <x:c r="A1077" t="str">
        <x:v>REC1076</x:v>
      </x:c>
      <x:c r="B1077" t="n">
        <x:v>1075</x:v>
      </x:c>
      <x:c r="C1077" t="str">
        <x:v>St. Thomas, USVI</x:v>
      </x:c>
      <x:c r="D1077" t="str">
        <x:v>GV</x:v>
      </x:c>
      <x:c r="E1077" t="str">
        <x:v>Ground Validation</x:v>
      </x:c>
      <x:c r="F1077" t="str">
        <x:v>HD Seaviewer Drop Camera</x:v>
      </x:c>
      <x:c r="G1077" t="str">
        <x:v>GV2016_449</x:v>
      </x:c>
      <x:c r="H1077" s="28" t="n">
        <x:v>42622</x:v>
      </x:c>
      <x:c r="I1077" t="str">
        <x:v>12:48:19</x:v>
      </x:c>
      <x:c r="J1077" t="n">
        <x:v>2016</x:v>
      </x:c>
      <x:c r="K1077" t="n">
        <x:v>18.22540605</x:v>
      </x:c>
      <x:c r="L1077" t="n">
        <x:v>-64.84549212</x:v>
      </x:c>
      <x:c r="M1077" t="n">
        <x:v>45.381</x:v>
      </x:c>
      <x:c r="N1077" t="str">
        <x:v>https://nccospublicstor.blob.core.windows.net/biomapper/usviinsularshelf2017/videos/low/GV2016_449.mp4</x:v>
      </x:c>
      <x:c r="O1077" t="n">
        <x:v>0</x:v>
      </x:c>
      <x:c r="P1077" t="n">
        <x:v>0</x:v>
      </x:c>
      <x:c r="Q1077" t="n">
        <x:v>1</x:v>
      </x:c>
      <x:c r="R1077" t="n">
        <x:v>0</x:v>
      </x:c>
      <x:c r="S1077" t="n">
        <x:v>0</x:v>
      </x:c>
      <x:c r="T1077" t="n">
        <x:v>0</x:v>
      </x:c>
      <x:c r="U1077" t="n">
        <x:v>1</x:v>
      </x:c>
      <x:c r="V1077" t="n">
        <x:v>1</x:v>
      </x:c>
      <x:c r="W1077" t="n">
        <x:v>0</x:v>
      </x:c>
      <x:c r="X1077" t="n">
        <x:v>0</x:v>
      </x:c>
      <x:c r="Y1077" t="n">
        <x:v>0</x:v>
      </x:c>
      <x:c r="Z1077" t="n">
        <x:v>1</x:v>
      </x:c>
      <x:c r="AA1077" t="n">
        <x:v>2</x:v>
      </x:c>
      <x:c r="AB1077" t="str">
        <x:v>Pass</x:v>
      </x:c>
      <x:c r="AC1077" t="str"/>
      <x:c r="AD1077" t="str"/>
    </x:row>
    <x:row r="1078">
      <x:c r="A1078" t="str">
        <x:v>REC1077</x:v>
      </x:c>
      <x:c r="B1078" t="n">
        <x:v>1076</x:v>
      </x:c>
      <x:c r="C1078" t="str">
        <x:v>St. Thomas, USVI</x:v>
      </x:c>
      <x:c r="D1078" t="str">
        <x:v>GV</x:v>
      </x:c>
      <x:c r="E1078" t="str">
        <x:v>Ground Validation</x:v>
      </x:c>
      <x:c r="F1078" t="str">
        <x:v>HD Seaviewer Drop Camera</x:v>
      </x:c>
      <x:c r="G1078" t="str">
        <x:v>GV2016_450</x:v>
      </x:c>
      <x:c r="H1078" s="28" t="n">
        <x:v>42612</x:v>
      </x:c>
      <x:c r="I1078" t="str">
        <x:v>09:07:12</x:v>
      </x:c>
      <x:c r="J1078" t="n">
        <x:v>2016</x:v>
      </x:c>
      <x:c r="K1078" t="n">
        <x:v>18.24215038</x:v>
      </x:c>
      <x:c r="L1078" t="n">
        <x:v>-64.98768486</x:v>
      </x:c>
      <x:c r="M1078" t="n">
        <x:v>40.593</x:v>
      </x:c>
      <x:c r="N1078" t="str">
        <x:v>https://nccospublicstor.blob.core.windows.net/biomapper/usviinsularshelf2017/videos/low/GV2016_450.mp4</x:v>
      </x:c>
      <x:c r="O1078" t="n">
        <x:v>0</x:v>
      </x:c>
      <x:c r="P1078" t="n">
        <x:v>0</x:v>
      </x:c>
      <x:c r="Q1078" t="n">
        <x:v>0</x:v>
      </x:c>
      <x:c r="R1078" t="n">
        <x:v>1</x:v>
      </x:c>
      <x:c r="S1078" t="n">
        <x:v>0</x:v>
      </x:c>
      <x:c r="T1078" t="n">
        <x:v>0</x:v>
      </x:c>
      <x:c r="U1078" t="n">
        <x:v>1</x:v>
      </x:c>
      <x:c r="V1078" t="n">
        <x:v>1</x:v>
      </x:c>
      <x:c r="W1078" t="n">
        <x:v>0</x:v>
      </x:c>
      <x:c r="X1078" t="n">
        <x:v>0</x:v>
      </x:c>
      <x:c r="Y1078" t="n">
        <x:v>0</x:v>
      </x:c>
      <x:c r="Z1078" t="n">
        <x:v>1</x:v>
      </x:c>
      <x:c r="AA1078" t="n">
        <x:v>2</x:v>
      </x:c>
      <x:c r="AB1078" t="str">
        <x:v>Pass</x:v>
      </x:c>
      <x:c r="AC1078" t="str"/>
      <x:c r="AD1078" t="str"/>
    </x:row>
    <x:row r="1079">
      <x:c r="A1079" t="str">
        <x:v>REC1078</x:v>
      </x:c>
      <x:c r="B1079" t="n">
        <x:v>1077</x:v>
      </x:c>
      <x:c r="C1079" t="str">
        <x:v>St. Thomas, USVI</x:v>
      </x:c>
      <x:c r="D1079" t="str">
        <x:v>GV</x:v>
      </x:c>
      <x:c r="E1079" t="str">
        <x:v>Ground Validation</x:v>
      </x:c>
      <x:c r="F1079" t="str">
        <x:v>HD Seaviewer Drop Camera</x:v>
      </x:c>
      <x:c r="G1079" t="str">
        <x:v>GV2016_451</x:v>
      </x:c>
      <x:c r="H1079" s="28" t="n">
        <x:v>42610</x:v>
      </x:c>
      <x:c r="I1079" t="str">
        <x:v>09:09:52</x:v>
      </x:c>
      <x:c r="J1079" t="n">
        <x:v>2016</x:v>
      </x:c>
      <x:c r="K1079" t="n">
        <x:v>18.19363559</x:v>
      </x:c>
      <x:c r="L1079" t="n">
        <x:v>-64.87395336</x:v>
      </x:c>
      <x:c r="M1079" t="n">
        <x:v>38.937</x:v>
      </x:c>
      <x:c r="N1079" t="str">
        <x:v>https://nccospublicstor.blob.core.windows.net/biomapper/usviinsularshelf2017/videos/low/GV2016_451.mp4</x:v>
      </x:c>
      <x:c r="O1079" t="n">
        <x:v>1</x:v>
      </x:c>
      <x:c r="P1079" t="n">
        <x:v>0</x:v>
      </x:c>
      <x:c r="Q1079" t="n">
        <x:v>0</x:v>
      </x:c>
      <x:c r="R1079" t="n">
        <x:v>0</x:v>
      </x:c>
      <x:c r="S1079" t="n">
        <x:v>1</x:v>
      </x:c>
      <x:c r="T1079" t="n">
        <x:v>0</x:v>
      </x:c>
      <x:c r="U1079" t="n">
        <x:v>1</x:v>
      </x:c>
      <x:c r="V1079" t="n">
        <x:v>1</x:v>
      </x:c>
      <x:c r="W1079" t="n">
        <x:v>0</x:v>
      </x:c>
      <x:c r="X1079" t="n">
        <x:v>0</x:v>
      </x:c>
      <x:c r="Y1079" t="n">
        <x:v>0</x:v>
      </x:c>
      <x:c r="Z1079" t="n">
        <x:v>1</x:v>
      </x:c>
      <x:c r="AA1079" t="n">
        <x:v>3</x:v>
      </x:c>
      <x:c r="AB1079" t="str">
        <x:v>Pass</x:v>
      </x:c>
      <x:c r="AC1079" t="str"/>
      <x:c r="AD1079" t="str">
        <x:v>High coral Cover &gt;75%, Lionfish, parrotfish and Surgeonfish.</x:v>
      </x:c>
    </x:row>
    <x:row r="1080">
      <x:c r="A1080" t="str">
        <x:v>REC1079</x:v>
      </x:c>
      <x:c r="B1080" t="n">
        <x:v>1078</x:v>
      </x:c>
      <x:c r="C1080" t="str">
        <x:v>St. Thomas, USVI</x:v>
      </x:c>
      <x:c r="D1080" t="str">
        <x:v>GV</x:v>
      </x:c>
      <x:c r="E1080" t="str">
        <x:v>Ground Validation</x:v>
      </x:c>
      <x:c r="F1080" t="str">
        <x:v>HD Seaviewer Drop Camera</x:v>
      </x:c>
      <x:c r="G1080" t="str">
        <x:v>GV2016_452</x:v>
      </x:c>
      <x:c r="H1080" s="28" t="n">
        <x:v>42610</x:v>
      </x:c>
      <x:c r="I1080" t="str">
        <x:v>11:09:59</x:v>
      </x:c>
      <x:c r="J1080" t="n">
        <x:v>2016</x:v>
      </x:c>
      <x:c r="K1080" t="n">
        <x:v>18.19636962</x:v>
      </x:c>
      <x:c r="L1080" t="n">
        <x:v>-64.90665777</x:v>
      </x:c>
      <x:c r="M1080" t="n">
        <x:v>50.953</x:v>
      </x:c>
      <x:c r="N1080" t="str">
        <x:v>https://nccospublicstor.blob.core.windows.net/biomapper/usviinsularshelf2017/videos/low/GV2016_452.mp4</x:v>
      </x:c>
      <x:c r="O1080" t="n">
        <x:v>0</x:v>
      </x:c>
      <x:c r="P1080" t="n">
        <x:v>0</x:v>
      </x:c>
      <x:c r="Q1080" t="n">
        <x:v>1</x:v>
      </x:c>
      <x:c r="R1080" t="n">
        <x:v>0</x:v>
      </x:c>
      <x:c r="S1080" t="n">
        <x:v>1</x:v>
      </x:c>
      <x:c r="T1080" t="n">
        <x:v>0</x:v>
      </x:c>
      <x:c r="U1080" t="n">
        <x:v>1</x:v>
      </x:c>
      <x:c r="V1080" t="n">
        <x:v>1</x:v>
      </x:c>
      <x:c r="W1080" t="n">
        <x:v>0</x:v>
      </x:c>
      <x:c r="X1080" t="n">
        <x:v>0</x:v>
      </x:c>
      <x:c r="Y1080" t="n">
        <x:v>0</x:v>
      </x:c>
      <x:c r="Z1080" t="n">
        <x:v>1</x:v>
      </x:c>
      <x:c r="AA1080" t="n">
        <x:v>3</x:v>
      </x:c>
      <x:c r="AB1080" t="str">
        <x:v>Pass</x:v>
      </x:c>
      <x:c r="AC1080" t="str"/>
      <x:c r="AD1080" t="str"/>
    </x:row>
    <x:row r="1081">
      <x:c r="A1081" t="str">
        <x:v>REC1080</x:v>
      </x:c>
      <x:c r="B1081" t="n">
        <x:v>1079</x:v>
      </x:c>
      <x:c r="C1081" t="str">
        <x:v>St. Thomas, USVI</x:v>
      </x:c>
      <x:c r="D1081" t="str">
        <x:v>GV</x:v>
      </x:c>
      <x:c r="E1081" t="str">
        <x:v>Ground Validation</x:v>
      </x:c>
      <x:c r="F1081" t="str">
        <x:v>HD Seaviewer Drop Camera</x:v>
      </x:c>
      <x:c r="G1081" t="str">
        <x:v>GV2016_453</x:v>
      </x:c>
      <x:c r="H1081" s="28" t="n">
        <x:v>42610</x:v>
      </x:c>
      <x:c r="I1081" t="str">
        <x:v>10:19:12</x:v>
      </x:c>
      <x:c r="J1081" t="n">
        <x:v>2016</x:v>
      </x:c>
      <x:c r="K1081" t="n">
        <x:v>18.18415209</x:v>
      </x:c>
      <x:c r="L1081" t="n">
        <x:v>-64.9140385</x:v>
      </x:c>
      <x:c r="M1081" t="n">
        <x:v>56.576</x:v>
      </x:c>
      <x:c r="N1081" t="str">
        <x:v>https://nccospublicstor.blob.core.windows.net/biomapper/usviinsularshelf2017/videos/low/GV2016_453.mp4</x:v>
      </x:c>
      <x:c r="O1081" t="n">
        <x:v>0</x:v>
      </x:c>
      <x:c r="P1081" t="n">
        <x:v>0</x:v>
      </x:c>
      <x:c r="Q1081" t="n">
        <x:v>1</x:v>
      </x:c>
      <x:c r="R1081" t="n">
        <x:v>0</x:v>
      </x:c>
      <x:c r="S1081" t="n">
        <x:v>0</x:v>
      </x:c>
      <x:c r="T1081" t="n">
        <x:v>0</x:v>
      </x:c>
      <x:c r="U1081" t="n">
        <x:v>1</x:v>
      </x:c>
      <x:c r="V1081" t="n">
        <x:v>1</x:v>
      </x:c>
      <x:c r="W1081" t="n">
        <x:v>0</x:v>
      </x:c>
      <x:c r="X1081" t="n">
        <x:v>0</x:v>
      </x:c>
      <x:c r="Y1081" t="n">
        <x:v>0</x:v>
      </x:c>
      <x:c r="Z1081" t="n">
        <x:v>1</x:v>
      </x:c>
      <x:c r="AA1081" t="n">
        <x:v>2</x:v>
      </x:c>
      <x:c r="AB1081" t="str">
        <x:v>Pass</x:v>
      </x:c>
      <x:c r="AC1081" t="str"/>
      <x:c r="AD1081" t="str"/>
    </x:row>
    <x:row r="1082">
      <x:c r="A1082" t="str">
        <x:v>REC1081</x:v>
      </x:c>
      <x:c r="B1082" t="n">
        <x:v>1080</x:v>
      </x:c>
      <x:c r="C1082" t="str">
        <x:v>Puerto Rico</x:v>
      </x:c>
      <x:c r="D1082" t="str">
        <x:v>GV</x:v>
      </x:c>
      <x:c r="E1082" t="str">
        <x:v>Ground Validation</x:v>
      </x:c>
      <x:c r="F1082" t="str">
        <x:v>HD Seaviewer Drop Camera</x:v>
      </x:c>
      <x:c r="G1082" t="str">
        <x:v>GV2016_454</x:v>
      </x:c>
      <x:c r="H1082" s="28" t="n">
        <x:v>42604</x:v>
      </x:c>
      <x:c r="I1082" t="str">
        <x:v>11:48:35</x:v>
      </x:c>
      <x:c r="J1082" t="n">
        <x:v>2016</x:v>
      </x:c>
      <x:c r="K1082" t="n">
        <x:v>18.21622623</x:v>
      </x:c>
      <x:c r="L1082" t="n">
        <x:v>-65.19479598</x:v>
      </x:c>
      <x:c r="M1082" t="n">
        <x:v>30.043</x:v>
      </x:c>
      <x:c r="N1082" t="str">
        <x:v>https://nccospublicstor.blob.core.windows.net/biomapper/usviinsularshelf2017/videos/low/GV2016_454.mp4</x:v>
      </x:c>
      <x:c r="O1082" t="n">
        <x:v>1</x:v>
      </x:c>
      <x:c r="P1082" t="n">
        <x:v>0</x:v>
      </x:c>
      <x:c r="Q1082" t="n">
        <x:v>0</x:v>
      </x:c>
      <x:c r="R1082" t="n">
        <x:v>0</x:v>
      </x:c>
      <x:c r="S1082" t="n">
        <x:v>1</x:v>
      </x:c>
      <x:c r="T1082" t="n">
        <x:v>1</x:v>
      </x:c>
      <x:c r="U1082" t="n">
        <x:v>1</x:v>
      </x:c>
      <x:c r="V1082" t="n">
        <x:v>1</x:v>
      </x:c>
      <x:c r="W1082" t="n">
        <x:v>0</x:v>
      </x:c>
      <x:c r="X1082" t="n">
        <x:v>0</x:v>
      </x:c>
      <x:c r="Y1082" t="n">
        <x:v>0</x:v>
      </x:c>
      <x:c r="Z1082" t="n">
        <x:v>1</x:v>
      </x:c>
      <x:c r="AA1082" t="n">
        <x:v>4</x:v>
      </x:c>
      <x:c r="AB1082" t="str">
        <x:v>Pass</x:v>
      </x:c>
      <x:c r="AC1082" t="str"/>
      <x:c r="AD1082" t="str"/>
    </x:row>
    <x:row r="1083">
      <x:c r="A1083" t="str">
        <x:v>REC1082</x:v>
      </x:c>
      <x:c r="B1083" t="n">
        <x:v>1081</x:v>
      </x:c>
      <x:c r="C1083" t="str">
        <x:v>St. Thomas, USVI</x:v>
      </x:c>
      <x:c r="D1083" t="str">
        <x:v>GV</x:v>
      </x:c>
      <x:c r="E1083" t="str">
        <x:v>Ground Validation</x:v>
      </x:c>
      <x:c r="F1083" t="str">
        <x:v>HD Seaviewer Drop Camera</x:v>
      </x:c>
      <x:c r="G1083" t="str">
        <x:v>GV2016_455</x:v>
      </x:c>
      <x:c r="H1083" s="28" t="n">
        <x:v>42602</x:v>
      </x:c>
      <x:c r="I1083" t="str">
        <x:v>12:14:57</x:v>
      </x:c>
      <x:c r="J1083" t="n">
        <x:v>2016</x:v>
      </x:c>
      <x:c r="K1083" t="n">
        <x:v>18.26394243</x:v>
      </x:c>
      <x:c r="L1083" t="n">
        <x:v>-65.08261687</x:v>
      </x:c>
      <x:c r="M1083" t="n">
        <x:v>34.718</x:v>
      </x:c>
      <x:c r="N1083" t="str">
        <x:v>https://nccospublicstor.blob.core.windows.net/biomapper/usviinsularshelf2017/videos/low/GV2016_455.mp4</x:v>
      </x:c>
      <x:c r="O1083" t="n">
        <x:v>1</x:v>
      </x:c>
      <x:c r="P1083" t="n">
        <x:v>0</x:v>
      </x:c>
      <x:c r="Q1083" t="n">
        <x:v>0</x:v>
      </x:c>
      <x:c r="R1083" t="n">
        <x:v>1</x:v>
      </x:c>
      <x:c r="S1083" t="n">
        <x:v>1</x:v>
      </x:c>
      <x:c r="T1083" t="n">
        <x:v>1</x:v>
      </x:c>
      <x:c r="U1083" t="n">
        <x:v>1</x:v>
      </x:c>
      <x:c r="V1083" t="n">
        <x:v>1</x:v>
      </x:c>
      <x:c r="W1083" t="n">
        <x:v>0</x:v>
      </x:c>
      <x:c r="X1083" t="n">
        <x:v>0</x:v>
      </x:c>
      <x:c r="Y1083" t="n">
        <x:v>0</x:v>
      </x:c>
      <x:c r="Z1083" t="n">
        <x:v>2</x:v>
      </x:c>
      <x:c r="AA1083" t="n">
        <x:v>4</x:v>
      </x:c>
      <x:c r="AB1083" t="str">
        <x:v>Pass</x:v>
      </x:c>
      <x:c r="AC1083" t="str"/>
      <x:c r="AD1083" t="str"/>
    </x:row>
    <x:row r="1084">
      <x:c r="A1084" t="str">
        <x:v>REC1083</x:v>
      </x:c>
      <x:c r="B1084" t="n">
        <x:v>1082</x:v>
      </x:c>
      <x:c r="C1084" t="str">
        <x:v>St. John, USVI</x:v>
      </x:c>
      <x:c r="D1084" t="str">
        <x:v>GV</x:v>
      </x:c>
      <x:c r="E1084" t="str">
        <x:v>Ground Validation</x:v>
      </x:c>
      <x:c r="F1084" t="str">
        <x:v>HD Seaviewer Drop Camera</x:v>
      </x:c>
      <x:c r="G1084" t="str">
        <x:v>GV2016_456</x:v>
      </x:c>
      <x:c r="H1084" s="28" t="n">
        <x:v>42629</x:v>
      </x:c>
      <x:c r="I1084" t="str">
        <x:v>15:23:58</x:v>
      </x:c>
      <x:c r="J1084" t="n">
        <x:v>2016</x:v>
      </x:c>
      <x:c r="K1084" t="n">
        <x:v>18.19387162</x:v>
      </x:c>
      <x:c r="L1084" t="n">
        <x:v>-64.75605649</x:v>
      </x:c>
      <x:c r="M1084" t="n">
        <x:v>55.123</x:v>
      </x:c>
      <x:c r="N1084" t="str">
        <x:v>https://nccospublicstor.blob.core.windows.net/biomapper/usviinsularshelf2017/videos/low/GV2016_456.mp4</x:v>
      </x:c>
      <x:c r="O1084" t="n">
        <x:v>0</x:v>
      </x:c>
      <x:c r="P1084" t="n">
        <x:v>1</x:v>
      </x:c>
      <x:c r="Q1084" t="n">
        <x:v>0</x:v>
      </x:c>
      <x:c r="R1084" t="n">
        <x:v>0</x:v>
      </x:c>
      <x:c r="S1084" t="n">
        <x:v>1</x:v>
      </x:c>
      <x:c r="T1084" t="n">
        <x:v>0</x:v>
      </x:c>
      <x:c r="U1084" t="n">
        <x:v>1</x:v>
      </x:c>
      <x:c r="V1084" t="n">
        <x:v>1</x:v>
      </x:c>
      <x:c r="W1084" t="n">
        <x:v>0</x:v>
      </x:c>
      <x:c r="X1084" t="n">
        <x:v>0</x:v>
      </x:c>
      <x:c r="Y1084" t="n">
        <x:v>0</x:v>
      </x:c>
      <x:c r="Z1084" t="n">
        <x:v>1</x:v>
      </x:c>
      <x:c r="AA1084" t="n">
        <x:v>3</x:v>
      </x:c>
      <x:c r="AB1084" t="str">
        <x:v>Pass</x:v>
      </x:c>
      <x:c r="AC1084" t="str"/>
      <x:c r="AD1084" t="str"/>
    </x:row>
    <x:row r="1085">
      <x:c r="A1085" t="str">
        <x:v>REC1084</x:v>
      </x:c>
      <x:c r="B1085" t="n">
        <x:v>1083</x:v>
      </x:c>
      <x:c r="C1085" t="str">
        <x:v>St. John, USVI</x:v>
      </x:c>
      <x:c r="D1085" t="str">
        <x:v>GV</x:v>
      </x:c>
      <x:c r="E1085" t="str">
        <x:v>Ground Validation</x:v>
      </x:c>
      <x:c r="F1085" t="str">
        <x:v>HD Seaviewer Drop Camera</x:v>
      </x:c>
      <x:c r="G1085" t="str">
        <x:v>GV2016_457</x:v>
      </x:c>
      <x:c r="H1085" s="28" t="n">
        <x:v>42625</x:v>
      </x:c>
      <x:c r="I1085" t="str">
        <x:v>09:39:25</x:v>
      </x:c>
      <x:c r="J1085" t="n">
        <x:v>2016</x:v>
      </x:c>
      <x:c r="K1085" t="n">
        <x:v>18.2586695</x:v>
      </x:c>
      <x:c r="L1085" t="n">
        <x:v>-64.65945483</x:v>
      </x:c>
      <x:c r="M1085" t="n">
        <x:v>41.778</x:v>
      </x:c>
      <x:c r="N1085" t="str">
        <x:v>https://nccospublicstor.blob.core.windows.net/biomapper/usviinsularshelf2017/videos/low/GV2016_457.mp4</x:v>
      </x:c>
      <x:c r="O1085" t="n">
        <x:v>1</x:v>
      </x:c>
      <x:c r="P1085" t="n">
        <x:v>0</x:v>
      </x:c>
      <x:c r="Q1085" t="n">
        <x:v>0</x:v>
      </x:c>
      <x:c r="R1085" t="n">
        <x:v>1</x:v>
      </x:c>
      <x:c r="S1085" t="n">
        <x:v>1</x:v>
      </x:c>
      <x:c r="T1085" t="n">
        <x:v>0</x:v>
      </x:c>
      <x:c r="U1085" t="n">
        <x:v>1</x:v>
      </x:c>
      <x:c r="V1085" t="n">
        <x:v>1</x:v>
      </x:c>
      <x:c r="W1085" t="n">
        <x:v>0</x:v>
      </x:c>
      <x:c r="X1085" t="n">
        <x:v>0</x:v>
      </x:c>
      <x:c r="Y1085" t="n">
        <x:v>0</x:v>
      </x:c>
      <x:c r="Z1085" t="n">
        <x:v>2</x:v>
      </x:c>
      <x:c r="AA1085" t="n">
        <x:v>3</x:v>
      </x:c>
      <x:c r="AB1085" t="str">
        <x:v>Pass</x:v>
      </x:c>
      <x:c r="AC1085" t="str"/>
      <x:c r="AD1085" t="str"/>
    </x:row>
    <x:row r="1086">
      <x:c r="A1086" t="str">
        <x:v>REC1085</x:v>
      </x:c>
      <x:c r="B1086" t="n">
        <x:v>1084</x:v>
      </x:c>
      <x:c r="C1086" t="str">
        <x:v>St. John, USVI</x:v>
      </x:c>
      <x:c r="D1086" t="str">
        <x:v>GV</x:v>
      </x:c>
      <x:c r="E1086" t="str">
        <x:v>Ground Validation</x:v>
      </x:c>
      <x:c r="F1086" t="str">
        <x:v>HD Seaviewer Drop Camera</x:v>
      </x:c>
      <x:c r="G1086" t="str">
        <x:v>GV2016_458</x:v>
      </x:c>
      <x:c r="H1086" s="28" t="n">
        <x:v>42613</x:v>
      </x:c>
      <x:c r="I1086" t="str">
        <x:v>10:15:04</x:v>
      </x:c>
      <x:c r="J1086" t="n">
        <x:v>2016</x:v>
      </x:c>
      <x:c r="K1086" t="n">
        <x:v>18.29349769</x:v>
      </x:c>
      <x:c r="L1086" t="n">
        <x:v>-64.78990407</x:v>
      </x:c>
      <x:c r="M1086" t="n">
        <x:v>28.443</x:v>
      </x:c>
      <x:c r="N1086" t="str">
        <x:v>https://nccospublicstor.blob.core.windows.net/biomapper/usviinsularshelf2017/videos/low/GV2016_458.mp4</x:v>
      </x:c>
      <x:c r="O1086" t="n">
        <x:v>0</x:v>
      </x:c>
      <x:c r="P1086" t="n">
        <x:v>0</x:v>
      </x:c>
      <x:c r="Q1086" t="n">
        <x:v>1</x:v>
      </x:c>
      <x:c r="R1086" t="n">
        <x:v>1</x:v>
      </x:c>
      <x:c r="S1086" t="n">
        <x:v>0</x:v>
      </x:c>
      <x:c r="T1086" t="n">
        <x:v>0</x:v>
      </x:c>
      <x:c r="U1086" t="n">
        <x:v>1</x:v>
      </x:c>
      <x:c r="V1086" t="n">
        <x:v>1</x:v>
      </x:c>
      <x:c r="W1086" t="n">
        <x:v>0</x:v>
      </x:c>
      <x:c r="X1086" t="n">
        <x:v>0</x:v>
      </x:c>
      <x:c r="Y1086" t="n">
        <x:v>0</x:v>
      </x:c>
      <x:c r="Z1086" t="n">
        <x:v>2</x:v>
      </x:c>
      <x:c r="AA1086" t="n">
        <x:v>2</x:v>
      </x:c>
      <x:c r="AB1086" t="str">
        <x:v>Pass</x:v>
      </x:c>
      <x:c r="AC1086" t="str"/>
      <x:c r="AD1086" t="str"/>
    </x:row>
    <x:row r="1087">
      <x:c r="A1087" t="str">
        <x:v>REC1086</x:v>
      </x:c>
      <x:c r="B1087" t="n">
        <x:v>1085</x:v>
      </x:c>
      <x:c r="C1087" t="str">
        <x:v>St. John, USVI</x:v>
      </x:c>
      <x:c r="D1087" t="str">
        <x:v>GV</x:v>
      </x:c>
      <x:c r="E1087" t="str">
        <x:v>Ground Validation</x:v>
      </x:c>
      <x:c r="F1087" t="str">
        <x:v>HD Seaviewer Drop Camera</x:v>
      </x:c>
      <x:c r="G1087" t="str">
        <x:v>GV2016_460</x:v>
      </x:c>
      <x:c r="H1087" s="28" t="n">
        <x:v>42625</x:v>
      </x:c>
      <x:c r="I1087" t="str">
        <x:v>11:40:31</x:v>
      </x:c>
      <x:c r="J1087" t="n">
        <x:v>2016</x:v>
      </x:c>
      <x:c r="K1087" t="n">
        <x:v>18.20929262</x:v>
      </x:c>
      <x:c r="L1087" t="n">
        <x:v>-64.70679675</x:v>
      </x:c>
      <x:c r="M1087" t="n">
        <x:v>55.508</x:v>
      </x:c>
      <x:c r="N1087" t="str">
        <x:v>https://nccospublicstor.blob.core.windows.net/biomapper/usviinsularshelf2017/videos/low/GV2016_460.mp4</x:v>
      </x:c>
      <x:c r="O1087" t="n">
        <x:v>0</x:v>
      </x:c>
      <x:c r="P1087" t="n">
        <x:v>1</x:v>
      </x:c>
      <x:c r="Q1087" t="n">
        <x:v>0</x:v>
      </x:c>
      <x:c r="R1087" t="n">
        <x:v>0</x:v>
      </x:c>
      <x:c r="S1087" t="n">
        <x:v>1</x:v>
      </x:c>
      <x:c r="T1087" t="n">
        <x:v>0</x:v>
      </x:c>
      <x:c r="U1087" t="n">
        <x:v>1</x:v>
      </x:c>
      <x:c r="V1087" t="n">
        <x:v>1</x:v>
      </x:c>
      <x:c r="W1087" t="n">
        <x:v>0</x:v>
      </x:c>
      <x:c r="X1087" t="n">
        <x:v>0</x:v>
      </x:c>
      <x:c r="Y1087" t="n">
        <x:v>0</x:v>
      </x:c>
      <x:c r="Z1087" t="n">
        <x:v>1</x:v>
      </x:c>
      <x:c r="AA1087" t="n">
        <x:v>3</x:v>
      </x:c>
      <x:c r="AB1087" t="str">
        <x:v>Pass</x:v>
      </x:c>
      <x:c r="AC1087" t="str"/>
      <x:c r="AD1087" t="str"/>
    </x:row>
    <x:row r="1088">
      <x:c r="A1088" t="str">
        <x:v>REC1087</x:v>
      </x:c>
      <x:c r="B1088" t="n">
        <x:v>1086</x:v>
      </x:c>
      <x:c r="C1088" t="str">
        <x:v>St. John, USVI</x:v>
      </x:c>
      <x:c r="D1088" t="str">
        <x:v>GV</x:v>
      </x:c>
      <x:c r="E1088" t="str">
        <x:v>Ground Validation</x:v>
      </x:c>
      <x:c r="F1088" t="str">
        <x:v>HD Seaviewer Drop Camera</x:v>
      </x:c>
      <x:c r="G1088" t="str">
        <x:v>GV2016_461</x:v>
      </x:c>
      <x:c r="H1088" s="28" t="n">
        <x:v>42625</x:v>
      </x:c>
      <x:c r="I1088" t="str">
        <x:v>13:10:52</x:v>
      </x:c>
      <x:c r="J1088" t="n">
        <x:v>2016</x:v>
      </x:c>
      <x:c r="K1088" t="n">
        <x:v>18.23815794</x:v>
      </x:c>
      <x:c r="L1088" t="n">
        <x:v>-64.67078942</x:v>
      </x:c>
      <x:c r="M1088" t="n">
        <x:v>54.562</x:v>
      </x:c>
      <x:c r="N1088" t="str">
        <x:v>https://nccospublicstor.blob.core.windows.net/biomapper/usviinsularshelf2017/videos/low/GV2016_461.mp4</x:v>
      </x:c>
      <x:c r="O1088" t="n">
        <x:v>0</x:v>
      </x:c>
      <x:c r="P1088" t="n">
        <x:v>1</x:v>
      </x:c>
      <x:c r="Q1088" t="n">
        <x:v>1</x:v>
      </x:c>
      <x:c r="R1088" t="n">
        <x:v>0</x:v>
      </x:c>
      <x:c r="S1088" t="n">
        <x:v>1</x:v>
      </x:c>
      <x:c r="T1088" t="n">
        <x:v>0</x:v>
      </x:c>
      <x:c r="U1088" t="n">
        <x:v>1</x:v>
      </x:c>
      <x:c r="V1088" t="n">
        <x:v>1</x:v>
      </x:c>
      <x:c r="W1088" t="n">
        <x:v>0</x:v>
      </x:c>
      <x:c r="X1088" t="n">
        <x:v>0</x:v>
      </x:c>
      <x:c r="Y1088" t="n">
        <x:v>0</x:v>
      </x:c>
      <x:c r="Z1088" t="n">
        <x:v>2</x:v>
      </x:c>
      <x:c r="AA1088" t="n">
        <x:v>3</x:v>
      </x:c>
      <x:c r="AB1088" t="str">
        <x:v>Pass</x:v>
      </x:c>
      <x:c r="AC1088" t="str"/>
      <x:c r="AD1088" t="str"/>
    </x:row>
    <x:row r="1089">
      <x:c r="A1089" t="str">
        <x:v>REC1088</x:v>
      </x:c>
      <x:c r="B1089" t="n">
        <x:v>1087</x:v>
      </x:c>
      <x:c r="C1089" t="str">
        <x:v>St. John, USVI</x:v>
      </x:c>
      <x:c r="D1089" t="str">
        <x:v>GV</x:v>
      </x:c>
      <x:c r="E1089" t="str">
        <x:v>Ground Validation</x:v>
      </x:c>
      <x:c r="F1089" t="str">
        <x:v>HD Seaviewer Drop Camera</x:v>
      </x:c>
      <x:c r="G1089" t="str">
        <x:v>GV2016_462</x:v>
      </x:c>
      <x:c r="H1089" s="28" t="n">
        <x:v>42626</x:v>
      </x:c>
      <x:c r="I1089" t="str">
        <x:v>11:03:14</x:v>
      </x:c>
      <x:c r="J1089" t="n">
        <x:v>2016</x:v>
      </x:c>
      <x:c r="K1089" t="n">
        <x:v>18.23552065</x:v>
      </x:c>
      <x:c r="L1089" t="n">
        <x:v>-64.77667214</x:v>
      </x:c>
      <x:c r="M1089" t="n">
        <x:v>50.604</x:v>
      </x:c>
      <x:c r="N1089" t="str">
        <x:v>https://nccospublicstor.blob.core.windows.net/biomapper/usviinsularshelf2017/videos/low/GV2016_462.mp4</x:v>
      </x:c>
      <x:c r="O1089" t="n">
        <x:v>0</x:v>
      </x:c>
      <x:c r="P1089" t="n">
        <x:v>0</x:v>
      </x:c>
      <x:c r="Q1089" t="n">
        <x:v>1</x:v>
      </x:c>
      <x:c r="R1089" t="n">
        <x:v>0</x:v>
      </x:c>
      <x:c r="S1089" t="n">
        <x:v>0</x:v>
      </x:c>
      <x:c r="T1089" t="n">
        <x:v>0</x:v>
      </x:c>
      <x:c r="U1089" t="n">
        <x:v>1</x:v>
      </x:c>
      <x:c r="V1089" t="n">
        <x:v>1</x:v>
      </x:c>
      <x:c r="W1089" t="n">
        <x:v>0</x:v>
      </x:c>
      <x:c r="X1089" t="n">
        <x:v>0</x:v>
      </x:c>
      <x:c r="Y1089" t="n">
        <x:v>0</x:v>
      </x:c>
      <x:c r="Z1089" t="n">
        <x:v>1</x:v>
      </x:c>
      <x:c r="AA1089" t="n">
        <x:v>2</x:v>
      </x:c>
      <x:c r="AB1089" t="str">
        <x:v>Pass</x:v>
      </x:c>
      <x:c r="AC1089" t="str"/>
      <x:c r="AD1089" t="str"/>
    </x:row>
    <x:row r="1090">
      <x:c r="A1090" t="str">
        <x:v>REC1089</x:v>
      </x:c>
      <x:c r="B1090" t="n">
        <x:v>1088</x:v>
      </x:c>
      <x:c r="C1090" t="str">
        <x:v>Puerto Rico</x:v>
      </x:c>
      <x:c r="D1090" t="str">
        <x:v>GV</x:v>
      </x:c>
      <x:c r="E1090" t="str">
        <x:v>Ground Validation</x:v>
      </x:c>
      <x:c r="F1090" t="str">
        <x:v>HD Seaviewer Drop Camera</x:v>
      </x:c>
      <x:c r="G1090" t="str">
        <x:v>GV2016_463</x:v>
      </x:c>
      <x:c r="H1090" s="28" t="n">
        <x:v>42605</x:v>
      </x:c>
      <x:c r="I1090" t="str">
        <x:v>09:50:14</x:v>
      </x:c>
      <x:c r="J1090" t="n">
        <x:v>2016</x:v>
      </x:c>
      <x:c r="K1090" t="n">
        <x:v>18.20892964</x:v>
      </x:c>
      <x:c r="L1090" t="n">
        <x:v>-65.17365109</x:v>
      </x:c>
      <x:c r="M1090" t="n">
        <x:v>34.111</x:v>
      </x:c>
      <x:c r="N1090" t="str">
        <x:v>https://nccospublicstor.blob.core.windows.net/biomapper/usviinsularshelf2017/videos/low/GV2016_463.mp4</x:v>
      </x:c>
      <x:c r="O1090" t="n">
        <x:v>1</x:v>
      </x:c>
      <x:c r="P1090" t="n">
        <x:v>0</x:v>
      </x:c>
      <x:c r="Q1090" t="n">
        <x:v>0</x:v>
      </x:c>
      <x:c r="R1090" t="n">
        <x:v>0</x:v>
      </x:c>
      <x:c r="S1090" t="n">
        <x:v>1</x:v>
      </x:c>
      <x:c r="T1090" t="n">
        <x:v>1</x:v>
      </x:c>
      <x:c r="U1090" t="n">
        <x:v>1</x:v>
      </x:c>
      <x:c r="V1090" t="n">
        <x:v>1</x:v>
      </x:c>
      <x:c r="W1090" t="n">
        <x:v>0</x:v>
      </x:c>
      <x:c r="X1090" t="n">
        <x:v>0</x:v>
      </x:c>
      <x:c r="Y1090" t="n">
        <x:v>0</x:v>
      </x:c>
      <x:c r="Z1090" t="n">
        <x:v>1</x:v>
      </x:c>
      <x:c r="AA1090" t="n">
        <x:v>4</x:v>
      </x:c>
      <x:c r="AB1090" t="str">
        <x:v>Pass</x:v>
      </x:c>
      <x:c r="AC1090" t="str"/>
      <x:c r="AD1090" t="str"/>
    </x:row>
    <x:row r="1091">
      <x:c r="A1091" t="str">
        <x:v>REC1090</x:v>
      </x:c>
      <x:c r="B1091" t="n">
        <x:v>1089</x:v>
      </x:c>
      <x:c r="C1091" t="str">
        <x:v>St. Thomas, USVI</x:v>
      </x:c>
      <x:c r="D1091" t="str">
        <x:v>GV</x:v>
      </x:c>
      <x:c r="E1091" t="str">
        <x:v>Ground Validation</x:v>
      </x:c>
      <x:c r="F1091" t="str">
        <x:v>HD Seaviewer Drop Camera</x:v>
      </x:c>
      <x:c r="G1091" t="str">
        <x:v>GV2016_464</x:v>
      </x:c>
      <x:c r="H1091" s="28" t="n">
        <x:v>42612</x:v>
      </x:c>
      <x:c r="I1091" t="str">
        <x:v>13:05:26</x:v>
      </x:c>
      <x:c r="J1091" t="n">
        <x:v>2016</x:v>
      </x:c>
      <x:c r="K1091" t="n">
        <x:v>18.27412612</x:v>
      </x:c>
      <x:c r="L1091" t="n">
        <x:v>-64.84935443</x:v>
      </x:c>
      <x:c r="M1091" t="n">
        <x:v>27.987</x:v>
      </x:c>
      <x:c r="N1091" t="str">
        <x:v>https://nccospublicstor.blob.core.windows.net/biomapper/usviinsularshelf2017/videos/low/GV2016_464.mp4</x:v>
      </x:c>
      <x:c r="O1091" t="n">
        <x:v>0</x:v>
      </x:c>
      <x:c r="P1091" t="n">
        <x:v>0</x:v>
      </x:c>
      <x:c r="Q1091" t="n">
        <x:v>1</x:v>
      </x:c>
      <x:c r="R1091" t="n">
        <x:v>1</x:v>
      </x:c>
      <x:c r="S1091" t="n">
        <x:v>0</x:v>
      </x:c>
      <x:c r="T1091" t="n">
        <x:v>0</x:v>
      </x:c>
      <x:c r="U1091" t="n">
        <x:v>1</x:v>
      </x:c>
      <x:c r="V1091" t="n">
        <x:v>1</x:v>
      </x:c>
      <x:c r="W1091" t="n">
        <x:v>0</x:v>
      </x:c>
      <x:c r="X1091" t="n">
        <x:v>0</x:v>
      </x:c>
      <x:c r="Y1091" t="n">
        <x:v>0</x:v>
      </x:c>
      <x:c r="Z1091" t="n">
        <x:v>2</x:v>
      </x:c>
      <x:c r="AA1091" t="n">
        <x:v>2</x:v>
      </x:c>
      <x:c r="AB1091" t="str">
        <x:v>Pass</x:v>
      </x:c>
      <x:c r="AC1091" t="str"/>
      <x:c r="AD1091" t="str"/>
    </x:row>
    <x:row r="1092">
      <x:c r="A1092" t="str">
        <x:v>REC1091</x:v>
      </x:c>
      <x:c r="B1092" t="n">
        <x:v>1090</x:v>
      </x:c>
      <x:c r="C1092" t="str">
        <x:v>St. Thomas, USVI</x:v>
      </x:c>
      <x:c r="D1092" t="str">
        <x:v>GV</x:v>
      </x:c>
      <x:c r="E1092" t="str">
        <x:v>Ground Validation</x:v>
      </x:c>
      <x:c r="F1092" t="str">
        <x:v>HD Seaviewer Drop Camera</x:v>
      </x:c>
      <x:c r="G1092" t="str">
        <x:v>GV2016_465</x:v>
      </x:c>
      <x:c r="H1092" s="28" t="n">
        <x:v>42609</x:v>
      </x:c>
      <x:c r="I1092" t="str">
        <x:v>13:47:02</x:v>
      </x:c>
      <x:c r="J1092" t="n">
        <x:v>2016</x:v>
      </x:c>
      <x:c r="K1092" t="n">
        <x:v>18.2311865</x:v>
      </x:c>
      <x:c r="L1092" t="n">
        <x:v>-65.02357587</x:v>
      </x:c>
      <x:c r="M1092" t="n">
        <x:v>40.347</x:v>
      </x:c>
      <x:c r="N1092" t="str">
        <x:v>https://nccospublicstor.blob.core.windows.net/biomapper/usviinsularshelf2017/videos/low/GV2016_465.mp4</x:v>
      </x:c>
      <x:c r="O1092" t="n">
        <x:v>0</x:v>
      </x:c>
      <x:c r="P1092" t="n">
        <x:v>0</x:v>
      </x:c>
      <x:c r="Q1092" t="n">
        <x:v>1</x:v>
      </x:c>
      <x:c r="R1092" t="n">
        <x:v>1</x:v>
      </x:c>
      <x:c r="S1092" t="n">
        <x:v>0</x:v>
      </x:c>
      <x:c r="T1092" t="n">
        <x:v>0</x:v>
      </x:c>
      <x:c r="U1092" t="n">
        <x:v>1</x:v>
      </x:c>
      <x:c r="V1092" t="n">
        <x:v>1</x:v>
      </x:c>
      <x:c r="W1092" t="n">
        <x:v>0</x:v>
      </x:c>
      <x:c r="X1092" t="n">
        <x:v>0</x:v>
      </x:c>
      <x:c r="Y1092" t="n">
        <x:v>0</x:v>
      </x:c>
      <x:c r="Z1092" t="n">
        <x:v>2</x:v>
      </x:c>
      <x:c r="AA1092" t="n">
        <x:v>2</x:v>
      </x:c>
      <x:c r="AB1092" t="str">
        <x:v>Pass</x:v>
      </x:c>
      <x:c r="AC1092" t="str"/>
      <x:c r="AD1092" t="str"/>
    </x:row>
    <x:row r="1093">
      <x:c r="A1093" t="str">
        <x:v>REC1092</x:v>
      </x:c>
      <x:c r="B1093" t="n">
        <x:v>1091</x:v>
      </x:c>
      <x:c r="C1093" t="str">
        <x:v>Puerto Rico</x:v>
      </x:c>
      <x:c r="D1093" t="str">
        <x:v>GV</x:v>
      </x:c>
      <x:c r="E1093" t="str">
        <x:v>Ground Validation</x:v>
      </x:c>
      <x:c r="F1093" t="str">
        <x:v>HD Seaviewer Drop Camera</x:v>
      </x:c>
      <x:c r="G1093" t="str">
        <x:v>GV2016_467</x:v>
      </x:c>
      <x:c r="H1093" s="28" t="n">
        <x:v>42604</x:v>
      </x:c>
      <x:c r="I1093" t="str">
        <x:v>10:09:37</x:v>
      </x:c>
      <x:c r="J1093" t="n">
        <x:v>2016</x:v>
      </x:c>
      <x:c r="K1093" t="n">
        <x:v>18.17018159</x:v>
      </x:c>
      <x:c r="L1093" t="n">
        <x:v>-65.19973185</x:v>
      </x:c>
      <x:c r="M1093" t="n">
        <x:v>40.68</x:v>
      </x:c>
      <x:c r="N1093" t="str">
        <x:v>https://nccospublicstor.blob.core.windows.net/biomapper/usviinsularshelf2017/videos/low/GV2016_467.mp4</x:v>
      </x:c>
      <x:c r="O1093" t="n">
        <x:v>1</x:v>
      </x:c>
      <x:c r="P1093" t="n">
        <x:v>0</x:v>
      </x:c>
      <x:c r="Q1093" t="n">
        <x:v>0</x:v>
      </x:c>
      <x:c r="R1093" t="n">
        <x:v>0</x:v>
      </x:c>
      <x:c r="S1093" t="n">
        <x:v>1</x:v>
      </x:c>
      <x:c r="T1093" t="n">
        <x:v>1</x:v>
      </x:c>
      <x:c r="U1093" t="n">
        <x:v>1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1</x:v>
      </x:c>
      <x:c r="AA1093" t="n">
        <x:v>3</x:v>
      </x:c>
      <x:c r="AB1093" t="str">
        <x:v>Pass</x:v>
      </x:c>
      <x:c r="AC1093" t="str"/>
      <x:c r="AD1093" t="str"/>
    </x:row>
    <x:row r="1094">
      <x:c r="A1094" t="str">
        <x:v>REC1093</x:v>
      </x:c>
      <x:c r="B1094" t="n">
        <x:v>1092</x:v>
      </x:c>
      <x:c r="C1094" t="str">
        <x:v>St. John, USVI</x:v>
      </x:c>
      <x:c r="D1094" t="str">
        <x:v>GV</x:v>
      </x:c>
      <x:c r="E1094" t="str">
        <x:v>Ground Validation</x:v>
      </x:c>
      <x:c r="F1094" t="str">
        <x:v>HD Seaviewer Drop Camera</x:v>
      </x:c>
      <x:c r="G1094" t="str">
        <x:v>GV2016_468</x:v>
      </x:c>
      <x:c r="H1094" s="28" t="n">
        <x:v>42625</x:v>
      </x:c>
      <x:c r="I1094" t="str">
        <x:v>08:20:59</x:v>
      </x:c>
      <x:c r="J1094" t="n">
        <x:v>2016</x:v>
      </x:c>
      <x:c r="K1094" t="n">
        <x:v>18.26146806</x:v>
      </x:c>
      <x:c r="L1094" t="n">
        <x:v>-64.7200957</x:v>
      </x:c>
      <x:c r="M1094" t="n">
        <x:v>47.197</x:v>
      </x:c>
      <x:c r="N1094" t="str">
        <x:v>https://nccospublicstor.blob.core.windows.net/biomapper/usviinsularshelf2017/videos/low/GV2016_468.mp4</x:v>
      </x:c>
      <x:c r="O1094" t="n">
        <x:v>0</x:v>
      </x:c>
      <x:c r="P1094" t="n">
        <x:v>0</x:v>
      </x:c>
      <x:c r="Q1094" t="n">
        <x:v>1</x:v>
      </x:c>
      <x:c r="R1094" t="n">
        <x:v>0</x:v>
      </x:c>
      <x:c r="S1094" t="n">
        <x:v>0</x:v>
      </x:c>
      <x:c r="T1094" t="n">
        <x:v>0</x:v>
      </x:c>
      <x:c r="U1094" t="n">
        <x:v>1</x:v>
      </x:c>
      <x:c r="V1094" t="n">
        <x:v>1</x:v>
      </x:c>
      <x:c r="W1094" t="n">
        <x:v>0</x:v>
      </x:c>
      <x:c r="X1094" t="n">
        <x:v>0</x:v>
      </x:c>
      <x:c r="Y1094" t="n">
        <x:v>0</x:v>
      </x:c>
      <x:c r="Z1094" t="n">
        <x:v>1</x:v>
      </x:c>
      <x:c r="AA1094" t="n">
        <x:v>2</x:v>
      </x:c>
      <x:c r="AB1094" t="str">
        <x:v>Pass</x:v>
      </x:c>
      <x:c r="AC1094" t="str"/>
      <x:c r="AD1094" t="str"/>
    </x:row>
    <x:row r="1095">
      <x:c r="A1095" t="str">
        <x:v>REC1094</x:v>
      </x:c>
      <x:c r="B1095" t="n">
        <x:v>1093</x:v>
      </x:c>
      <x:c r="C1095" t="str">
        <x:v>Puerto Rico</x:v>
      </x:c>
      <x:c r="D1095" t="str">
        <x:v>GV</x:v>
      </x:c>
      <x:c r="E1095" t="str">
        <x:v>Ground Validation</x:v>
      </x:c>
      <x:c r="F1095" t="str">
        <x:v>HD Seaviewer Drop Camera</x:v>
      </x:c>
      <x:c r="G1095" t="str">
        <x:v>GV2016_469</x:v>
      </x:c>
      <x:c r="H1095" s="28" t="n">
        <x:v>42604</x:v>
      </x:c>
      <x:c r="I1095" t="str">
        <x:v>10:30:03</x:v>
      </x:c>
      <x:c r="J1095" t="n">
        <x:v>2016</x:v>
      </x:c>
      <x:c r="K1095" t="n">
        <x:v>18.1876421</x:v>
      </x:c>
      <x:c r="L1095" t="n">
        <x:v>-65.20218371</x:v>
      </x:c>
      <x:c r="M1095" t="n">
        <x:v>38.305</x:v>
      </x:c>
      <x:c r="N1095" t="str">
        <x:v>https://nccospublicstor.blob.core.windows.net/biomapper/usviinsularshelf2017/videos/low/GV2016_469.mp4</x:v>
      </x:c>
      <x:c r="O1095" t="n">
        <x:v>1</x:v>
      </x:c>
      <x:c r="P1095" t="n">
        <x:v>0</x:v>
      </x:c>
      <x:c r="Q1095" t="n">
        <x:v>0</x:v>
      </x:c>
      <x:c r="R1095" t="n">
        <x:v>0</x:v>
      </x:c>
      <x:c r="S1095" t="n">
        <x:v>1</x:v>
      </x:c>
      <x:c r="T1095" t="n">
        <x:v>0</x:v>
      </x:c>
      <x:c r="U1095" t="n">
        <x:v>1</x:v>
      </x:c>
      <x:c r="V1095" t="n">
        <x:v>1</x:v>
      </x:c>
      <x:c r="W1095" t="n">
        <x:v>0</x:v>
      </x:c>
      <x:c r="X1095" t="n">
        <x:v>0</x:v>
      </x:c>
      <x:c r="Y1095" t="n">
        <x:v>0</x:v>
      </x:c>
      <x:c r="Z1095" t="n">
        <x:v>1</x:v>
      </x:c>
      <x:c r="AA1095" t="n">
        <x:v>3</x:v>
      </x:c>
      <x:c r="AB1095" t="str">
        <x:v>Pass</x:v>
      </x:c>
      <x:c r="AC1095" t="str"/>
      <x:c r="AD1095" t="str">
        <x:v>Some coral colonies with coral bleaching</x:v>
      </x:c>
    </x:row>
    <x:row r="1096">
      <x:c r="A1096" t="str">
        <x:v>REC1095</x:v>
      </x:c>
      <x:c r="B1096" t="n">
        <x:v>1094</x:v>
      </x:c>
      <x:c r="C1096" t="str">
        <x:v>St. Thomas, USVI</x:v>
      </x:c>
      <x:c r="D1096" t="str">
        <x:v>GV</x:v>
      </x:c>
      <x:c r="E1096" t="str">
        <x:v>Ground Validation</x:v>
      </x:c>
      <x:c r="F1096" t="str">
        <x:v>HD Seaviewer Drop Camera</x:v>
      </x:c>
      <x:c r="G1096" t="str">
        <x:v>GV2016_470</x:v>
      </x:c>
      <x:c r="H1096" s="28" t="n">
        <x:v>42610</x:v>
      </x:c>
      <x:c r="I1096" t="str">
        <x:v>09:25:15</x:v>
      </x:c>
      <x:c r="J1096" t="n">
        <x:v>2016</x:v>
      </x:c>
      <x:c r="K1096" t="n">
        <x:v>18.18789581</x:v>
      </x:c>
      <x:c r="L1096" t="n">
        <x:v>-64.88112399</x:v>
      </x:c>
      <x:c r="M1096" t="n">
        <x:v>48.345</x:v>
      </x:c>
      <x:c r="N1096" t="str">
        <x:v>https://nccospublicstor.blob.core.windows.net/biomapper/usviinsularshelf2017/videos/low/GV2016_470.mp4</x:v>
      </x:c>
      <x:c r="O1096" t="n">
        <x:v>0</x:v>
      </x:c>
      <x:c r="P1096" t="n">
        <x:v>0</x:v>
      </x:c>
      <x:c r="Q1096" t="n">
        <x:v>1</x:v>
      </x:c>
      <x:c r="R1096" t="n">
        <x:v>0</x:v>
      </x:c>
      <x:c r="S1096" t="n">
        <x:v>1</x:v>
      </x:c>
      <x:c r="T1096" t="n">
        <x:v>0</x:v>
      </x:c>
      <x:c r="U1096" t="n">
        <x:v>1</x:v>
      </x:c>
      <x:c r="V1096" t="n">
        <x:v>1</x:v>
      </x:c>
      <x:c r="W1096" t="n">
        <x:v>0</x:v>
      </x:c>
      <x:c r="X1096" t="n">
        <x:v>0</x:v>
      </x:c>
      <x:c r="Y1096" t="n">
        <x:v>0</x:v>
      </x:c>
      <x:c r="Z1096" t="n">
        <x:v>1</x:v>
      </x:c>
      <x:c r="AA1096" t="n">
        <x:v>3</x:v>
      </x:c>
      <x:c r="AB1096" t="str">
        <x:v>Pass</x:v>
      </x:c>
      <x:c r="AC1096" t="str"/>
      <x:c r="AD1096" t="str"/>
    </x:row>
    <x:row r="1097">
      <x:c r="A1097" t="str">
        <x:v>REC1096</x:v>
      </x:c>
      <x:c r="B1097" t="n">
        <x:v>1095</x:v>
      </x:c>
      <x:c r="C1097" t="str">
        <x:v>St. Thomas, USVI</x:v>
      </x:c>
      <x:c r="D1097" t="str">
        <x:v>GV</x:v>
      </x:c>
      <x:c r="E1097" t="str">
        <x:v>Ground Validation</x:v>
      </x:c>
      <x:c r="F1097" t="str">
        <x:v>HD Seaviewer Drop Camera</x:v>
      </x:c>
      <x:c r="G1097" t="str">
        <x:v>GV2016_471</x:v>
      </x:c>
      <x:c r="H1097" s="28" t="n">
        <x:v>42609</x:v>
      </x:c>
      <x:c r="I1097" t="str">
        <x:v>12:48:41</x:v>
      </x:c>
      <x:c r="J1097" t="n">
        <x:v>2016</x:v>
      </x:c>
      <x:c r="K1097" t="n">
        <x:v>18.25466049</x:v>
      </x:c>
      <x:c r="L1097" t="n">
        <x:v>-65.00885405</x:v>
      </x:c>
      <x:c r="M1097" t="n">
        <x:v>39.347</x:v>
      </x:c>
      <x:c r="N1097" t="str">
        <x:v>https://nccospublicstor.blob.core.windows.net/biomapper/usviinsularshelf2017/videos/low/GV2016_471.mp4</x:v>
      </x:c>
      <x:c r="O1097" t="n">
        <x:v>0</x:v>
      </x:c>
      <x:c r="P1097" t="n">
        <x:v>0</x:v>
      </x:c>
      <x:c r="Q1097" t="n">
        <x:v>1</x:v>
      </x:c>
      <x:c r="R1097" t="n">
        <x:v>0</x:v>
      </x:c>
      <x:c r="S1097" t="n">
        <x:v>0</x:v>
      </x:c>
      <x:c r="T1097" t="n">
        <x:v>0</x:v>
      </x:c>
      <x:c r="U1097" t="n">
        <x:v>1</x:v>
      </x:c>
      <x:c r="V1097" t="n">
        <x:v>1</x:v>
      </x:c>
      <x:c r="W1097" t="n">
        <x:v>0</x:v>
      </x:c>
      <x:c r="X1097" t="n">
        <x:v>0</x:v>
      </x:c>
      <x:c r="Y1097" t="n">
        <x:v>0</x:v>
      </x:c>
      <x:c r="Z1097" t="n">
        <x:v>1</x:v>
      </x:c>
      <x:c r="AA1097" t="n">
        <x:v>2</x:v>
      </x:c>
      <x:c r="AB1097" t="str">
        <x:v>Pass</x:v>
      </x:c>
      <x:c r="AC1097" t="str"/>
      <x:c r="AD1097" t="str"/>
    </x:row>
    <x:row r="1098">
      <x:c r="A1098" t="str">
        <x:v>REC1097</x:v>
      </x:c>
      <x:c r="B1098" t="n">
        <x:v>1096</x:v>
      </x:c>
      <x:c r="C1098" t="str">
        <x:v>Puerto Rico</x:v>
      </x:c>
      <x:c r="D1098" t="str">
        <x:v>GV</x:v>
      </x:c>
      <x:c r="E1098" t="str">
        <x:v>Ground Validation</x:v>
      </x:c>
      <x:c r="F1098" t="str">
        <x:v>HD Seaviewer Drop Camera</x:v>
      </x:c>
      <x:c r="G1098" t="str">
        <x:v>GV2016_472</x:v>
      </x:c>
      <x:c r="H1098" s="28" t="n">
        <x:v>42603</x:v>
      </x:c>
      <x:c r="I1098" t="str">
        <x:v>13:06:17</x:v>
      </x:c>
      <x:c r="J1098" t="n">
        <x:v>2016</x:v>
      </x:c>
      <x:c r="K1098" t="n">
        <x:v>18.15740958</x:v>
      </x:c>
      <x:c r="L1098" t="n">
        <x:v>-65.24582463</x:v>
      </x:c>
      <x:c r="M1098" t="n">
        <x:v>32.137</x:v>
      </x:c>
      <x:c r="N1098" t="str">
        <x:v>https://nccospublicstor.blob.core.windows.net/biomapper/usviinsularshelf2017/videos/low/GV2016_472.mp4</x:v>
      </x:c>
      <x:c r="O1098" t="n">
        <x:v>0</x:v>
      </x:c>
      <x:c r="P1098" t="n">
        <x:v>0</x:v>
      </x:c>
      <x:c r="Q1098" t="n">
        <x:v>1</x:v>
      </x:c>
      <x:c r="R1098" t="n">
        <x:v>0</x:v>
      </x:c>
      <x:c r="S1098" t="n">
        <x:v>1</x:v>
      </x:c>
      <x:c r="T1098" t="n">
        <x:v>0</x:v>
      </x:c>
      <x:c r="U1098" t="n">
        <x:v>1</x:v>
      </x:c>
      <x:c r="V1098" t="n">
        <x:v>1</x:v>
      </x:c>
      <x:c r="W1098" t="n">
        <x:v>0</x:v>
      </x:c>
      <x:c r="X1098" t="n">
        <x:v>0</x:v>
      </x:c>
      <x:c r="Y1098" t="n">
        <x:v>0</x:v>
      </x:c>
      <x:c r="Z1098" t="n">
        <x:v>1</x:v>
      </x:c>
      <x:c r="AA1098" t="n">
        <x:v>3</x:v>
      </x:c>
      <x:c r="AB1098" t="str">
        <x:v>Pass</x:v>
      </x:c>
      <x:c r="AC1098" t="str"/>
      <x:c r="AD1098" t="str"/>
    </x:row>
    <x:row r="1099">
      <x:c r="A1099" t="str">
        <x:v>REC1098</x:v>
      </x:c>
      <x:c r="B1099" t="n">
        <x:v>1097</x:v>
      </x:c>
      <x:c r="C1099" t="str">
        <x:v>St. Thomas, USVI</x:v>
      </x:c>
      <x:c r="D1099" t="str">
        <x:v>GV</x:v>
      </x:c>
      <x:c r="E1099" t="str">
        <x:v>Ground Validation</x:v>
      </x:c>
      <x:c r="F1099" t="str">
        <x:v>HD Seaviewer Drop Camera</x:v>
      </x:c>
      <x:c r="G1099" t="str">
        <x:v>GV2016_473</x:v>
      </x:c>
      <x:c r="H1099" s="28" t="n">
        <x:v>42626</x:v>
      </x:c>
      <x:c r="I1099" t="str">
        <x:v>13:10:43</x:v>
      </x:c>
      <x:c r="J1099" t="n">
        <x:v>2016</x:v>
      </x:c>
      <x:c r="K1099" t="n">
        <x:v>18.23689848</x:v>
      </x:c>
      <x:c r="L1099" t="n">
        <x:v>-64.81345033</x:v>
      </x:c>
      <x:c r="M1099" t="n">
        <x:v>49.485</x:v>
      </x:c>
      <x:c r="N1099" t="str">
        <x:v>https://nccospublicstor.blob.core.windows.net/biomapper/usviinsularshelf2017/videos/low/GV2016_473.mp4</x:v>
      </x:c>
      <x:c r="O1099" t="n">
        <x:v>0</x:v>
      </x:c>
      <x:c r="P1099" t="n">
        <x:v>0</x:v>
      </x:c>
      <x:c r="Q1099" t="n">
        <x:v>1</x:v>
      </x:c>
      <x:c r="R1099" t="n">
        <x:v>0</x:v>
      </x:c>
      <x:c r="S1099" t="n">
        <x:v>0</x:v>
      </x:c>
      <x:c r="T1099" t="n">
        <x:v>0</x:v>
      </x:c>
      <x:c r="U1099" t="n">
        <x:v>1</x:v>
      </x:c>
      <x:c r="V1099" t="n">
        <x:v>1</x:v>
      </x:c>
      <x:c r="W1099" t="n">
        <x:v>0</x:v>
      </x:c>
      <x:c r="X1099" t="n">
        <x:v>0</x:v>
      </x:c>
      <x:c r="Y1099" t="n">
        <x:v>0</x:v>
      </x:c>
      <x:c r="Z1099" t="n">
        <x:v>1</x:v>
      </x:c>
      <x:c r="AA1099" t="n">
        <x:v>2</x:v>
      </x:c>
      <x:c r="AB1099" t="str">
        <x:v>Pass</x:v>
      </x:c>
      <x:c r="AC1099" t="str"/>
      <x:c r="AD1099" t="str"/>
    </x:row>
    <x:row r="1100">
      <x:c r="A1100" t="str">
        <x:v>REC1099</x:v>
      </x:c>
      <x:c r="B1100" t="n">
        <x:v>1098</x:v>
      </x:c>
      <x:c r="C1100" t="str">
        <x:v>St. Thomas, USVI</x:v>
      </x:c>
      <x:c r="D1100" t="str">
        <x:v>GV</x:v>
      </x:c>
      <x:c r="E1100" t="str">
        <x:v>Ground Validation</x:v>
      </x:c>
      <x:c r="F1100" t="str">
        <x:v>HD Seaviewer Drop Camera</x:v>
      </x:c>
      <x:c r="G1100" t="str">
        <x:v>GV2016_474</x:v>
      </x:c>
      <x:c r="H1100" s="28" t="n">
        <x:v>42612</x:v>
      </x:c>
      <x:c r="I1100" t="str">
        <x:v>10:05:24</x:v>
      </x:c>
      <x:c r="J1100" t="n">
        <x:v>2016</x:v>
      </x:c>
      <x:c r="K1100" t="n">
        <x:v>18.25671522</x:v>
      </x:c>
      <x:c r="L1100" t="n">
        <x:v>-64.97258454</x:v>
      </x:c>
      <x:c r="M1100" t="n">
        <x:v>37.249</x:v>
      </x:c>
      <x:c r="N1100" t="str">
        <x:v>https://nccospublicstor.blob.core.windows.net/biomapper/usviinsularshelf2017/videos/low/GV2016_474.mp4</x:v>
      </x:c>
      <x:c r="O1100" t="n">
        <x:v>0</x:v>
      </x:c>
      <x:c r="P1100" t="n">
        <x:v>0</x:v>
      </x:c>
      <x:c r="Q1100" t="n">
        <x:v>1</x:v>
      </x:c>
      <x:c r="R1100" t="n">
        <x:v>1</x:v>
      </x:c>
      <x:c r="S1100" t="n">
        <x:v>0</x:v>
      </x:c>
      <x:c r="T1100" t="n">
        <x:v>0</x:v>
      </x:c>
      <x:c r="U1100" t="n">
        <x:v>1</x:v>
      </x:c>
      <x:c r="V1100" t="n">
        <x:v>1</x:v>
      </x:c>
      <x:c r="W1100" t="n">
        <x:v>0</x:v>
      </x:c>
      <x:c r="X1100" t="n">
        <x:v>0</x:v>
      </x:c>
      <x:c r="Y1100" t="n">
        <x:v>0</x:v>
      </x:c>
      <x:c r="Z1100" t="n">
        <x:v>2</x:v>
      </x:c>
      <x:c r="AA1100" t="n">
        <x:v>2</x:v>
      </x:c>
      <x:c r="AB1100" t="str">
        <x:v>Pass</x:v>
      </x:c>
      <x:c r="AC1100" t="str"/>
      <x:c r="AD1100" t="str"/>
    </x:row>
    <x:row r="1101">
      <x:c r="A1101" t="str">
        <x:v>REC1100</x:v>
      </x:c>
      <x:c r="B1101" t="n">
        <x:v>1099</x:v>
      </x:c>
      <x:c r="C1101" t="str">
        <x:v>St. John, USVI</x:v>
      </x:c>
      <x:c r="D1101" t="str">
        <x:v>GV</x:v>
      </x:c>
      <x:c r="E1101" t="str">
        <x:v>Ground Validation</x:v>
      </x:c>
      <x:c r="F1101" t="str">
        <x:v>HD Seaviewer Drop Camera</x:v>
      </x:c>
      <x:c r="G1101" t="str">
        <x:v>GV2016_475</x:v>
      </x:c>
      <x:c r="H1101" s="28" t="n">
        <x:v>42623</x:v>
      </x:c>
      <x:c r="I1101" t="str">
        <x:v>12:38:09</x:v>
      </x:c>
      <x:c r="J1101" t="n">
        <x:v>2016</x:v>
      </x:c>
      <x:c r="K1101" t="n">
        <x:v>18.28302957</x:v>
      </x:c>
      <x:c r="L1101" t="n">
        <x:v>-64.72767402</x:v>
      </x:c>
      <x:c r="M1101" t="n">
        <x:v>35.968</x:v>
      </x:c>
      <x:c r="N1101" t="str">
        <x:v>https://nccospublicstor.blob.core.windows.net/biomapper/usviinsularshelf2017/videos/low/GV2016_475.mp4</x:v>
      </x:c>
      <x:c r="O1101" t="n">
        <x:v>0</x:v>
      </x:c>
      <x:c r="P1101" t="n">
        <x:v>0</x:v>
      </x:c>
      <x:c r="Q1101" t="n">
        <x:v>1</x:v>
      </x:c>
      <x:c r="R1101" t="n">
        <x:v>1</x:v>
      </x:c>
      <x:c r="S1101" t="n">
        <x:v>0</x:v>
      </x:c>
      <x:c r="T1101" t="n">
        <x:v>0</x:v>
      </x:c>
      <x:c r="U1101" t="n">
        <x:v>1</x:v>
      </x:c>
      <x:c r="V1101" t="n">
        <x:v>1</x:v>
      </x:c>
      <x:c r="W1101" t="n">
        <x:v>0</x:v>
      </x:c>
      <x:c r="X1101" t="n">
        <x:v>0</x:v>
      </x:c>
      <x:c r="Y1101" t="n">
        <x:v>0</x:v>
      </x:c>
      <x:c r="Z1101" t="n">
        <x:v>2</x:v>
      </x:c>
      <x:c r="AA1101" t="n">
        <x:v>2</x:v>
      </x:c>
      <x:c r="AB1101" t="str">
        <x:v>Pass</x:v>
      </x:c>
      <x:c r="AC1101" t="str"/>
      <x:c r="AD1101" t="str">
        <x:v>Queen conch or hermit crab foraging</x:v>
      </x:c>
    </x:row>
    <x:row r="1102">
      <x:c r="A1102" t="str">
        <x:v>REC1101</x:v>
      </x:c>
      <x:c r="B1102" t="n">
        <x:v>1100</x:v>
      </x:c>
      <x:c r="C1102" t="str">
        <x:v>St. Thomas, USVI</x:v>
      </x:c>
      <x:c r="D1102" t="str">
        <x:v>GV</x:v>
      </x:c>
      <x:c r="E1102" t="str">
        <x:v>Ground Validation</x:v>
      </x:c>
      <x:c r="F1102" t="str">
        <x:v>HD Seaviewer Drop Camera</x:v>
      </x:c>
      <x:c r="G1102" t="str">
        <x:v>GV2016_476</x:v>
      </x:c>
      <x:c r="H1102" s="28" t="n">
        <x:v>42629</x:v>
      </x:c>
      <x:c r="I1102" t="str">
        <x:v>10:15:03</x:v>
      </x:c>
      <x:c r="J1102" t="n">
        <x:v>2016</x:v>
      </x:c>
      <x:c r="K1102" t="n">
        <x:v>18.21162375</x:v>
      </x:c>
      <x:c r="L1102" t="n">
        <x:v>-64.81164084</x:v>
      </x:c>
      <x:c r="M1102" t="n">
        <x:v>51.923</x:v>
      </x:c>
      <x:c r="N1102" t="str">
        <x:v>https://nccospublicstor.blob.core.windows.net/biomapper/usviinsularshelf2017/videos/low/GV2016_476.mp4</x:v>
      </x:c>
      <x:c r="O1102" t="n">
        <x:v>0</x:v>
      </x:c>
      <x:c r="P1102" t="n">
        <x:v>0</x:v>
      </x:c>
      <x:c r="Q1102" t="n">
        <x:v>1</x:v>
      </x:c>
      <x:c r="R1102" t="n">
        <x:v>0</x:v>
      </x:c>
      <x:c r="S1102" t="n">
        <x:v>1</x:v>
      </x:c>
      <x:c r="T1102" t="n">
        <x:v>0</x:v>
      </x:c>
      <x:c r="U1102" t="n">
        <x:v>1</x:v>
      </x:c>
      <x:c r="V1102" t="n">
        <x:v>1</x:v>
      </x:c>
      <x:c r="W1102" t="n">
        <x:v>0</x:v>
      </x:c>
      <x:c r="X1102" t="n">
        <x:v>0</x:v>
      </x:c>
      <x:c r="Y1102" t="n">
        <x:v>0</x:v>
      </x:c>
      <x:c r="Z1102" t="n">
        <x:v>1</x:v>
      </x:c>
      <x:c r="AA1102" t="n">
        <x:v>3</x:v>
      </x:c>
      <x:c r="AB1102" t="str">
        <x:v>Pass</x:v>
      </x:c>
      <x:c r="AC1102" t="str"/>
      <x:c r="AD1102" t="str"/>
    </x:row>
    <x:row r="1103">
      <x:c r="A1103" t="str">
        <x:v>REC1102</x:v>
      </x:c>
      <x:c r="B1103" t="n">
        <x:v>1101</x:v>
      </x:c>
      <x:c r="C1103" t="str">
        <x:v>St. John, USVI</x:v>
      </x:c>
      <x:c r="D1103" t="str">
        <x:v>GV</x:v>
      </x:c>
      <x:c r="E1103" t="str">
        <x:v>Ground Validation</x:v>
      </x:c>
      <x:c r="F1103" t="str">
        <x:v>HD Seaviewer Drop Camera</x:v>
      </x:c>
      <x:c r="G1103" t="str">
        <x:v>GV2016_477</x:v>
      </x:c>
      <x:c r="H1103" s="28" t="n">
        <x:v>42623</x:v>
      </x:c>
      <x:c r="I1103" t="str">
        <x:v>10:58:28</x:v>
      </x:c>
      <x:c r="J1103" t="n">
        <x:v>2016</x:v>
      </x:c>
      <x:c r="K1103" t="n">
        <x:v>18.26528934</x:v>
      </x:c>
      <x:c r="L1103" t="n">
        <x:v>-64.76929333</x:v>
      </x:c>
      <x:c r="M1103" t="n">
        <x:v>43.655</x:v>
      </x:c>
      <x:c r="N1103" t="str">
        <x:v>https://nccospublicstor.blob.core.windows.net/biomapper/usviinsularshelf2017/videos/low/GV2016_477.mp4</x:v>
      </x:c>
      <x:c r="O1103" t="n">
        <x:v>0</x:v>
      </x:c>
      <x:c r="P1103" t="n">
        <x:v>0</x:v>
      </x:c>
      <x:c r="Q1103" t="n">
        <x:v>1</x:v>
      </x:c>
      <x:c r="R1103" t="n">
        <x:v>1</x:v>
      </x:c>
      <x:c r="S1103" t="n">
        <x:v>0</x:v>
      </x:c>
      <x:c r="T1103" t="n">
        <x:v>0</x:v>
      </x:c>
      <x:c r="U1103" t="n">
        <x:v>1</x:v>
      </x:c>
      <x:c r="V1103" t="n">
        <x:v>1</x:v>
      </x:c>
      <x:c r="W1103" t="n">
        <x:v>0</x:v>
      </x:c>
      <x:c r="X1103" t="n">
        <x:v>0</x:v>
      </x:c>
      <x:c r="Y1103" t="n">
        <x:v>0</x:v>
      </x:c>
      <x:c r="Z1103" t="n">
        <x:v>2</x:v>
      </x:c>
      <x:c r="AA1103" t="n">
        <x:v>2</x:v>
      </x:c>
      <x:c r="AB1103" t="str">
        <x:v>Pass</x:v>
      </x:c>
      <x:c r="AC1103" t="str"/>
      <x:c r="AD1103" t="str"/>
    </x:row>
    <x:row r="1104">
      <x:c r="A1104" t="str">
        <x:v>REC1103</x:v>
      </x:c>
      <x:c r="B1104" t="n">
        <x:v>1102</x:v>
      </x:c>
      <x:c r="C1104" t="str">
        <x:v>St. John, USVI</x:v>
      </x:c>
      <x:c r="D1104" t="str">
        <x:v>GV</x:v>
      </x:c>
      <x:c r="E1104" t="str">
        <x:v>Ground Validation</x:v>
      </x:c>
      <x:c r="F1104" t="str">
        <x:v>HD Seaviewer Drop Camera</x:v>
      </x:c>
      <x:c r="G1104" t="str">
        <x:v>GV2016_478</x:v>
      </x:c>
      <x:c r="H1104" s="28" t="n">
        <x:v>42629</x:v>
      </x:c>
      <x:c r="I1104" t="str">
        <x:v>11:13:18</x:v>
      </x:c>
      <x:c r="J1104" t="n">
        <x:v>2016</x:v>
      </x:c>
      <x:c r="K1104" t="n">
        <x:v>18.19407318</x:v>
      </x:c>
      <x:c r="L1104" t="n">
        <x:v>-64.79849392</x:v>
      </x:c>
      <x:c r="M1104" t="n">
        <x:v>55.187</x:v>
      </x:c>
      <x:c r="N1104" t="str">
        <x:v>https://nccospublicstor.blob.core.windows.net/biomapper/usviinsularshelf2017/videos/low/GV2016_478.mp4</x:v>
      </x:c>
      <x:c r="O1104" t="n">
        <x:v>0</x:v>
      </x:c>
      <x:c r="P1104" t="n">
        <x:v>1</x:v>
      </x:c>
      <x:c r="Q1104" t="n">
        <x:v>1</x:v>
      </x:c>
      <x:c r="R1104" t="n">
        <x:v>0</x:v>
      </x:c>
      <x:c r="S1104" t="n">
        <x:v>1</x:v>
      </x:c>
      <x:c r="T1104" t="n">
        <x:v>0</x:v>
      </x:c>
      <x:c r="U1104" t="n">
        <x:v>1</x:v>
      </x:c>
      <x:c r="V1104" t="n">
        <x:v>1</x:v>
      </x:c>
      <x:c r="W1104" t="n">
        <x:v>0</x:v>
      </x:c>
      <x:c r="X1104" t="n">
        <x:v>0</x:v>
      </x:c>
      <x:c r="Y1104" t="n">
        <x:v>0</x:v>
      </x:c>
      <x:c r="Z1104" t="n">
        <x:v>2</x:v>
      </x:c>
      <x:c r="AA1104" t="n">
        <x:v>3</x:v>
      </x:c>
      <x:c r="AB1104" t="str">
        <x:v>Pass</x:v>
      </x:c>
      <x:c r="AC1104" t="str"/>
      <x:c r="AD1104" t="str"/>
    </x:row>
    <x:row r="1105">
      <x:c r="A1105" t="str">
        <x:v>REC1104</x:v>
      </x:c>
      <x:c r="B1105" t="n">
        <x:v>1103</x:v>
      </x:c>
      <x:c r="C1105" t="str">
        <x:v>Puerto Rico</x:v>
      </x:c>
      <x:c r="D1105" t="str">
        <x:v>GV</x:v>
      </x:c>
      <x:c r="E1105" t="str">
        <x:v>Ground Validation</x:v>
      </x:c>
      <x:c r="F1105" t="str">
        <x:v>HD Seaviewer Drop Camera</x:v>
      </x:c>
      <x:c r="G1105" t="str">
        <x:v>GV2016_479</x:v>
      </x:c>
      <x:c r="H1105" s="28" t="n">
        <x:v>42605</x:v>
      </x:c>
      <x:c r="I1105" t="str">
        <x:v>13:25:19</x:v>
      </x:c>
      <x:c r="J1105" t="n">
        <x:v>2016</x:v>
      </x:c>
      <x:c r="K1105" t="n">
        <x:v>18.17512467</x:v>
      </x:c>
      <x:c r="L1105" t="n">
        <x:v>-65.17274602</x:v>
      </x:c>
      <x:c r="M1105" t="n">
        <x:v>42.252</x:v>
      </x:c>
      <x:c r="N1105" t="str">
        <x:v>https://nccospublicstor.blob.core.windows.net/biomapper/usviinsularshelf2017/videos/low/GV2016_479.mp4</x:v>
      </x:c>
      <x:c r="O1105" t="n">
        <x:v>1</x:v>
      </x:c>
      <x:c r="P1105" t="n">
        <x:v>0</x:v>
      </x:c>
      <x:c r="Q1105" t="n">
        <x:v>0</x:v>
      </x:c>
      <x:c r="R1105" t="n">
        <x:v>0</x:v>
      </x:c>
      <x:c r="S1105" t="n">
        <x:v>1</x:v>
      </x:c>
      <x:c r="T1105" t="n">
        <x:v>1</x:v>
      </x:c>
      <x:c r="U1105" t="n">
        <x:v>1</x:v>
      </x:c>
      <x:c r="V1105" t="n">
        <x:v>1</x:v>
      </x:c>
      <x:c r="W1105" t="n">
        <x:v>0</x:v>
      </x:c>
      <x:c r="X1105" t="n">
        <x:v>0</x:v>
      </x:c>
      <x:c r="Y1105" t="n">
        <x:v>0</x:v>
      </x:c>
      <x:c r="Z1105" t="n">
        <x:v>1</x:v>
      </x:c>
      <x:c r="AA1105" t="n">
        <x:v>4</x:v>
      </x:c>
      <x:c r="AB1105" t="str">
        <x:v>Pass</x:v>
      </x:c>
      <x:c r="AC1105" t="str"/>
      <x:c r="AD1105" t="str"/>
    </x:row>
    <x:row r="1106">
      <x:c r="A1106" t="str">
        <x:v>REC1105</x:v>
      </x:c>
      <x:c r="B1106" t="n">
        <x:v>1104</x:v>
      </x:c>
      <x:c r="C1106" t="str">
        <x:v>St. Thomas, USVI</x:v>
      </x:c>
      <x:c r="D1106" t="str">
        <x:v>GV</x:v>
      </x:c>
      <x:c r="E1106" t="str">
        <x:v>Ground Validation</x:v>
      </x:c>
      <x:c r="F1106" t="str">
        <x:v>HD Seaviewer Drop Camera</x:v>
      </x:c>
      <x:c r="G1106" t="str">
        <x:v>GV2016_481</x:v>
      </x:c>
      <x:c r="H1106" s="28" t="n">
        <x:v>42610</x:v>
      </x:c>
      <x:c r="I1106" t="str">
        <x:v>12:48:55</x:v>
      </x:c>
      <x:c r="J1106" t="n">
        <x:v>2016</x:v>
      </x:c>
      <x:c r="K1106" t="n">
        <x:v>18.21519403</x:v>
      </x:c>
      <x:c r="L1106" t="n">
        <x:v>-64.89250953</x:v>
      </x:c>
      <x:c r="M1106" t="n">
        <x:v>44.983</x:v>
      </x:c>
      <x:c r="N1106" t="str">
        <x:v>https://nccospublicstor.blob.core.windows.net/biomapper/usviinsularshelf2017/videos/low/GV2016_481.mp4</x:v>
      </x:c>
      <x:c r="O1106" t="n">
        <x:v>1</x:v>
      </x:c>
      <x:c r="P1106" t="n">
        <x:v>0</x:v>
      </x:c>
      <x:c r="Q1106" t="n">
        <x:v>1</x:v>
      </x:c>
      <x:c r="R1106" t="n">
        <x:v>0</x:v>
      </x:c>
      <x:c r="S1106" t="n">
        <x:v>0</x:v>
      </x:c>
      <x:c r="T1106" t="n">
        <x:v>0</x:v>
      </x:c>
      <x:c r="U1106" t="n">
        <x:v>1</x:v>
      </x:c>
      <x:c r="V1106" t="n">
        <x:v>1</x:v>
      </x:c>
      <x:c r="W1106" t="n">
        <x:v>0</x:v>
      </x:c>
      <x:c r="X1106" t="n">
        <x:v>0</x:v>
      </x:c>
      <x:c r="Y1106" t="n">
        <x:v>0</x:v>
      </x:c>
      <x:c r="Z1106" t="n">
        <x:v>2</x:v>
      </x:c>
      <x:c r="AA1106" t="n">
        <x:v>2</x:v>
      </x:c>
      <x:c r="AB1106" t="str">
        <x:v>Pass</x:v>
      </x:c>
      <x:c r="AC1106" t="str"/>
      <x:c r="AD1106" t="str"/>
    </x:row>
    <x:row r="1107">
      <x:c r="A1107" t="str">
        <x:v>REC1106</x:v>
      </x:c>
      <x:c r="B1107" t="n">
        <x:v>1105</x:v>
      </x:c>
      <x:c r="C1107" t="str">
        <x:v>Puerto Rico</x:v>
      </x:c>
      <x:c r="D1107" t="str">
        <x:v>GV</x:v>
      </x:c>
      <x:c r="E1107" t="str">
        <x:v>Ground Validation</x:v>
      </x:c>
      <x:c r="F1107" t="str">
        <x:v>HD Seaviewer Drop Camera</x:v>
      </x:c>
      <x:c r="G1107" t="str">
        <x:v>GV2016_482</x:v>
      </x:c>
      <x:c r="H1107" s="28" t="n">
        <x:v>42603</x:v>
      </x:c>
      <x:c r="I1107" t="str">
        <x:v>10:16:21</x:v>
      </x:c>
      <x:c r="J1107" t="n">
        <x:v>2016</x:v>
      </x:c>
      <x:c r="K1107" t="n">
        <x:v>18.12803093</x:v>
      </x:c>
      <x:c r="L1107" t="n">
        <x:v>-65.179403</x:v>
      </x:c>
      <x:c r="M1107" t="n">
        <x:v>40.786</x:v>
      </x:c>
      <x:c r="N1107" t="str">
        <x:v>https://nccospublicstor.blob.core.windows.net/biomapper/usviinsularshelf2017/videos/low/GV2016_482.mp4</x:v>
      </x:c>
      <x:c r="O1107" t="n">
        <x:v>0</x:v>
      </x:c>
      <x:c r="P1107" t="n">
        <x:v>1</x:v>
      </x:c>
      <x:c r="Q1107" t="n">
        <x:v>0</x:v>
      </x:c>
      <x:c r="R1107" t="n">
        <x:v>0</x:v>
      </x:c>
      <x:c r="S1107" t="n">
        <x:v>1</x:v>
      </x:c>
      <x:c r="T1107" t="n">
        <x:v>1</x:v>
      </x:c>
      <x:c r="U1107" t="n">
        <x:v>1</x:v>
      </x:c>
      <x:c r="V1107" t="n">
        <x:v>1</x:v>
      </x:c>
      <x:c r="W1107" t="n">
        <x:v>0</x:v>
      </x:c>
      <x:c r="X1107" t="n">
        <x:v>0</x:v>
      </x:c>
      <x:c r="Y1107" t="n">
        <x:v>0</x:v>
      </x:c>
      <x:c r="Z1107" t="n">
        <x:v>1</x:v>
      </x:c>
      <x:c r="AA1107" t="n">
        <x:v>4</x:v>
      </x:c>
      <x:c r="AB1107" t="str">
        <x:v>Pass</x:v>
      </x:c>
      <x:c r="AC1107" t="str"/>
      <x:c r="AD1107" t="str">
        <x:v>sponge haven</x:v>
      </x:c>
    </x:row>
    <x:row r="1108">
      <x:c r="A1108" t="str">
        <x:v>REC1107</x:v>
      </x:c>
      <x:c r="B1108" t="n">
        <x:v>1106</x:v>
      </x:c>
      <x:c r="C1108" t="str">
        <x:v>St. Thomas, USVI</x:v>
      </x:c>
      <x:c r="D1108" t="str">
        <x:v>GV</x:v>
      </x:c>
      <x:c r="E1108" t="str">
        <x:v>Ground Validation</x:v>
      </x:c>
      <x:c r="F1108" t="str">
        <x:v>HD Seaviewer Drop Camera</x:v>
      </x:c>
      <x:c r="G1108" t="str">
        <x:v>GV2016_483</x:v>
      </x:c>
      <x:c r="H1108" s="28" t="n">
        <x:v>42610</x:v>
      </x:c>
      <x:c r="I1108" t="str">
        <x:v>09:37:09</x:v>
      </x:c>
      <x:c r="J1108" t="n">
        <x:v>2016</x:v>
      </x:c>
      <x:c r="K1108" t="n">
        <x:v>18.18625458</x:v>
      </x:c>
      <x:c r="L1108" t="n">
        <x:v>-64.88769514</x:v>
      </x:c>
      <x:c r="M1108" t="n">
        <x:v>51.777</x:v>
      </x:c>
      <x:c r="N1108" t="str">
        <x:v>https://nccospublicstor.blob.core.windows.net/biomapper/usviinsularshelf2017/videos/low/GV2016_483.mp4</x:v>
      </x:c>
      <x:c r="O1108" t="n">
        <x:v>0</x:v>
      </x:c>
      <x:c r="P1108" t="n">
        <x:v>0</x:v>
      </x:c>
      <x:c r="Q1108" t="n">
        <x:v>1</x:v>
      </x:c>
      <x:c r="R1108" t="n">
        <x:v>0</x:v>
      </x:c>
      <x:c r="S1108" t="n">
        <x:v>0</x:v>
      </x:c>
      <x:c r="T1108" t="n">
        <x:v>0</x:v>
      </x:c>
      <x:c r="U1108" t="n">
        <x:v>1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1</x:v>
      </x:c>
      <x:c r="AA1108" t="n">
        <x:v>1</x:v>
      </x:c>
      <x:c r="AB1108" t="str">
        <x:v>Pass</x:v>
      </x:c>
      <x:c r="AC1108" t="str"/>
      <x:c r="AD1108" t="str"/>
    </x:row>
    <x:row r="1109">
      <x:c r="A1109" t="str">
        <x:v>REC1108</x:v>
      </x:c>
      <x:c r="B1109" t="n">
        <x:v>1107</x:v>
      </x:c>
      <x:c r="C1109" t="str">
        <x:v>St. John, USVI</x:v>
      </x:c>
      <x:c r="D1109" t="str">
        <x:v>GV</x:v>
      </x:c>
      <x:c r="E1109" t="str">
        <x:v>Ground Validation</x:v>
      </x:c>
      <x:c r="F1109" t="str">
        <x:v>HD Seaviewer Drop Camera</x:v>
      </x:c>
      <x:c r="G1109" t="str">
        <x:v>GV2016_484</x:v>
      </x:c>
      <x:c r="H1109" s="28" t="n">
        <x:v>42613</x:v>
      </x:c>
      <x:c r="I1109" t="str">
        <x:v>10:33:13</x:v>
      </x:c>
      <x:c r="J1109" t="n">
        <x:v>2016</x:v>
      </x:c>
      <x:c r="K1109" t="n">
        <x:v>18.28151474</x:v>
      </x:c>
      <x:c r="L1109" t="n">
        <x:v>-64.79522908</x:v>
      </x:c>
      <x:c r="M1109" t="n">
        <x:v>32.835</x:v>
      </x:c>
      <x:c r="N1109" t="str">
        <x:v>https://nccospublicstor.blob.core.windows.net/biomapper/usviinsularshelf2017/videos/low/GV2016_484.mp4</x:v>
      </x:c>
      <x:c r="O1109" t="n">
        <x:v>0</x:v>
      </x:c>
      <x:c r="P1109" t="n">
        <x:v>0</x:v>
      </x:c>
      <x:c r="Q1109" t="n">
        <x:v>1</x:v>
      </x:c>
      <x:c r="R1109" t="n">
        <x:v>1</x:v>
      </x:c>
      <x:c r="S1109" t="n">
        <x:v>0</x:v>
      </x:c>
      <x:c r="T1109" t="n">
        <x:v>0</x:v>
      </x:c>
      <x:c r="U1109" t="n">
        <x:v>1</x:v>
      </x:c>
      <x:c r="V1109" t="n">
        <x:v>1</x:v>
      </x:c>
      <x:c r="W1109" t="n">
        <x:v>0</x:v>
      </x:c>
      <x:c r="X1109" t="n">
        <x:v>0</x:v>
      </x:c>
      <x:c r="Y1109" t="n">
        <x:v>0</x:v>
      </x:c>
      <x:c r="Z1109" t="n">
        <x:v>2</x:v>
      </x:c>
      <x:c r="AA1109" t="n">
        <x:v>2</x:v>
      </x:c>
      <x:c r="AB1109" t="str">
        <x:v>Pass</x:v>
      </x:c>
      <x:c r="AC1109" t="str"/>
      <x:c r="AD1109" t="str"/>
    </x:row>
    <x:row r="1110">
      <x:c r="A1110" t="str">
        <x:v>REC1109</x:v>
      </x:c>
      <x:c r="B1110" t="n">
        <x:v>1108</x:v>
      </x:c>
      <x:c r="C1110" t="str">
        <x:v>St. Thomas, USVI</x:v>
      </x:c>
      <x:c r="D1110" t="str">
        <x:v>GV</x:v>
      </x:c>
      <x:c r="E1110" t="str">
        <x:v>Ground Validation</x:v>
      </x:c>
      <x:c r="F1110" t="str">
        <x:v>HD Seaviewer Drop Camera</x:v>
      </x:c>
      <x:c r="G1110" t="str">
        <x:v>GV2016_485</x:v>
      </x:c>
      <x:c r="H1110" s="28" t="n">
        <x:v>42611</x:v>
      </x:c>
      <x:c r="I1110" t="str">
        <x:v>11:27:32</x:v>
      </x:c>
      <x:c r="J1110" t="n">
        <x:v>2016</x:v>
      </x:c>
      <x:c r="K1110" t="n">
        <x:v>18.23730067</x:v>
      </x:c>
      <x:c r="L1110" t="n">
        <x:v>-64.90422697</x:v>
      </x:c>
      <x:c r="M1110" t="n">
        <x:v>41.915</x:v>
      </x:c>
      <x:c r="N1110" t="str">
        <x:v>https://nccospublicstor.blob.core.windows.net/biomapper/usviinsularshelf2017/videos/low/GV2016_485.mp4</x:v>
      </x:c>
      <x:c r="O1110" t="n">
        <x:v>0</x:v>
      </x:c>
      <x:c r="P1110" t="n">
        <x:v>0</x:v>
      </x:c>
      <x:c r="Q1110" t="n">
        <x:v>1</x:v>
      </x:c>
      <x:c r="R1110" t="n">
        <x:v>1</x:v>
      </x:c>
      <x:c r="S1110" t="n">
        <x:v>0</x:v>
      </x:c>
      <x:c r="T1110" t="n">
        <x:v>0</x:v>
      </x:c>
      <x:c r="U1110" t="n">
        <x:v>1</x:v>
      </x:c>
      <x:c r="V1110" t="n">
        <x:v>1</x:v>
      </x:c>
      <x:c r="W1110" t="n">
        <x:v>0</x:v>
      </x:c>
      <x:c r="X1110" t="n">
        <x:v>1</x:v>
      </x:c>
      <x:c r="Y1110" t="n">
        <x:v>0</x:v>
      </x:c>
      <x:c r="Z1110" t="n">
        <x:v>2</x:v>
      </x:c>
      <x:c r="AA1110" t="n">
        <x:v>2</x:v>
      </x:c>
      <x:c r="AB1110" t="str">
        <x:v>Pass</x:v>
      </x:c>
      <x:c r="AC1110" t="str"/>
      <x:c r="AD1110" t="str">
        <x:v>Derelict Trap</x:v>
      </x:c>
    </x:row>
    <x:row r="1111">
      <x:c r="A1111" t="str">
        <x:v>REC1110</x:v>
      </x:c>
      <x:c r="B1111" t="n">
        <x:v>1109</x:v>
      </x:c>
      <x:c r="C1111" t="str">
        <x:v>St. Thomas, USVI</x:v>
      </x:c>
      <x:c r="D1111" t="str">
        <x:v>GV</x:v>
      </x:c>
      <x:c r="E1111" t="str">
        <x:v>Ground Validation</x:v>
      </x:c>
      <x:c r="F1111" t="str">
        <x:v>HD Seaviewer Drop Camera</x:v>
      </x:c>
      <x:c r="G1111" t="str">
        <x:v>GV2016_486</x:v>
      </x:c>
      <x:c r="H1111" s="28" t="n">
        <x:v>42608</x:v>
      </x:c>
      <x:c r="I1111" t="str">
        <x:v>12:44:15</x:v>
      </x:c>
      <x:c r="J1111" t="n">
        <x:v>2016</x:v>
      </x:c>
      <x:c r="K1111" t="n">
        <x:v>18.20862461</x:v>
      </x:c>
      <x:c r="L1111" t="n">
        <x:v>-65.06034767</x:v>
      </x:c>
      <x:c r="M1111" t="n">
        <x:v>41.646</x:v>
      </x:c>
      <x:c r="N1111" t="str">
        <x:v>https://nccospublicstor.blob.core.windows.net/biomapper/usviinsularshelf2017/videos/low/GV2016_486.mp4</x:v>
      </x:c>
      <x:c r="O1111" t="n">
        <x:v>1</x:v>
      </x:c>
      <x:c r="P1111" t="n">
        <x:v>0</x:v>
      </x:c>
      <x:c r="Q1111" t="n">
        <x:v>0</x:v>
      </x:c>
      <x:c r="R1111" t="n">
        <x:v>1</x:v>
      </x:c>
      <x:c r="S1111" t="n">
        <x:v>1</x:v>
      </x:c>
      <x:c r="T1111" t="n">
        <x:v>0</x:v>
      </x:c>
      <x:c r="U1111" t="n">
        <x:v>1</x:v>
      </x:c>
      <x:c r="V1111" t="n">
        <x:v>1</x:v>
      </x:c>
      <x:c r="W1111" t="n">
        <x:v>0</x:v>
      </x:c>
      <x:c r="X1111" t="n">
        <x:v>0</x:v>
      </x:c>
      <x:c r="Y1111" t="n">
        <x:v>0</x:v>
      </x:c>
      <x:c r="Z1111" t="n">
        <x:v>2</x:v>
      </x:c>
      <x:c r="AA1111" t="n">
        <x:v>3</x:v>
      </x:c>
      <x:c r="AB1111" t="str">
        <x:v>Pass</x:v>
      </x:c>
      <x:c r="AC1111" t="str"/>
      <x:c r="AD1111" t="str"/>
    </x:row>
    <x:row r="1112">
      <x:c r="A1112" t="str">
        <x:v>REC1111</x:v>
      </x:c>
      <x:c r="B1112" t="n">
        <x:v>1110</x:v>
      </x:c>
      <x:c r="C1112" t="str">
        <x:v>St. Thomas, USVI</x:v>
      </x:c>
      <x:c r="D1112" t="str">
        <x:v>GV</x:v>
      </x:c>
      <x:c r="E1112" t="str">
        <x:v>Ground Validation</x:v>
      </x:c>
      <x:c r="F1112" t="str">
        <x:v>HD Seaviewer Drop Camera</x:v>
      </x:c>
      <x:c r="G1112" t="str">
        <x:v>GV2016_487</x:v>
      </x:c>
      <x:c r="H1112" s="28" t="n">
        <x:v>42612</x:v>
      </x:c>
      <x:c r="I1112" t="str">
        <x:v>11:43:21</x:v>
      </x:c>
      <x:c r="J1112" t="n">
        <x:v>2016</x:v>
      </x:c>
      <x:c r="K1112" t="n">
        <x:v>18.27170344</x:v>
      </x:c>
      <x:c r="L1112" t="n">
        <x:v>-64.95151088</x:v>
      </x:c>
      <x:c r="M1112" t="n">
        <x:v>35.103</x:v>
      </x:c>
      <x:c r="N1112" t="str">
        <x:v>https://nccospublicstor.blob.core.windows.net/biomapper/usviinsularshelf2017/videos/low/GV2016_487.mp4</x:v>
      </x:c>
      <x:c r="O1112" t="n">
        <x:v>0</x:v>
      </x:c>
      <x:c r="P1112" t="n">
        <x:v>0</x:v>
      </x:c>
      <x:c r="Q1112" t="n">
        <x:v>1</x:v>
      </x:c>
      <x:c r="R1112" t="n">
        <x:v>1</x:v>
      </x:c>
      <x:c r="S1112" t="n">
        <x:v>0</x:v>
      </x:c>
      <x:c r="T1112" t="n">
        <x:v>0</x:v>
      </x:c>
      <x:c r="U1112" t="n">
        <x:v>1</x:v>
      </x:c>
      <x:c r="V1112" t="n">
        <x:v>1</x:v>
      </x:c>
      <x:c r="W1112" t="n">
        <x:v>0</x:v>
      </x:c>
      <x:c r="X1112" t="n">
        <x:v>0</x:v>
      </x:c>
      <x:c r="Y1112" t="n">
        <x:v>0</x:v>
      </x:c>
      <x:c r="Z1112" t="n">
        <x:v>2</x:v>
      </x:c>
      <x:c r="AA1112" t="n">
        <x:v>2</x:v>
      </x:c>
      <x:c r="AB1112" t="str">
        <x:v>Pass</x:v>
      </x:c>
      <x:c r="AC1112" t="str"/>
      <x:c r="AD1112" t="str"/>
    </x:row>
    <x:row r="1113">
      <x:c r="A1113" t="str">
        <x:v>REC1112</x:v>
      </x:c>
      <x:c r="B1113" t="n">
        <x:v>1111</x:v>
      </x:c>
      <x:c r="C1113" t="str">
        <x:v>St. Thomas, USVI</x:v>
      </x:c>
      <x:c r="D1113" t="str">
        <x:v>GV</x:v>
      </x:c>
      <x:c r="E1113" t="str">
        <x:v>Ground Validation</x:v>
      </x:c>
      <x:c r="F1113" t="str">
        <x:v>HD Seaviewer Drop Camera</x:v>
      </x:c>
      <x:c r="G1113" t="str">
        <x:v>GV2016_488</x:v>
      </x:c>
      <x:c r="H1113" s="28" t="n">
        <x:v>42610</x:v>
      </x:c>
      <x:c r="I1113" t="str">
        <x:v>12:35:52</x:v>
      </x:c>
      <x:c r="J1113" t="n">
        <x:v>2016</x:v>
      </x:c>
      <x:c r="K1113" t="n">
        <x:v>18.20606175</x:v>
      </x:c>
      <x:c r="L1113" t="n">
        <x:v>-64.88793069</x:v>
      </x:c>
      <x:c r="M1113" t="n">
        <x:v>47.243</x:v>
      </x:c>
      <x:c r="N1113" t="str">
        <x:v>https://nccospublicstor.blob.core.windows.net/biomapper/usviinsularshelf2017/videos/low/GV2016_488.mp4</x:v>
      </x:c>
      <x:c r="O1113" t="n">
        <x:v>0</x:v>
      </x:c>
      <x:c r="P1113" t="n">
        <x:v>1</x:v>
      </x:c>
      <x:c r="Q1113" t="n">
        <x:v>1</x:v>
      </x:c>
      <x:c r="R1113" t="n">
        <x:v>0</x:v>
      </x:c>
      <x:c r="S1113" t="n">
        <x:v>1</x:v>
      </x:c>
      <x:c r="T1113" t="n">
        <x:v>0</x:v>
      </x:c>
      <x:c r="U1113" t="n">
        <x:v>1</x:v>
      </x:c>
      <x:c r="V1113" t="n">
        <x:v>1</x:v>
      </x:c>
      <x:c r="W1113" t="n">
        <x:v>0</x:v>
      </x:c>
      <x:c r="X1113" t="n">
        <x:v>0</x:v>
      </x:c>
      <x:c r="Y1113" t="n">
        <x:v>0</x:v>
      </x:c>
      <x:c r="Z1113" t="n">
        <x:v>2</x:v>
      </x:c>
      <x:c r="AA1113" t="n">
        <x:v>3</x:v>
      </x:c>
      <x:c r="AB1113" t="str">
        <x:v>Pass</x:v>
      </x:c>
      <x:c r="AC1113" t="str"/>
      <x:c r="AD1113" t="str"/>
    </x:row>
    <x:row r="1114">
      <x:c r="A1114" t="str">
        <x:v>REC1113</x:v>
      </x:c>
      <x:c r="B1114" t="n">
        <x:v>1112</x:v>
      </x:c>
      <x:c r="C1114" t="str">
        <x:v>St. Thomas, USVI</x:v>
      </x:c>
      <x:c r="D1114" t="str">
        <x:v>GV</x:v>
      </x:c>
      <x:c r="E1114" t="str">
        <x:v>Ground Validation</x:v>
      </x:c>
      <x:c r="F1114" t="str">
        <x:v>HD Seaviewer Drop Camera</x:v>
      </x:c>
      <x:c r="G1114" t="str">
        <x:v>GV2016_489</x:v>
      </x:c>
      <x:c r="H1114" s="28" t="n">
        <x:v>42608</x:v>
      </x:c>
      <x:c r="I1114" t="str">
        <x:v>08:41:32</x:v>
      </x:c>
      <x:c r="J1114" t="n">
        <x:v>2016</x:v>
      </x:c>
      <x:c r="K1114" t="n">
        <x:v>18.20884173</x:v>
      </x:c>
      <x:c r="L1114" t="n">
        <x:v>-64.93072558</x:v>
      </x:c>
      <x:c r="M1114" t="n">
        <x:v>44.874</x:v>
      </x:c>
      <x:c r="N1114" t="str">
        <x:v>https://nccospublicstor.blob.core.windows.net/biomapper/usviinsularshelf2017/videos/low/GV2016_489.mp4</x:v>
      </x:c>
      <x:c r="O1114" t="n">
        <x:v>1</x:v>
      </x:c>
      <x:c r="P1114" t="n">
        <x:v>0</x:v>
      </x:c>
      <x:c r="Q1114" t="n">
        <x:v>0</x:v>
      </x:c>
      <x:c r="R1114" t="n">
        <x:v>0</x:v>
      </x:c>
      <x:c r="S1114" t="n">
        <x:v>1</x:v>
      </x:c>
      <x:c r="T1114" t="n">
        <x:v>0</x:v>
      </x:c>
      <x:c r="U1114" t="n">
        <x:v>1</x:v>
      </x:c>
      <x:c r="V1114" t="n">
        <x:v>1</x:v>
      </x:c>
      <x:c r="W1114" t="n">
        <x:v>0</x:v>
      </x:c>
      <x:c r="X1114" t="n">
        <x:v>0</x:v>
      </x:c>
      <x:c r="Y1114" t="n">
        <x:v>0</x:v>
      </x:c>
      <x:c r="Z1114" t="n">
        <x:v>1</x:v>
      </x:c>
      <x:c r="AA1114" t="n">
        <x:v>3</x:v>
      </x:c>
      <x:c r="AB1114" t="str">
        <x:v>Pass</x:v>
      </x:c>
      <x:c r="AC1114" t="str"/>
      <x:c r="AD1114" t="str"/>
    </x:row>
    <x:row r="1115">
      <x:c r="A1115" t="str">
        <x:v>REC1114</x:v>
      </x:c>
      <x:c r="B1115" t="n">
        <x:v>1113</x:v>
      </x:c>
      <x:c r="C1115" t="str">
        <x:v>St. Thomas, USVI</x:v>
      </x:c>
      <x:c r="D1115" t="str">
        <x:v>GV</x:v>
      </x:c>
      <x:c r="E1115" t="str">
        <x:v>Ground Validation</x:v>
      </x:c>
      <x:c r="F1115" t="str">
        <x:v>HD Seaviewer Drop Camera</x:v>
      </x:c>
      <x:c r="G1115" t="str">
        <x:v>GV2016_490</x:v>
      </x:c>
      <x:c r="H1115" s="28" t="n">
        <x:v>42611</x:v>
      </x:c>
      <x:c r="I1115" t="str">
        <x:v>11:20:51</x:v>
      </x:c>
      <x:c r="J1115" t="n">
        <x:v>2016</x:v>
      </x:c>
      <x:c r="K1115" t="n">
        <x:v>18.23563249</x:v>
      </x:c>
      <x:c r="L1115" t="n">
        <x:v>-64.89730804</x:v>
      </x:c>
      <x:c r="M1115" t="n">
        <x:v>42.423</x:v>
      </x:c>
      <x:c r="N1115" t="str">
        <x:v>https://nccospublicstor.blob.core.windows.net/biomapper/usviinsularshelf2017/videos/low/GV2016_490.mp4</x:v>
      </x:c>
      <x:c r="O1115" t="n">
        <x:v>0</x:v>
      </x:c>
      <x:c r="P1115" t="n">
        <x:v>0</x:v>
      </x:c>
      <x:c r="Q1115" t="n">
        <x:v>0</x:v>
      </x:c>
      <x:c r="R1115" t="n">
        <x:v>1</x:v>
      </x:c>
      <x:c r="S1115" t="n">
        <x:v>0</x:v>
      </x:c>
      <x:c r="T1115" t="n">
        <x:v>0</x:v>
      </x:c>
      <x:c r="U1115" t="n">
        <x:v>1</x:v>
      </x:c>
      <x:c r="V1115" t="n">
        <x:v>1</x:v>
      </x:c>
      <x:c r="W1115" t="n">
        <x:v>0</x:v>
      </x:c>
      <x:c r="X1115" t="n">
        <x:v>0</x:v>
      </x:c>
      <x:c r="Y1115" t="n">
        <x:v>0</x:v>
      </x:c>
      <x:c r="Z1115" t="n">
        <x:v>1</x:v>
      </x:c>
      <x:c r="AA1115" t="n">
        <x:v>2</x:v>
      </x:c>
      <x:c r="AB1115" t="str">
        <x:v>Pass</x:v>
      </x:c>
      <x:c r="AC1115" t="str"/>
      <x:c r="AD1115" t="str"/>
    </x:row>
    <x:row r="1116">
      <x:c r="A1116" t="str">
        <x:v>REC1115</x:v>
      </x:c>
      <x:c r="B1116" t="n">
        <x:v>1114</x:v>
      </x:c>
      <x:c r="C1116" t="str">
        <x:v>St. Thomas, USVI</x:v>
      </x:c>
      <x:c r="D1116" t="str">
        <x:v>GV</x:v>
      </x:c>
      <x:c r="E1116" t="str">
        <x:v>Ground Validation</x:v>
      </x:c>
      <x:c r="F1116" t="str">
        <x:v>HD Seaviewer Drop Camera</x:v>
      </x:c>
      <x:c r="G1116" t="str">
        <x:v>GV2016_491</x:v>
      </x:c>
      <x:c r="H1116" s="28" t="n">
        <x:v>42610</x:v>
      </x:c>
      <x:c r="I1116" t="str">
        <x:v>10:25:37</x:v>
      </x:c>
      <x:c r="J1116" t="n">
        <x:v>2016</x:v>
      </x:c>
      <x:c r="K1116" t="n">
        <x:v>18.19445255</x:v>
      </x:c>
      <x:c r="L1116" t="n">
        <x:v>-64.91784407</x:v>
      </x:c>
      <x:c r="M1116" t="n">
        <x:v>53.451</x:v>
      </x:c>
      <x:c r="N1116" t="str">
        <x:v>https://nccospublicstor.blob.core.windows.net/biomapper/usviinsularshelf2017/videos/low/GV2016_491.mp4</x:v>
      </x:c>
      <x:c r="O1116" t="n">
        <x:v>0</x:v>
      </x:c>
      <x:c r="P1116" t="n">
        <x:v>0</x:v>
      </x:c>
      <x:c r="Q1116" t="n">
        <x:v>1</x:v>
      </x:c>
      <x:c r="R1116" t="n">
        <x:v>0</x:v>
      </x:c>
      <x:c r="S1116" t="n">
        <x:v>0</x:v>
      </x:c>
      <x:c r="T1116" t="n">
        <x:v>0</x:v>
      </x:c>
      <x:c r="U1116" t="n">
        <x:v>1</x:v>
      </x:c>
      <x:c r="V1116" t="n">
        <x:v>1</x:v>
      </x:c>
      <x:c r="W1116" t="n">
        <x:v>0</x:v>
      </x:c>
      <x:c r="X1116" t="n">
        <x:v>0</x:v>
      </x:c>
      <x:c r="Y1116" t="n">
        <x:v>0</x:v>
      </x:c>
      <x:c r="Z1116" t="n">
        <x:v>1</x:v>
      </x:c>
      <x:c r="AA1116" t="n">
        <x:v>2</x:v>
      </x:c>
      <x:c r="AB1116" t="str">
        <x:v>Pass</x:v>
      </x:c>
      <x:c r="AC1116" t="str"/>
      <x:c r="AD1116" t="str"/>
    </x:row>
    <x:row r="1117">
      <x:c r="A1117" t="str">
        <x:v>REC1116</x:v>
      </x:c>
      <x:c r="B1117" t="n">
        <x:v>1115</x:v>
      </x:c>
      <x:c r="C1117" t="str">
        <x:v>St. Thomas, USVI</x:v>
      </x:c>
      <x:c r="D1117" t="str">
        <x:v>GV</x:v>
      </x:c>
      <x:c r="E1117" t="str">
        <x:v>Ground Validation</x:v>
      </x:c>
      <x:c r="F1117" t="str">
        <x:v>HD Seaviewer Drop Camera</x:v>
      </x:c>
      <x:c r="G1117" t="str">
        <x:v>GV2016_492</x:v>
      </x:c>
      <x:c r="H1117" s="28" t="n">
        <x:v>42609</x:v>
      </x:c>
      <x:c r="I1117" t="str">
        <x:v>13:51:50</x:v>
      </x:c>
      <x:c r="J1117" t="n">
        <x:v>2016</x:v>
      </x:c>
      <x:c r="K1117" t="n">
        <x:v>18.23450131</x:v>
      </x:c>
      <x:c r="L1117" t="n">
        <x:v>-65.02702324</x:v>
      </x:c>
      <x:c r="M1117" t="n">
        <x:v>39.859</x:v>
      </x:c>
      <x:c r="N1117" t="str">
        <x:v>https://nccospublicstor.blob.core.windows.net/biomapper/usviinsularshelf2017/videos/low/GV2016_492.mp4</x:v>
      </x:c>
      <x:c r="O1117" t="n">
        <x:v>0</x:v>
      </x:c>
      <x:c r="P1117" t="n">
        <x:v>0</x:v>
      </x:c>
      <x:c r="Q1117" t="n">
        <x:v>1</x:v>
      </x:c>
      <x:c r="R1117" t="n">
        <x:v>1</x:v>
      </x:c>
      <x:c r="S1117" t="n">
        <x:v>0</x:v>
      </x:c>
      <x:c r="T1117" t="n">
        <x:v>0</x:v>
      </x:c>
      <x:c r="U1117" t="n">
        <x:v>1</x:v>
      </x:c>
      <x:c r="V1117" t="n">
        <x:v>1</x:v>
      </x:c>
      <x:c r="W1117" t="n">
        <x:v>0</x:v>
      </x:c>
      <x:c r="X1117" t="n">
        <x:v>0</x:v>
      </x:c>
      <x:c r="Y1117" t="n">
        <x:v>0</x:v>
      </x:c>
      <x:c r="Z1117" t="n">
        <x:v>2</x:v>
      </x:c>
      <x:c r="AA1117" t="n">
        <x:v>2</x:v>
      </x:c>
      <x:c r="AB1117" t="str">
        <x:v>Pass</x:v>
      </x:c>
      <x:c r="AC1117" t="str"/>
      <x:c r="AD1117" t="str"/>
    </x:row>
    <x:row r="1118">
      <x:c r="A1118" t="str">
        <x:v>REC1117</x:v>
      </x:c>
      <x:c r="B1118" t="n">
        <x:v>1116</x:v>
      </x:c>
      <x:c r="C1118" t="str">
        <x:v>St. John, USVI</x:v>
      </x:c>
      <x:c r="D1118" t="str">
        <x:v>GV</x:v>
      </x:c>
      <x:c r="E1118" t="str">
        <x:v>Ground Validation</x:v>
      </x:c>
      <x:c r="F1118" t="str">
        <x:v>HD Seaviewer Drop Camera</x:v>
      </x:c>
      <x:c r="G1118" t="str">
        <x:v>GV2016_493</x:v>
      </x:c>
      <x:c r="H1118" s="28" t="n">
        <x:v>42629</x:v>
      </x:c>
      <x:c r="I1118" t="str">
        <x:v>10:47:13</x:v>
      </x:c>
      <x:c r="J1118" t="n">
        <x:v>2016</x:v>
      </x:c>
      <x:c r="K1118" t="n">
        <x:v>18.20246179</x:v>
      </x:c>
      <x:c r="L1118" t="n">
        <x:v>-64.80743995</x:v>
      </x:c>
      <x:c r="M1118" t="n">
        <x:v>54.258</x:v>
      </x:c>
      <x:c r="N1118" t="str">
        <x:v>https://nccospublicstor.blob.core.windows.net/biomapper/usviinsularshelf2017/videos/low/GV2016_493.mp4</x:v>
      </x:c>
      <x:c r="O1118" t="n">
        <x:v>0</x:v>
      </x:c>
      <x:c r="P1118" t="n">
        <x:v>0</x:v>
      </x:c>
      <x:c r="Q1118" t="n">
        <x:v>1</x:v>
      </x:c>
      <x:c r="R1118" t="n">
        <x:v>0</x:v>
      </x:c>
      <x:c r="S1118" t="n">
        <x:v>0</x:v>
      </x:c>
      <x:c r="T1118" t="n">
        <x:v>0</x:v>
      </x:c>
      <x:c r="U1118" t="n">
        <x:v>1</x:v>
      </x:c>
      <x:c r="V1118" t="n">
        <x:v>1</x:v>
      </x:c>
      <x:c r="W1118" t="n">
        <x:v>0</x:v>
      </x:c>
      <x:c r="X1118" t="n">
        <x:v>0</x:v>
      </x:c>
      <x:c r="Y1118" t="n">
        <x:v>0</x:v>
      </x:c>
      <x:c r="Z1118" t="n">
        <x:v>1</x:v>
      </x:c>
      <x:c r="AA1118" t="n">
        <x:v>2</x:v>
      </x:c>
      <x:c r="AB1118" t="str">
        <x:v>Pass</x:v>
      </x:c>
      <x:c r="AC1118" t="str"/>
      <x:c r="AD1118" t="str"/>
    </x:row>
    <x:row r="1119">
      <x:c r="A1119" t="str">
        <x:v>REC1118</x:v>
      </x:c>
      <x:c r="B1119" t="n">
        <x:v>1117</x:v>
      </x:c>
      <x:c r="C1119" t="str">
        <x:v>St. Thomas, USVI</x:v>
      </x:c>
      <x:c r="D1119" t="str">
        <x:v>GV</x:v>
      </x:c>
      <x:c r="E1119" t="str">
        <x:v>Ground Validation</x:v>
      </x:c>
      <x:c r="F1119" t="str">
        <x:v>HD Seaviewer Drop Camera</x:v>
      </x:c>
      <x:c r="G1119" t="str">
        <x:v>GV2016_494</x:v>
      </x:c>
      <x:c r="H1119" s="28" t="n">
        <x:v>42612</x:v>
      </x:c>
      <x:c r="I1119" t="str">
        <x:v>13:29:07</x:v>
      </x:c>
      <x:c r="J1119" t="n">
        <x:v>2016</x:v>
      </x:c>
      <x:c r="K1119" t="n">
        <x:v>18.26980671</x:v>
      </x:c>
      <x:c r="L1119" t="n">
        <x:v>-64.82042273</x:v>
      </x:c>
      <x:c r="M1119" t="n">
        <x:v>35.094</x:v>
      </x:c>
      <x:c r="N1119" t="str">
        <x:v>https://nccospublicstor.blob.core.windows.net/biomapper/usviinsularshelf2017/videos/low/GV2016_494.mp4</x:v>
      </x:c>
      <x:c r="O1119" t="n">
        <x:v>0</x:v>
      </x:c>
      <x:c r="P1119" t="n">
        <x:v>0</x:v>
      </x:c>
      <x:c r="Q1119" t="n">
        <x:v>1</x:v>
      </x:c>
      <x:c r="R1119" t="n">
        <x:v>1</x:v>
      </x:c>
      <x:c r="S1119" t="n">
        <x:v>0</x:v>
      </x:c>
      <x:c r="T1119" t="n">
        <x:v>0</x:v>
      </x:c>
      <x:c r="U1119" t="n">
        <x:v>1</x:v>
      </x:c>
      <x:c r="V1119" t="n">
        <x:v>1</x:v>
      </x:c>
      <x:c r="W1119" t="n">
        <x:v>0</x:v>
      </x:c>
      <x:c r="X1119" t="n">
        <x:v>0</x:v>
      </x:c>
      <x:c r="Y1119" t="n">
        <x:v>0</x:v>
      </x:c>
      <x:c r="Z1119" t="n">
        <x:v>2</x:v>
      </x:c>
      <x:c r="AA1119" t="n">
        <x:v>2</x:v>
      </x:c>
      <x:c r="AB1119" t="str">
        <x:v>Pass</x:v>
      </x:c>
      <x:c r="AC1119" t="str"/>
      <x:c r="AD1119" t="str"/>
    </x:row>
    <x:row r="1120">
      <x:c r="A1120" t="str">
        <x:v>REC1119</x:v>
      </x:c>
      <x:c r="B1120" t="n">
        <x:v>1118</x:v>
      </x:c>
      <x:c r="C1120" t="str">
        <x:v>St. John, USVI</x:v>
      </x:c>
      <x:c r="D1120" t="str">
        <x:v>GV</x:v>
      </x:c>
      <x:c r="E1120" t="str">
        <x:v>Ground Validation</x:v>
      </x:c>
      <x:c r="F1120" t="str">
        <x:v>HD Seaviewer Drop Camera</x:v>
      </x:c>
      <x:c r="G1120" t="str">
        <x:v>GV2016_495</x:v>
      </x:c>
      <x:c r="H1120" s="28" t="n">
        <x:v>42615</x:v>
      </x:c>
      <x:c r="I1120" t="str">
        <x:v>11:11:43</x:v>
      </x:c>
      <x:c r="J1120" t="n">
        <x:v>2016</x:v>
      </x:c>
      <x:c r="K1120" t="n">
        <x:v>18.30528396</x:v>
      </x:c>
      <x:c r="L1120" t="n">
        <x:v>-64.72534887</x:v>
      </x:c>
      <x:c r="M1120" t="n">
        <x:v>24.256</x:v>
      </x:c>
      <x:c r="N1120" t="str">
        <x:v>https://nccospublicstor.blob.core.windows.net/biomapper/usviinsularshelf2017/videos/low/GV2016_495.mp4</x:v>
      </x:c>
      <x:c r="O1120" t="n">
        <x:v>0</x:v>
      </x:c>
      <x:c r="P1120" t="n">
        <x:v>0</x:v>
      </x:c>
      <x:c r="Q1120" t="n">
        <x:v>0</x:v>
      </x:c>
      <x:c r="R1120" t="n">
        <x:v>1</x:v>
      </x:c>
      <x:c r="S1120" t="n">
        <x:v>0</x:v>
      </x:c>
      <x:c r="T1120" t="n">
        <x:v>0</x:v>
      </x:c>
      <x:c r="U1120" t="n">
        <x:v>0</x:v>
      </x:c>
      <x:c r="V1120" t="n">
        <x:v>1</x:v>
      </x:c>
      <x:c r="W1120" t="n">
        <x:v>1</x:v>
      </x:c>
      <x:c r="X1120" t="n">
        <x:v>0</x:v>
      </x:c>
      <x:c r="Y1120" t="n">
        <x:v>0</x:v>
      </x:c>
      <x:c r="Z1120" t="n">
        <x:v>1</x:v>
      </x:c>
      <x:c r="AA1120" t="n">
        <x:v>1</x:v>
      </x:c>
      <x:c r="AB1120" t="str">
        <x:v>Pass</x:v>
      </x:c>
      <x:c r="AC1120" t="str"/>
      <x:c r="AD1120" t="str"/>
    </x:row>
    <x:row r="1121">
      <x:c r="A1121" t="str">
        <x:v>REC1120</x:v>
      </x:c>
      <x:c r="B1121" t="n">
        <x:v>1119</x:v>
      </x:c>
      <x:c r="C1121" t="str">
        <x:v>Puerto Rico</x:v>
      </x:c>
      <x:c r="D1121" t="str">
        <x:v>GV</x:v>
      </x:c>
      <x:c r="E1121" t="str">
        <x:v>Ground Validation</x:v>
      </x:c>
      <x:c r="F1121" t="str">
        <x:v>HD Seaviewer Drop Camera</x:v>
      </x:c>
      <x:c r="G1121" t="str">
        <x:v>GV2016_496</x:v>
      </x:c>
      <x:c r="H1121" s="28" t="n">
        <x:v>42603</x:v>
      </x:c>
      <x:c r="I1121" t="str">
        <x:v>09:37:17</x:v>
      </x:c>
      <x:c r="J1121" t="n">
        <x:v>2016</x:v>
      </x:c>
      <x:c r="K1121" t="n">
        <x:v>18.1292519</x:v>
      </x:c>
      <x:c r="L1121" t="n">
        <x:v>-65.21544388</x:v>
      </x:c>
      <x:c r="M1121" t="n">
        <x:v>38.988</x:v>
      </x:c>
      <x:c r="N1121" t="str">
        <x:v>https://nccospublicstor.blob.core.windows.net/biomapper/usviinsularshelf2017/videos/low/GV2016_496.mp4</x:v>
      </x:c>
      <x:c r="O1121" t="n">
        <x:v>0</x:v>
      </x:c>
      <x:c r="P1121" t="n">
        <x:v>0</x:v>
      </x:c>
      <x:c r="Q1121" t="n">
        <x:v>1</x:v>
      </x:c>
      <x:c r="R1121" t="n">
        <x:v>0</x:v>
      </x:c>
      <x:c r="S1121" t="n">
        <x:v>1</x:v>
      </x:c>
      <x:c r="T1121" t="n">
        <x:v>0</x:v>
      </x:c>
      <x:c r="U1121" t="n">
        <x:v>1</x:v>
      </x:c>
      <x:c r="V1121" t="n">
        <x:v>1</x:v>
      </x:c>
      <x:c r="W1121" t="n">
        <x:v>0</x:v>
      </x:c>
      <x:c r="X1121" t="n">
        <x:v>0</x:v>
      </x:c>
      <x:c r="Y1121" t="n">
        <x:v>0</x:v>
      </x:c>
      <x:c r="Z1121" t="n">
        <x:v>1</x:v>
      </x:c>
      <x:c r="AA1121" t="n">
        <x:v>3</x:v>
      </x:c>
      <x:c r="AB1121" t="str">
        <x:v>Pass</x:v>
      </x:c>
      <x:c r="AC1121" t="str"/>
      <x:c r="AD1121" t="str"/>
    </x:row>
    <x:row r="1122">
      <x:c r="A1122" t="str">
        <x:v>REC1121</x:v>
      </x:c>
      <x:c r="B1122" t="n">
        <x:v>1120</x:v>
      </x:c>
      <x:c r="C1122" t="str">
        <x:v>St. John, USVI</x:v>
      </x:c>
      <x:c r="D1122" t="str">
        <x:v>GV</x:v>
      </x:c>
      <x:c r="E1122" t="str">
        <x:v>Ground Validation</x:v>
      </x:c>
      <x:c r="F1122" t="str">
        <x:v>HD Seaviewer Drop Camera</x:v>
      </x:c>
      <x:c r="G1122" t="str">
        <x:v>GV2016_498</x:v>
      </x:c>
      <x:c r="H1122" s="28" t="n">
        <x:v>42615</x:v>
      </x:c>
      <x:c r="I1122" t="str">
        <x:v>11:45:35</x:v>
      </x:c>
      <x:c r="J1122" t="n">
        <x:v>2016</x:v>
      </x:c>
      <x:c r="K1122" t="n">
        <x:v>18.28953885</x:v>
      </x:c>
      <x:c r="L1122" t="n">
        <x:v>-64.70934244</x:v>
      </x:c>
      <x:c r="M1122" t="n">
        <x:v>33.603</x:v>
      </x:c>
      <x:c r="N1122" t="str">
        <x:v>https://nccospublicstor.blob.core.windows.net/biomapper/usviinsularshelf2017/videos/low/GV2016_498.mp4</x:v>
      </x:c>
      <x:c r="O1122" t="n">
        <x:v>0</x:v>
      </x:c>
      <x:c r="P1122" t="n">
        <x:v>0</x:v>
      </x:c>
      <x:c r="Q1122" t="n">
        <x:v>1</x:v>
      </x:c>
      <x:c r="R1122" t="n">
        <x:v>1</x:v>
      </x:c>
      <x:c r="S1122" t="n">
        <x:v>0</x:v>
      </x:c>
      <x:c r="T1122" t="n">
        <x:v>0</x:v>
      </x:c>
      <x:c r="U1122" t="n">
        <x:v>1</x:v>
      </x:c>
      <x:c r="V1122" t="n">
        <x:v>1</x:v>
      </x:c>
      <x:c r="W1122" t="n">
        <x:v>0</x:v>
      </x:c>
      <x:c r="X1122" t="n">
        <x:v>0</x:v>
      </x:c>
      <x:c r="Y1122" t="n">
        <x:v>0</x:v>
      </x:c>
      <x:c r="Z1122" t="n">
        <x:v>2</x:v>
      </x:c>
      <x:c r="AA1122" t="n">
        <x:v>2</x:v>
      </x:c>
      <x:c r="AB1122" t="str">
        <x:v>Pass</x:v>
      </x:c>
      <x:c r="AC1122" t="str"/>
      <x:c r="AD1122" t="str"/>
    </x:row>
    <x:row r="1123">
      <x:c r="A1123" t="str">
        <x:v>REC1122</x:v>
      </x:c>
      <x:c r="B1123" t="n">
        <x:v>1121</x:v>
      </x:c>
      <x:c r="C1123" t="str">
        <x:v>St. John, USVI</x:v>
      </x:c>
      <x:c r="D1123" t="str">
        <x:v>GV</x:v>
      </x:c>
      <x:c r="E1123" t="str">
        <x:v>Ground Validation</x:v>
      </x:c>
      <x:c r="F1123" t="str">
        <x:v>HD Seaviewer Drop Camera</x:v>
      </x:c>
      <x:c r="G1123" t="str">
        <x:v>GV2016_499</x:v>
      </x:c>
      <x:c r="H1123" s="28" t="n">
        <x:v>42630</x:v>
      </x:c>
      <x:c r="I1123" t="str">
        <x:v>07:05:59</x:v>
      </x:c>
      <x:c r="J1123" t="n">
        <x:v>2016</x:v>
      </x:c>
      <x:c r="K1123" t="n">
        <x:v>18.25677413</x:v>
      </x:c>
      <x:c r="L1123" t="n">
        <x:v>-64.77043831</x:v>
      </x:c>
      <x:c r="M1123" t="n">
        <x:v>35.27</x:v>
      </x:c>
      <x:c r="N1123" t="str">
        <x:v>https://nccospublicstor.blob.core.windows.net/biomapper/usviinsularshelf2017/videos/low/GV2016_499.mp4</x:v>
      </x:c>
      <x:c r="O1123" t="n">
        <x:v>1</x:v>
      </x:c>
      <x:c r="P1123" t="n">
        <x:v>0</x:v>
      </x:c>
      <x:c r="Q1123" t="n">
        <x:v>0</x:v>
      </x:c>
      <x:c r="R1123" t="n">
        <x:v>0</x:v>
      </x:c>
      <x:c r="S1123" t="n">
        <x:v>1</x:v>
      </x:c>
      <x:c r="T1123" t="n">
        <x:v>0</x:v>
      </x:c>
      <x:c r="U1123" t="n">
        <x:v>1</x:v>
      </x:c>
      <x:c r="V1123" t="n">
        <x:v>1</x:v>
      </x:c>
      <x:c r="W1123" t="n">
        <x:v>0</x:v>
      </x:c>
      <x:c r="X1123" t="n">
        <x:v>0</x:v>
      </x:c>
      <x:c r="Y1123" t="n">
        <x:v>0</x:v>
      </x:c>
      <x:c r="Z1123" t="n">
        <x:v>1</x:v>
      </x:c>
      <x:c r="AA1123" t="n">
        <x:v>3</x:v>
      </x:c>
      <x:c r="AB1123" t="str">
        <x:v>Pass</x:v>
      </x:c>
      <x:c r="AC1123" t="str"/>
      <x:c r="AD1123" t="str"/>
    </x:row>
    <x:row r="1124">
      <x:c r="A1124" t="str">
        <x:v>REC1123</x:v>
      </x:c>
      <x:c r="B1124" t="n">
        <x:v>1122</x:v>
      </x:c>
      <x:c r="C1124" t="str">
        <x:v>St. Thomas, USVI</x:v>
      </x:c>
      <x:c r="D1124" t="str">
        <x:v>GV</x:v>
      </x:c>
      <x:c r="E1124" t="str">
        <x:v>Ground Validation</x:v>
      </x:c>
      <x:c r="F1124" t="str">
        <x:v>HD Seaviewer Drop Camera</x:v>
      </x:c>
      <x:c r="G1124" t="str">
        <x:v>GV2016_500</x:v>
      </x:c>
      <x:c r="H1124" s="28" t="n">
        <x:v>42608</x:v>
      </x:c>
      <x:c r="I1124" t="str">
        <x:v>12:31:15</x:v>
      </x:c>
      <x:c r="J1124" t="n">
        <x:v>2016</x:v>
      </x:c>
      <x:c r="K1124" t="n">
        <x:v>18.21955104</x:v>
      </x:c>
      <x:c r="L1124" t="n">
        <x:v>-65.04332937</x:v>
      </x:c>
      <x:c r="M1124" t="n">
        <x:v>41.275</x:v>
      </x:c>
      <x:c r="N1124" t="str">
        <x:v>https://nccospublicstor.blob.core.windows.net/biomapper/usviinsularshelf2017/videos/low/GV2016_500.mp4</x:v>
      </x:c>
      <x:c r="O1124" t="n">
        <x:v>1</x:v>
      </x:c>
      <x:c r="P1124" t="n">
        <x:v>0</x:v>
      </x:c>
      <x:c r="Q1124" t="n">
        <x:v>0</x:v>
      </x:c>
      <x:c r="R1124" t="n">
        <x:v>1</x:v>
      </x:c>
      <x:c r="S1124" t="n">
        <x:v>1</x:v>
      </x:c>
      <x:c r="T1124" t="n">
        <x:v>1</x:v>
      </x:c>
      <x:c r="U1124" t="n">
        <x:v>1</x:v>
      </x:c>
      <x:c r="V1124" t="n">
        <x:v>1</x:v>
      </x:c>
      <x:c r="W1124" t="n">
        <x:v>0</x:v>
      </x:c>
      <x:c r="X1124" t="n">
        <x:v>0</x:v>
      </x:c>
      <x:c r="Y1124" t="n">
        <x:v>0</x:v>
      </x:c>
      <x:c r="Z1124" t="n">
        <x:v>2</x:v>
      </x:c>
      <x:c r="AA1124" t="n">
        <x:v>4</x:v>
      </x:c>
      <x:c r="AB1124" t="str">
        <x:v>Pass</x:v>
      </x:c>
      <x:c r="AC1124" t="str"/>
      <x:c r="AD1124" t="str"/>
    </x:row>
    <x:row r="1125">
      <x:c r="A1125" t="str">
        <x:v>REC1124</x:v>
      </x:c>
      <x:c r="B1125" t="n">
        <x:v>1123</x:v>
      </x:c>
      <x:c r="C1125" t="str">
        <x:v>Puerto Rico</x:v>
      </x:c>
      <x:c r="D1125" t="str">
        <x:v>GV</x:v>
      </x:c>
      <x:c r="E1125" t="str">
        <x:v>Ground Validation</x:v>
      </x:c>
      <x:c r="F1125" t="str">
        <x:v>HD Seaviewer Drop Camera</x:v>
      </x:c>
      <x:c r="G1125" t="str">
        <x:v>GV2016_501</x:v>
      </x:c>
      <x:c r="H1125" s="28" t="n">
        <x:v>42604</x:v>
      </x:c>
      <x:c r="I1125" t="str">
        <x:v>10:53:45</x:v>
      </x:c>
      <x:c r="J1125" t="n">
        <x:v>2016</x:v>
      </x:c>
      <x:c r="K1125" t="n">
        <x:v>18.20277982</x:v>
      </x:c>
      <x:c r="L1125" t="n">
        <x:v>-65.20963206</x:v>
      </x:c>
      <x:c r="M1125" t="n">
        <x:v>37.065</x:v>
      </x:c>
      <x:c r="N1125" t="str">
        <x:v>https://nccospublicstor.blob.core.windows.net/biomapper/usviinsularshelf2017/videos/low/GV2016_501.mp4</x:v>
      </x:c>
      <x:c r="O1125" t="n">
        <x:v>1</x:v>
      </x:c>
      <x:c r="P1125" t="n">
        <x:v>0</x:v>
      </x:c>
      <x:c r="Q1125" t="n">
        <x:v>0</x:v>
      </x:c>
      <x:c r="R1125" t="n">
        <x:v>0</x:v>
      </x:c>
      <x:c r="S1125" t="n">
        <x:v>1</x:v>
      </x:c>
      <x:c r="T1125" t="n">
        <x:v>1</x:v>
      </x:c>
      <x:c r="U1125" t="n">
        <x:v>1</x:v>
      </x:c>
      <x:c r="V1125" t="n">
        <x:v>1</x:v>
      </x:c>
      <x:c r="W1125" t="n">
        <x:v>0</x:v>
      </x:c>
      <x:c r="X1125" t="n">
        <x:v>0</x:v>
      </x:c>
      <x:c r="Y1125" t="n">
        <x:v>0</x:v>
      </x:c>
      <x:c r="Z1125" t="n">
        <x:v>1</x:v>
      </x:c>
      <x:c r="AA1125" t="n">
        <x:v>4</x:v>
      </x:c>
      <x:c r="AB1125" t="str">
        <x:v>Pass</x:v>
      </x:c>
      <x:c r="AC1125" t="str"/>
      <x:c r="AD1125" t="str"/>
    </x:row>
    <x:row r="1126">
      <x:c r="A1126" t="str">
        <x:v>REC1125</x:v>
      </x:c>
      <x:c r="B1126" t="n">
        <x:v>1124</x:v>
      </x:c>
      <x:c r="C1126" t="str">
        <x:v>St. John, USVI</x:v>
      </x:c>
      <x:c r="D1126" t="str">
        <x:v>GV</x:v>
      </x:c>
      <x:c r="E1126" t="str">
        <x:v>Ground Validation</x:v>
      </x:c>
      <x:c r="F1126" t="str">
        <x:v>HD Seaviewer Drop Camera</x:v>
      </x:c>
      <x:c r="G1126" t="str">
        <x:v>GV2016_503</x:v>
      </x:c>
      <x:c r="H1126" s="28" t="n">
        <x:v>42629</x:v>
      </x:c>
      <x:c r="I1126" t="str">
        <x:v>13:41:27</x:v>
      </x:c>
      <x:c r="J1126" t="n">
        <x:v>2016</x:v>
      </x:c>
      <x:c r="K1126" t="n">
        <x:v>18.2001057</x:v>
      </x:c>
      <x:c r="L1126" t="n">
        <x:v>-64.77263981</x:v>
      </x:c>
      <x:c r="M1126" t="n">
        <x:v>56.173</x:v>
      </x:c>
      <x:c r="N1126" t="str">
        <x:v>https://nccospublicstor.blob.core.windows.net/biomapper/usviinsularshelf2017/videos/low/GV2016_503.mp4</x:v>
      </x:c>
      <x:c r="O1126" t="n">
        <x:v>0</x:v>
      </x:c>
      <x:c r="P1126" t="n">
        <x:v>0</x:v>
      </x:c>
      <x:c r="Q1126" t="n">
        <x:v>1</x:v>
      </x:c>
      <x:c r="R1126" t="n">
        <x:v>0</x:v>
      </x:c>
      <x:c r="S1126" t="n">
        <x:v>0</x:v>
      </x:c>
      <x:c r="T1126" t="n">
        <x:v>0</x:v>
      </x:c>
      <x:c r="U1126" t="n">
        <x:v>1</x:v>
      </x:c>
      <x:c r="V1126" t="n">
        <x:v>1</x:v>
      </x:c>
      <x:c r="W1126" t="n">
        <x:v>0</x:v>
      </x:c>
      <x:c r="X1126" t="n">
        <x:v>0</x:v>
      </x:c>
      <x:c r="Y1126" t="n">
        <x:v>0</x:v>
      </x:c>
      <x:c r="Z1126" t="n">
        <x:v>1</x:v>
      </x:c>
      <x:c r="AA1126" t="n">
        <x:v>2</x:v>
      </x:c>
      <x:c r="AB1126" t="str">
        <x:v>Pass</x:v>
      </x:c>
      <x:c r="AC1126" t="str"/>
      <x:c r="AD1126" t="str"/>
    </x:row>
    <x:row r="1127">
      <x:c r="A1127" t="str">
        <x:v>REC1126</x:v>
      </x:c>
      <x:c r="B1127" t="n">
        <x:v>1125</x:v>
      </x:c>
      <x:c r="C1127" t="str">
        <x:v>St. John, USVI</x:v>
      </x:c>
      <x:c r="D1127" t="str">
        <x:v>GV</x:v>
      </x:c>
      <x:c r="E1127" t="str">
        <x:v>Ground Validation</x:v>
      </x:c>
      <x:c r="F1127" t="str">
        <x:v>HD Seaviewer Drop Camera</x:v>
      </x:c>
      <x:c r="G1127" t="str">
        <x:v>GV2016_504</x:v>
      </x:c>
      <x:c r="H1127" s="28" t="n">
        <x:v>42626</x:v>
      </x:c>
      <x:c r="I1127" t="str">
        <x:v>10:45:29</x:v>
      </x:c>
      <x:c r="J1127" t="n">
        <x:v>2016</x:v>
      </x:c>
      <x:c r="K1127" t="n">
        <x:v>18.2368973</x:v>
      </x:c>
      <x:c r="L1127" t="n">
        <x:v>-64.78249673</x:v>
      </x:c>
      <x:c r="M1127" t="n">
        <x:v>51.557</x:v>
      </x:c>
      <x:c r="N1127" t="str">
        <x:v>https://nccospublicstor.blob.core.windows.net/biomapper/usviinsularshelf2017/videos/low/GV2016_504.mp4</x:v>
      </x:c>
      <x:c r="O1127" t="n">
        <x:v>0</x:v>
      </x:c>
      <x:c r="P1127" t="n">
        <x:v>0</x:v>
      </x:c>
      <x:c r="Q1127" t="n">
        <x:v>1</x:v>
      </x:c>
      <x:c r="R1127" t="n">
        <x:v>1</x:v>
      </x:c>
      <x:c r="S1127" t="n">
        <x:v>0</x:v>
      </x:c>
      <x:c r="T1127" t="n">
        <x:v>0</x:v>
      </x:c>
      <x:c r="U1127" t="n">
        <x:v>1</x:v>
      </x:c>
      <x:c r="V1127" t="n">
        <x:v>1</x:v>
      </x:c>
      <x:c r="W1127" t="n">
        <x:v>0</x:v>
      </x:c>
      <x:c r="X1127" t="n">
        <x:v>0</x:v>
      </x:c>
      <x:c r="Y1127" t="n">
        <x:v>0</x:v>
      </x:c>
      <x:c r="Z1127" t="n">
        <x:v>2</x:v>
      </x:c>
      <x:c r="AA1127" t="n">
        <x:v>2</x:v>
      </x:c>
      <x:c r="AB1127" t="str">
        <x:v>Pass</x:v>
      </x:c>
      <x:c r="AC1127" t="str"/>
      <x:c r="AD1127" t="str"/>
    </x:row>
    <x:row r="1128">
      <x:c r="A1128" t="str">
        <x:v>REC1127</x:v>
      </x:c>
      <x:c r="B1128" t="n">
        <x:v>1126</x:v>
      </x:c>
      <x:c r="C1128" t="str">
        <x:v>St. Thomas, USVI</x:v>
      </x:c>
      <x:c r="D1128" t="str">
        <x:v>GV</x:v>
      </x:c>
      <x:c r="E1128" t="str">
        <x:v>Ground Validation</x:v>
      </x:c>
      <x:c r="F1128" t="str">
        <x:v>HD Seaviewer Drop Camera</x:v>
      </x:c>
      <x:c r="G1128" t="str">
        <x:v>GV2016_505</x:v>
      </x:c>
      <x:c r="H1128" s="28" t="n">
        <x:v>42611</x:v>
      </x:c>
      <x:c r="I1128" t="str">
        <x:v>12:16:15</x:v>
      </x:c>
      <x:c r="J1128" t="n">
        <x:v>2016</x:v>
      </x:c>
      <x:c r="K1128" t="n">
        <x:v>18.25810057</x:v>
      </x:c>
      <x:c r="L1128" t="n">
        <x:v>-64.92490642</x:v>
      </x:c>
      <x:c r="M1128" t="n">
        <x:v>36.467</x:v>
      </x:c>
      <x:c r="N1128" t="str">
        <x:v>https://nccospublicstor.blob.core.windows.net/biomapper/usviinsularshelf2017/videos/low/GV2016_505.mp4</x:v>
      </x:c>
      <x:c r="O1128" t="n">
        <x:v>0</x:v>
      </x:c>
      <x:c r="P1128" t="n">
        <x:v>0</x:v>
      </x:c>
      <x:c r="Q1128" t="n">
        <x:v>1</x:v>
      </x:c>
      <x:c r="R1128" t="n">
        <x:v>1</x:v>
      </x:c>
      <x:c r="S1128" t="n">
        <x:v>0</x:v>
      </x:c>
      <x:c r="T1128" t="n">
        <x:v>0</x:v>
      </x:c>
      <x:c r="U1128" t="n">
        <x:v>1</x:v>
      </x:c>
      <x:c r="V1128" t="n">
        <x:v>1</x:v>
      </x:c>
      <x:c r="W1128" t="n">
        <x:v>0</x:v>
      </x:c>
      <x:c r="X1128" t="n">
        <x:v>0</x:v>
      </x:c>
      <x:c r="Y1128" t="n">
        <x:v>0</x:v>
      </x:c>
      <x:c r="Z1128" t="n">
        <x:v>2</x:v>
      </x:c>
      <x:c r="AA1128" t="n">
        <x:v>2</x:v>
      </x:c>
      <x:c r="AB1128" t="str">
        <x:v>Pass</x:v>
      </x:c>
      <x:c r="AC1128" t="str"/>
      <x:c r="AD1128" t="str"/>
    </x:row>
    <x:row r="1129">
      <x:c r="A1129" t="str">
        <x:v>REC1128</x:v>
      </x:c>
      <x:c r="B1129" t="n">
        <x:v>1127</x:v>
      </x:c>
      <x:c r="C1129" t="str">
        <x:v>St. Thomas, USVI</x:v>
      </x:c>
      <x:c r="D1129" t="str">
        <x:v>GV</x:v>
      </x:c>
      <x:c r="E1129" t="str">
        <x:v>Ground Validation</x:v>
      </x:c>
      <x:c r="F1129" t="str">
        <x:v>HD Seaviewer Drop Camera</x:v>
      </x:c>
      <x:c r="G1129" t="str">
        <x:v>GV2016_506</x:v>
      </x:c>
      <x:c r="H1129" s="28" t="n">
        <x:v>42602</x:v>
      </x:c>
      <x:c r="I1129" t="str">
        <x:v>12:28:06</x:v>
      </x:c>
      <x:c r="J1129" t="n">
        <x:v>2016</x:v>
      </x:c>
      <x:c r="K1129" t="n">
        <x:v>18.26369614</x:v>
      </x:c>
      <x:c r="L1129" t="n">
        <x:v>-65.09307342</x:v>
      </x:c>
      <x:c r="M1129" t="n">
        <x:v>27.423</x:v>
      </x:c>
      <x:c r="N1129" t="str">
        <x:v>https://nccospublicstor.blob.core.windows.net/biomapper/usviinsularshelf2017/videos/low/GV2016_506.mp4</x:v>
      </x:c>
      <x:c r="O1129" t="n">
        <x:v>1</x:v>
      </x:c>
      <x:c r="P1129" t="n">
        <x:v>0</x:v>
      </x:c>
      <x:c r="Q1129" t="n">
        <x:v>0</x:v>
      </x:c>
      <x:c r="R1129" t="n">
        <x:v>0</x:v>
      </x:c>
      <x:c r="S1129" t="n">
        <x:v>1</x:v>
      </x:c>
      <x:c r="T1129" t="n">
        <x:v>0</x:v>
      </x:c>
      <x:c r="U1129" t="n">
        <x:v>1</x:v>
      </x:c>
      <x:c r="V1129" t="n">
        <x:v>1</x:v>
      </x:c>
      <x:c r="W1129" t="n">
        <x:v>0</x:v>
      </x:c>
      <x:c r="X1129" t="n">
        <x:v>0</x:v>
      </x:c>
      <x:c r="Y1129" t="n">
        <x:v>0</x:v>
      </x:c>
      <x:c r="Z1129" t="n">
        <x:v>1</x:v>
      </x:c>
      <x:c r="AA1129" t="n">
        <x:v>3</x:v>
      </x:c>
      <x:c r="AB1129" t="str">
        <x:v>Pass</x:v>
      </x:c>
      <x:c r="AC1129" t="str"/>
      <x:c r="AD1129" t="str"/>
    </x:row>
    <x:row r="1130">
      <x:c r="A1130" t="str">
        <x:v>REC1129</x:v>
      </x:c>
      <x:c r="B1130" t="n">
        <x:v>1128</x:v>
      </x:c>
      <x:c r="C1130" t="str">
        <x:v>Puerto Rico</x:v>
      </x:c>
      <x:c r="D1130" t="str">
        <x:v>GV</x:v>
      </x:c>
      <x:c r="E1130" t="str">
        <x:v>Ground Validation</x:v>
      </x:c>
      <x:c r="F1130" t="str">
        <x:v>HD Seaviewer Drop Camera</x:v>
      </x:c>
      <x:c r="G1130" t="str">
        <x:v>GV2016_507</x:v>
      </x:c>
      <x:c r="H1130" s="28" t="n">
        <x:v>42607</x:v>
      </x:c>
      <x:c r="I1130" t="str">
        <x:v>11:18:12</x:v>
      </x:c>
      <x:c r="J1130" t="n">
        <x:v>2016</x:v>
      </x:c>
      <x:c r="K1130" t="n">
        <x:v>18.21572421</x:v>
      </x:c>
      <x:c r="L1130" t="n">
        <x:v>-65.14252269</x:v>
      </x:c>
      <x:c r="M1130" t="n">
        <x:v>41.032</x:v>
      </x:c>
      <x:c r="N1130" t="str">
        <x:v>https://nccospublicstor.blob.core.windows.net/biomapper/usviinsularshelf2017/videos/low/GV2016_507.mp4</x:v>
      </x:c>
      <x:c r="O1130" t="n">
        <x:v>1</x:v>
      </x:c>
      <x:c r="P1130" t="n">
        <x:v>0</x:v>
      </x:c>
      <x:c r="Q1130" t="n">
        <x:v>0</x:v>
      </x:c>
      <x:c r="R1130" t="n">
        <x:v>1</x:v>
      </x:c>
      <x:c r="S1130" t="n">
        <x:v>1</x:v>
      </x:c>
      <x:c r="T1130" t="n">
        <x:v>0</x:v>
      </x:c>
      <x:c r="U1130" t="n">
        <x:v>1</x:v>
      </x:c>
      <x:c r="V1130" t="n">
        <x:v>1</x:v>
      </x:c>
      <x:c r="W1130" t="n">
        <x:v>0</x:v>
      </x:c>
      <x:c r="X1130" t="n">
        <x:v>0</x:v>
      </x:c>
      <x:c r="Y1130" t="n">
        <x:v>0</x:v>
      </x:c>
      <x:c r="Z1130" t="n">
        <x:v>2</x:v>
      </x:c>
      <x:c r="AA1130" t="n">
        <x:v>3</x:v>
      </x:c>
      <x:c r="AB1130" t="str">
        <x:v>Pass</x:v>
      </x:c>
      <x:c r="AC1130" t="str"/>
      <x:c r="AD1130" t="str"/>
    </x:row>
    <x:row r="1131">
      <x:c r="A1131" t="str">
        <x:v>REC1130</x:v>
      </x:c>
      <x:c r="B1131" t="n">
        <x:v>1129</x:v>
      </x:c>
      <x:c r="C1131" t="str">
        <x:v>St. Thomas, USVI</x:v>
      </x:c>
      <x:c r="D1131" t="str">
        <x:v>GV</x:v>
      </x:c>
      <x:c r="E1131" t="str">
        <x:v>Ground Validation</x:v>
      </x:c>
      <x:c r="F1131" t="str">
        <x:v>HD Seaviewer Drop Camera</x:v>
      </x:c>
      <x:c r="G1131" t="str">
        <x:v>GV2016_508</x:v>
      </x:c>
      <x:c r="H1131" s="28" t="n">
        <x:v>42605</x:v>
      </x:c>
      <x:c r="I1131" t="str">
        <x:v>11:05:46</x:v>
      </x:c>
      <x:c r="J1131" t="n">
        <x:v>2016</x:v>
      </x:c>
      <x:c r="K1131" t="n">
        <x:v>18.19366103</x:v>
      </x:c>
      <x:c r="L1131" t="n">
        <x:v>-65.13113224</x:v>
      </x:c>
      <x:c r="M1131" t="n">
        <x:v>39.879</x:v>
      </x:c>
      <x:c r="N1131" t="str">
        <x:v>https://nccospublicstor.blob.core.windows.net/biomapper/usviinsularshelf2017/videos/low/GV2016_508.mp4</x:v>
      </x:c>
      <x:c r="O1131" t="n">
        <x:v>1</x:v>
      </x:c>
      <x:c r="P1131" t="n">
        <x:v>0</x:v>
      </x:c>
      <x:c r="Q1131" t="n">
        <x:v>0</x:v>
      </x:c>
      <x:c r="R1131" t="n">
        <x:v>0</x:v>
      </x:c>
      <x:c r="S1131" t="n">
        <x:v>1</x:v>
      </x:c>
      <x:c r="T1131" t="n">
        <x:v>0</x:v>
      </x:c>
      <x:c r="U1131" t="n">
        <x:v>1</x:v>
      </x:c>
      <x:c r="V1131" t="n">
        <x:v>1</x:v>
      </x:c>
      <x:c r="W1131" t="n">
        <x:v>0</x:v>
      </x:c>
      <x:c r="X1131" t="n">
        <x:v>0</x:v>
      </x:c>
      <x:c r="Y1131" t="n">
        <x:v>0</x:v>
      </x:c>
      <x:c r="Z1131" t="n">
        <x:v>1</x:v>
      </x:c>
      <x:c r="AA1131" t="n">
        <x:v>3</x:v>
      </x:c>
      <x:c r="AB1131" t="str">
        <x:v>Pass</x:v>
      </x:c>
      <x:c r="AC1131" t="str"/>
      <x:c r="AD1131" t="str"/>
    </x:row>
    <x:row r="1132">
      <x:c r="A1132" t="str">
        <x:v>REC1131</x:v>
      </x:c>
      <x:c r="B1132" t="n">
        <x:v>1130</x:v>
      </x:c>
      <x:c r="C1132" t="str">
        <x:v>Puerto Rico</x:v>
      </x:c>
      <x:c r="D1132" t="str">
        <x:v>GV</x:v>
      </x:c>
      <x:c r="E1132" t="str">
        <x:v>Ground Validation</x:v>
      </x:c>
      <x:c r="F1132" t="str">
        <x:v>HD Seaviewer Drop Camera</x:v>
      </x:c>
      <x:c r="G1132" t="str">
        <x:v>GV2016_510</x:v>
      </x:c>
      <x:c r="H1132" s="28" t="n">
        <x:v>42604</x:v>
      </x:c>
      <x:c r="I1132" t="str">
        <x:v>09:19:50</x:v>
      </x:c>
      <x:c r="J1132" t="n">
        <x:v>2016</x:v>
      </x:c>
      <x:c r="K1132" t="n">
        <x:v>18.17490491</x:v>
      </x:c>
      <x:c r="L1132" t="n">
        <x:v>-65.22877539</x:v>
      </x:c>
      <x:c r="M1132" t="n">
        <x:v>36.062</x:v>
      </x:c>
      <x:c r="N1132" t="str">
        <x:v>https://nccospublicstor.blob.core.windows.net/biomapper/usviinsularshelf2017/videos/low/GV2016_510.mp4</x:v>
      </x:c>
      <x:c r="O1132" t="n">
        <x:v>1</x:v>
      </x:c>
      <x:c r="P1132" t="n">
        <x:v>0</x:v>
      </x:c>
      <x:c r="Q1132" t="n">
        <x:v>0</x:v>
      </x:c>
      <x:c r="R1132" t="n">
        <x:v>1</x:v>
      </x:c>
      <x:c r="S1132" t="n">
        <x:v>1</x:v>
      </x:c>
      <x:c r="T1132" t="n">
        <x:v>0</x:v>
      </x:c>
      <x:c r="U1132" t="n">
        <x:v>1</x:v>
      </x:c>
      <x:c r="V1132" t="n">
        <x:v>1</x:v>
      </x:c>
      <x:c r="W1132" t="n">
        <x:v>0</x:v>
      </x:c>
      <x:c r="X1132" t="n">
        <x:v>0</x:v>
      </x:c>
      <x:c r="Y1132" t="n">
        <x:v>0</x:v>
      </x:c>
      <x:c r="Z1132" t="n">
        <x:v>2</x:v>
      </x:c>
      <x:c r="AA1132" t="n">
        <x:v>3</x:v>
      </x:c>
      <x:c r="AB1132" t="str">
        <x:v>Pass</x:v>
      </x:c>
      <x:c r="AC1132" t="str"/>
      <x:c r="AD1132" t="str"/>
    </x:row>
    <x:row r="1133">
      <x:c r="A1133" t="str">
        <x:v>REC1132</x:v>
      </x:c>
      <x:c r="B1133" t="n">
        <x:v>1131</x:v>
      </x:c>
      <x:c r="C1133" t="str">
        <x:v>Puerto Rico</x:v>
      </x:c>
      <x:c r="D1133" t="str">
        <x:v>GV</x:v>
      </x:c>
      <x:c r="E1133" t="str">
        <x:v>Ground Validation</x:v>
      </x:c>
      <x:c r="F1133" t="str">
        <x:v>HD Seaviewer Drop Camera</x:v>
      </x:c>
      <x:c r="G1133" t="str">
        <x:v>GV2016_511</x:v>
      </x:c>
      <x:c r="H1133" s="28" t="n">
        <x:v>42607</x:v>
      </x:c>
      <x:c r="I1133" t="str">
        <x:v>10:35:47</x:v>
      </x:c>
      <x:c r="J1133" t="n">
        <x:v>2016</x:v>
      </x:c>
      <x:c r="K1133" t="n">
        <x:v>18.23463444</x:v>
      </x:c>
      <x:c r="L1133" t="n">
        <x:v>-65.17162995</x:v>
      </x:c>
      <x:c r="M1133" t="n">
        <x:v>24.701</x:v>
      </x:c>
      <x:c r="N1133" t="str">
        <x:v>https://nccospublicstor.blob.core.windows.net/biomapper/usviinsularshelf2017/videos/low/GV2016_511.mp4</x:v>
      </x:c>
      <x:c r="O1133" t="n">
        <x:v>1</x:v>
      </x:c>
      <x:c r="P1133" t="n">
        <x:v>0</x:v>
      </x:c>
      <x:c r="Q1133" t="n">
        <x:v>0</x:v>
      </x:c>
      <x:c r="R1133" t="n">
        <x:v>0</x:v>
      </x:c>
      <x:c r="S1133" t="n">
        <x:v>1</x:v>
      </x:c>
      <x:c r="T1133" t="n">
        <x:v>0</x:v>
      </x:c>
      <x:c r="U1133" t="n">
        <x:v>1</x:v>
      </x:c>
      <x:c r="V1133" t="n">
        <x:v>1</x:v>
      </x:c>
      <x:c r="W1133" t="n">
        <x:v>0</x:v>
      </x:c>
      <x:c r="X1133" t="n">
        <x:v>0</x:v>
      </x:c>
      <x:c r="Y1133" t="n">
        <x:v>0</x:v>
      </x:c>
      <x:c r="Z1133" t="n">
        <x:v>1</x:v>
      </x:c>
      <x:c r="AA1133" t="n">
        <x:v>3</x:v>
      </x:c>
      <x:c r="AB1133" t="str">
        <x:v>Pass</x:v>
      </x:c>
      <x:c r="AC1133" t="str"/>
      <x:c r="AD1133" t="str"/>
    </x:row>
    <x:row r="1134">
      <x:c r="A1134" t="str">
        <x:v>REC1133</x:v>
      </x:c>
      <x:c r="B1134" t="n">
        <x:v>1132</x:v>
      </x:c>
      <x:c r="C1134" t="str">
        <x:v>St. John, USVI</x:v>
      </x:c>
      <x:c r="D1134" t="str">
        <x:v>GV</x:v>
      </x:c>
      <x:c r="E1134" t="str">
        <x:v>Ground Validation</x:v>
      </x:c>
      <x:c r="F1134" t="str">
        <x:v>HD Seaviewer Drop Camera</x:v>
      </x:c>
      <x:c r="G1134" t="str">
        <x:v>GV2016_512</x:v>
      </x:c>
      <x:c r="H1134" s="28" t="n">
        <x:v>42630</x:v>
      </x:c>
      <x:c r="I1134" t="str">
        <x:v>08:41:38</x:v>
      </x:c>
      <x:c r="J1134" t="n">
        <x:v>2016</x:v>
      </x:c>
      <x:c r="K1134" t="n">
        <x:v>18.25993063</x:v>
      </x:c>
      <x:c r="L1134" t="n">
        <x:v>-64.700153</x:v>
      </x:c>
      <x:c r="M1134" t="n">
        <x:v>42.093</x:v>
      </x:c>
      <x:c r="N1134" t="str">
        <x:v>https://nccospublicstor.blob.core.windows.net/biomapper/usviinsularshelf2017/videos/low/GV2016_512.mp4</x:v>
      </x:c>
      <x:c r="O1134" t="n">
        <x:v>0</x:v>
      </x:c>
      <x:c r="P1134" t="n">
        <x:v>1</x:v>
      </x:c>
      <x:c r="Q1134" t="n">
        <x:v>0</x:v>
      </x:c>
      <x:c r="R1134" t="n">
        <x:v>0</x:v>
      </x:c>
      <x:c r="S1134" t="n">
        <x:v>1</x:v>
      </x:c>
      <x:c r="T1134" t="n">
        <x:v>1</x:v>
      </x:c>
      <x:c r="U1134" t="n">
        <x:v>1</x:v>
      </x:c>
      <x:c r="V1134" t="n">
        <x:v>1</x:v>
      </x:c>
      <x:c r="W1134" t="n">
        <x:v>0</x:v>
      </x:c>
      <x:c r="X1134" t="n">
        <x:v>0</x:v>
      </x:c>
      <x:c r="Y1134" t="n">
        <x:v>0</x:v>
      </x:c>
      <x:c r="Z1134" t="n">
        <x:v>1</x:v>
      </x:c>
      <x:c r="AA1134" t="n">
        <x:v>4</x:v>
      </x:c>
      <x:c r="AB1134" t="str">
        <x:v>Pass</x:v>
      </x:c>
      <x:c r="AC1134" t="str"/>
      <x:c r="AD1134" t="str"/>
    </x:row>
    <x:row r="1135">
      <x:c r="A1135" t="str">
        <x:v>REC1134</x:v>
      </x:c>
      <x:c r="B1135" t="n">
        <x:v>1133</x:v>
      </x:c>
      <x:c r="C1135" t="str">
        <x:v>St. John, USVI</x:v>
      </x:c>
      <x:c r="D1135" t="str">
        <x:v>GV</x:v>
      </x:c>
      <x:c r="E1135" t="str">
        <x:v>Ground Validation</x:v>
      </x:c>
      <x:c r="F1135" t="str">
        <x:v>HD Seaviewer Drop Camera</x:v>
      </x:c>
      <x:c r="G1135" t="str">
        <x:v>GV2016_513</x:v>
      </x:c>
      <x:c r="H1135" s="28" t="n">
        <x:v>42626</x:v>
      </x:c>
      <x:c r="I1135" t="str">
        <x:v>10:07:23</x:v>
      </x:c>
      <x:c r="J1135" t="n">
        <x:v>2016</x:v>
      </x:c>
      <x:c r="K1135" t="n">
        <x:v>18.25001777</x:v>
      </x:c>
      <x:c r="L1135" t="n">
        <x:v>-64.77640692</x:v>
      </x:c>
      <x:c r="M1135" t="n">
        <x:v>45.711</x:v>
      </x:c>
      <x:c r="N1135" t="str">
        <x:v>https://nccospublicstor.blob.core.windows.net/biomapper/usviinsularshelf2017/videos/low/GV2016_513.mp4</x:v>
      </x:c>
      <x:c r="O1135" t="n">
        <x:v>0</x:v>
      </x:c>
      <x:c r="P1135" t="n">
        <x:v>0</x:v>
      </x:c>
      <x:c r="Q1135" t="n">
        <x:v>1</x:v>
      </x:c>
      <x:c r="R1135" t="n">
        <x:v>0</x:v>
      </x:c>
      <x:c r="S1135" t="n">
        <x:v>0</x:v>
      </x:c>
      <x:c r="T1135" t="n">
        <x:v>0</x:v>
      </x:c>
      <x:c r="U1135" t="n">
        <x:v>1</x:v>
      </x:c>
      <x:c r="V1135" t="n">
        <x:v>1</x:v>
      </x:c>
      <x:c r="W1135" t="n">
        <x:v>0</x:v>
      </x:c>
      <x:c r="X1135" t="n">
        <x:v>0</x:v>
      </x:c>
      <x:c r="Y1135" t="n">
        <x:v>0</x:v>
      </x:c>
      <x:c r="Z1135" t="n">
        <x:v>1</x:v>
      </x:c>
      <x:c r="AA1135" t="n">
        <x:v>2</x:v>
      </x:c>
      <x:c r="AB1135" t="str">
        <x:v>Pass</x:v>
      </x:c>
      <x:c r="AC1135" t="str"/>
      <x:c r="AD1135" t="str">
        <x:v>Large nurse shark at end of clip</x:v>
      </x:c>
    </x:row>
    <x:row r="1136">
      <x:c r="A1136" t="str">
        <x:v>REC1135</x:v>
      </x:c>
      <x:c r="B1136" t="n">
        <x:v>1134</x:v>
      </x:c>
      <x:c r="C1136" t="str">
        <x:v>St. Thomas, USVI</x:v>
      </x:c>
      <x:c r="D1136" t="str">
        <x:v>GV</x:v>
      </x:c>
      <x:c r="E1136" t="str">
        <x:v>Ground Validation</x:v>
      </x:c>
      <x:c r="F1136" t="str">
        <x:v>HD Seaviewer Drop Camera</x:v>
      </x:c>
      <x:c r="G1136" t="str">
        <x:v>GV2016_514</x:v>
      </x:c>
      <x:c r="H1136" s="28" t="n">
        <x:v>42607</x:v>
      </x:c>
      <x:c r="I1136" t="str">
        <x:v>11:44:49</x:v>
      </x:c>
      <x:c r="J1136" t="n">
        <x:v>2016</x:v>
      </x:c>
      <x:c r="K1136" t="n">
        <x:v>18.23019174</x:v>
      </x:c>
      <x:c r="L1136" t="n">
        <x:v>-65.13158298</x:v>
      </x:c>
      <x:c r="M1136" t="n">
        <x:v>37.873</x:v>
      </x:c>
      <x:c r="N1136" t="str">
        <x:v>https://nccospublicstor.blob.core.windows.net/biomapper/usviinsularshelf2017/videos/low/GV2016_514.mp4</x:v>
      </x:c>
      <x:c r="O1136" t="n">
        <x:v>1</x:v>
      </x:c>
      <x:c r="P1136" t="n">
        <x:v>0</x:v>
      </x:c>
      <x:c r="Q1136" t="n">
        <x:v>0</x:v>
      </x:c>
      <x:c r="R1136" t="n">
        <x:v>1</x:v>
      </x:c>
      <x:c r="S1136" t="n">
        <x:v>1</x:v>
      </x:c>
      <x:c r="T1136" t="n">
        <x:v>0</x:v>
      </x:c>
      <x:c r="U1136" t="n">
        <x:v>1</x:v>
      </x:c>
      <x:c r="V1136" t="n">
        <x:v>1</x:v>
      </x:c>
      <x:c r="W1136" t="n">
        <x:v>0</x:v>
      </x:c>
      <x:c r="X1136" t="n">
        <x:v>0</x:v>
      </x:c>
      <x:c r="Y1136" t="n">
        <x:v>0</x:v>
      </x:c>
      <x:c r="Z1136" t="n">
        <x:v>2</x:v>
      </x:c>
      <x:c r="AA1136" t="n">
        <x:v>3</x:v>
      </x:c>
      <x:c r="AB1136" t="str">
        <x:v>Pass</x:v>
      </x:c>
      <x:c r="AC1136" t="str"/>
      <x:c r="AD1136" t="str"/>
    </x:row>
    <x:row r="1137">
      <x:c r="A1137" t="str">
        <x:v>REC1136</x:v>
      </x:c>
      <x:c r="B1137" t="n">
        <x:v>1135</x:v>
      </x:c>
      <x:c r="C1137" t="str">
        <x:v>St. John, USVI</x:v>
      </x:c>
      <x:c r="D1137" t="str">
        <x:v>GV</x:v>
      </x:c>
      <x:c r="E1137" t="str">
        <x:v>Ground Validation</x:v>
      </x:c>
      <x:c r="F1137" t="str">
        <x:v>HD Seaviewer Drop Camera</x:v>
      </x:c>
      <x:c r="G1137" t="str">
        <x:v>GV2016_517</x:v>
      </x:c>
      <x:c r="H1137" s="28" t="n">
        <x:v>42624</x:v>
      </x:c>
      <x:c r="I1137" t="str">
        <x:v>10:04:48</x:v>
      </x:c>
      <x:c r="J1137" t="n">
        <x:v>2016</x:v>
      </x:c>
      <x:c r="K1137" t="n">
        <x:v>18.28466964</x:v>
      </x:c>
      <x:c r="L1137" t="n">
        <x:v>-64.66681627</x:v>
      </x:c>
      <x:c r="M1137" t="n">
        <x:v>38.346</x:v>
      </x:c>
      <x:c r="N1137" t="str">
        <x:v>https://nccospublicstor.blob.core.windows.net/biomapper/usviinsularshelf2017/videos/low/GV2016_517.mp4</x:v>
      </x:c>
      <x:c r="O1137" t="n">
        <x:v>0</x:v>
      </x:c>
      <x:c r="P1137" t="n">
        <x:v>0</x:v>
      </x:c>
      <x:c r="Q1137" t="n">
        <x:v>1</x:v>
      </x:c>
      <x:c r="R1137" t="n">
        <x:v>1</x:v>
      </x:c>
      <x:c r="S1137" t="n">
        <x:v>0</x:v>
      </x:c>
      <x:c r="T1137" t="n">
        <x:v>0</x:v>
      </x:c>
      <x:c r="U1137" t="n">
        <x:v>1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2</x:v>
      </x:c>
      <x:c r="AA1137" t="n">
        <x:v>1</x:v>
      </x:c>
      <x:c r="AB1137" t="str">
        <x:v>Pass</x:v>
      </x:c>
      <x:c r="AC1137" t="str"/>
      <x:c r="AD1137" t="str"/>
    </x:row>
    <x:row r="1138">
      <x:c r="A1138" t="str">
        <x:v>REC1137</x:v>
      </x:c>
      <x:c r="B1138" t="n">
        <x:v>1136</x:v>
      </x:c>
      <x:c r="C1138" t="str">
        <x:v>Puerto Rico</x:v>
      </x:c>
      <x:c r="D1138" t="str">
        <x:v>GV</x:v>
      </x:c>
      <x:c r="E1138" t="str">
        <x:v>Ground Validation</x:v>
      </x:c>
      <x:c r="F1138" t="str">
        <x:v>HD Seaviewer Drop Camera</x:v>
      </x:c>
      <x:c r="G1138" t="str">
        <x:v>GV2016_519</x:v>
      </x:c>
      <x:c r="H1138" s="28" t="n">
        <x:v>42605</x:v>
      </x:c>
      <x:c r="I1138" t="str">
        <x:v>14:29:54</x:v>
      </x:c>
      <x:c r="J1138" t="n">
        <x:v>2016</x:v>
      </x:c>
      <x:c r="K1138" t="n">
        <x:v>18.21505844</x:v>
      </x:c>
      <x:c r="L1138" t="n">
        <x:v>-65.17200816</x:v>
      </x:c>
      <x:c r="M1138" t="n">
        <x:v>35.512</x:v>
      </x:c>
      <x:c r="N1138" t="str">
        <x:v>https://nccospublicstor.blob.core.windows.net/biomapper/usviinsularshelf2017/videos/low/GV2016_519.mp4</x:v>
      </x:c>
      <x:c r="O1138" t="n">
        <x:v>1</x:v>
      </x:c>
      <x:c r="P1138" t="n">
        <x:v>0</x:v>
      </x:c>
      <x:c r="Q1138" t="n">
        <x:v>0</x:v>
      </x:c>
      <x:c r="R1138" t="n">
        <x:v>1</x:v>
      </x:c>
      <x:c r="S1138" t="n">
        <x:v>1</x:v>
      </x:c>
      <x:c r="T1138" t="n">
        <x:v>0</x:v>
      </x:c>
      <x:c r="U1138" t="n">
        <x:v>1</x:v>
      </x:c>
      <x:c r="V1138" t="n">
        <x:v>1</x:v>
      </x:c>
      <x:c r="W1138" t="n">
        <x:v>0</x:v>
      </x:c>
      <x:c r="X1138" t="n">
        <x:v>0</x:v>
      </x:c>
      <x:c r="Y1138" t="n">
        <x:v>0</x:v>
      </x:c>
      <x:c r="Z1138" t="n">
        <x:v>2</x:v>
      </x:c>
      <x:c r="AA1138" t="n">
        <x:v>3</x:v>
      </x:c>
      <x:c r="AB1138" t="str">
        <x:v>Pass</x:v>
      </x:c>
      <x:c r="AC1138" t="str"/>
      <x:c r="AD1138" t="str"/>
    </x:row>
    <x:row r="1139">
      <x:c r="A1139" t="str">
        <x:v>REC1138</x:v>
      </x:c>
      <x:c r="B1139" t="n">
        <x:v>1137</x:v>
      </x:c>
      <x:c r="C1139" t="str">
        <x:v>St. John, USVI</x:v>
      </x:c>
      <x:c r="D1139" t="str">
        <x:v>GV</x:v>
      </x:c>
      <x:c r="E1139" t="str">
        <x:v>Ground Validation</x:v>
      </x:c>
      <x:c r="F1139" t="str">
        <x:v>HD Seaviewer Drop Camera</x:v>
      </x:c>
      <x:c r="G1139" t="str">
        <x:v>GV2016_520</x:v>
      </x:c>
      <x:c r="H1139" s="28" t="n">
        <x:v>42624</x:v>
      </x:c>
      <x:c r="I1139" t="str">
        <x:v>08:18:31</x:v>
      </x:c>
      <x:c r="J1139" t="n">
        <x:v>2016</x:v>
      </x:c>
      <x:c r="K1139" t="n">
        <x:v>18.27704205</x:v>
      </x:c>
      <x:c r="L1139" t="n">
        <x:v>-64.77278228</x:v>
      </x:c>
      <x:c r="M1139" t="n">
        <x:v>34.881</x:v>
      </x:c>
      <x:c r="N1139" t="str">
        <x:v>https://nccospublicstor.blob.core.windows.net/biomapper/usviinsularshelf2017/videos/low/GV2016_520.mp4</x:v>
      </x:c>
      <x:c r="O1139" t="n">
        <x:v>0</x:v>
      </x:c>
      <x:c r="P1139" t="n">
        <x:v>0</x:v>
      </x:c>
      <x:c r="Q1139" t="n">
        <x:v>1</x:v>
      </x:c>
      <x:c r="R1139" t="n">
        <x:v>1</x:v>
      </x:c>
      <x:c r="S1139" t="n">
        <x:v>0</x:v>
      </x:c>
      <x:c r="T1139" t="n">
        <x:v>0</x:v>
      </x:c>
      <x:c r="U1139" t="n">
        <x:v>1</x:v>
      </x:c>
      <x:c r="V1139" t="n">
        <x:v>1</x:v>
      </x:c>
      <x:c r="W1139" t="n">
        <x:v>0</x:v>
      </x:c>
      <x:c r="X1139" t="n">
        <x:v>0</x:v>
      </x:c>
      <x:c r="Y1139" t="n">
        <x:v>0</x:v>
      </x:c>
      <x:c r="Z1139" t="n">
        <x:v>2</x:v>
      </x:c>
      <x:c r="AA1139" t="n">
        <x:v>2</x:v>
      </x:c>
      <x:c r="AB1139" t="str">
        <x:v>Pass</x:v>
      </x:c>
      <x:c r="AC1139" t="str"/>
      <x:c r="AD1139" t="str"/>
    </x:row>
    <x:row r="1140">
      <x:c r="A1140" t="str">
        <x:v>REC1139</x:v>
      </x:c>
      <x:c r="B1140" t="n">
        <x:v>1138</x:v>
      </x:c>
      <x:c r="C1140" t="str">
        <x:v>St. Thomas, USVI</x:v>
      </x:c>
      <x:c r="D1140" t="str">
        <x:v>GV</x:v>
      </x:c>
      <x:c r="E1140" t="str">
        <x:v>Ground Validation</x:v>
      </x:c>
      <x:c r="F1140" t="str">
        <x:v>HD Seaviewer Drop Camera</x:v>
      </x:c>
      <x:c r="G1140" t="str">
        <x:v>GV2016_521</x:v>
      </x:c>
      <x:c r="H1140" s="28" t="n">
        <x:v>42612</x:v>
      </x:c>
      <x:c r="I1140" t="str">
        <x:v>11:08:15</x:v>
      </x:c>
      <x:c r="J1140" t="n">
        <x:v>2016</x:v>
      </x:c>
      <x:c r="K1140" t="n">
        <x:v>18.25414125</x:v>
      </x:c>
      <x:c r="L1140" t="n">
        <x:v>-64.94049473</x:v>
      </x:c>
      <x:c r="M1140" t="n">
        <x:v>39.341</x:v>
      </x:c>
      <x:c r="N1140" t="str">
        <x:v>https://nccospublicstor.blob.core.windows.net/biomapper/usviinsularshelf2017/videos/low/GV2016_521.mp4</x:v>
      </x:c>
      <x:c r="O1140" t="n">
        <x:v>0</x:v>
      </x:c>
      <x:c r="P1140" t="n">
        <x:v>0</x:v>
      </x:c>
      <x:c r="Q1140" t="n">
        <x:v>1</x:v>
      </x:c>
      <x:c r="R1140" t="n">
        <x:v>1</x:v>
      </x:c>
      <x:c r="S1140" t="n">
        <x:v>0</x:v>
      </x:c>
      <x:c r="T1140" t="n">
        <x:v>0</x:v>
      </x:c>
      <x:c r="U1140" t="n">
        <x:v>1</x:v>
      </x:c>
      <x:c r="V1140" t="n">
        <x:v>1</x:v>
      </x:c>
      <x:c r="W1140" t="n">
        <x:v>0</x:v>
      </x:c>
      <x:c r="X1140" t="n">
        <x:v>0</x:v>
      </x:c>
      <x:c r="Y1140" t="n">
        <x:v>0</x:v>
      </x:c>
      <x:c r="Z1140" t="n">
        <x:v>2</x:v>
      </x:c>
      <x:c r="AA1140" t="n">
        <x:v>2</x:v>
      </x:c>
      <x:c r="AB1140" t="str">
        <x:v>Pass</x:v>
      </x:c>
      <x:c r="AC1140" t="str"/>
      <x:c r="AD1140" t="str"/>
    </x:row>
    <x:row r="1141">
      <x:c r="A1141" t="str">
        <x:v>REC1140</x:v>
      </x:c>
      <x:c r="B1141" t="n">
        <x:v>1139</x:v>
      </x:c>
      <x:c r="C1141" t="str">
        <x:v>St. John, USVI</x:v>
      </x:c>
      <x:c r="D1141" t="str">
        <x:v>GV</x:v>
      </x:c>
      <x:c r="E1141" t="str">
        <x:v>Ground Validation</x:v>
      </x:c>
      <x:c r="F1141" t="str">
        <x:v>HD Seaviewer Drop Camera</x:v>
      </x:c>
      <x:c r="G1141" t="str">
        <x:v>GV2016_522</x:v>
      </x:c>
      <x:c r="H1141" s="28" t="n">
        <x:v>42624</x:v>
      </x:c>
      <x:c r="I1141" t="str">
        <x:v>12:44:00</x:v>
      </x:c>
      <x:c r="J1141" t="n">
        <x:v>2016</x:v>
      </x:c>
      <x:c r="K1141" t="n">
        <x:v>18.3018528</x:v>
      </x:c>
      <x:c r="L1141" t="n">
        <x:v>-64.76341235</x:v>
      </x:c>
      <x:c r="M1141" t="n">
        <x:v>26.934</x:v>
      </x:c>
      <x:c r="N1141" t="str">
        <x:v>https://nccospublicstor.blob.core.windows.net/biomapper/usviinsularshelf2017/videos/low/GV2016_522.mp4</x:v>
      </x:c>
      <x:c r="O1141" t="n">
        <x:v>0</x:v>
      </x:c>
      <x:c r="P1141" t="n">
        <x:v>0</x:v>
      </x:c>
      <x:c r="Q1141" t="n">
        <x:v>1</x:v>
      </x:c>
      <x:c r="R1141" t="n">
        <x:v>1</x:v>
      </x:c>
      <x:c r="S1141" t="n">
        <x:v>0</x:v>
      </x:c>
      <x:c r="T1141" t="n">
        <x:v>0</x:v>
      </x:c>
      <x:c r="U1141" t="n">
        <x:v>1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2</x:v>
      </x:c>
      <x:c r="AA1141" t="n">
        <x:v>1</x:v>
      </x:c>
      <x:c r="AB1141" t="str">
        <x:v>Pass</x:v>
      </x:c>
      <x:c r="AC1141" t="str"/>
      <x:c r="AD1141" t="str"/>
    </x:row>
    <x:row r="1142">
      <x:c r="A1142" t="str">
        <x:v>REC1141</x:v>
      </x:c>
      <x:c r="B1142" t="n">
        <x:v>1140</x:v>
      </x:c>
      <x:c r="C1142" t="str">
        <x:v>St. Thomas, USVI</x:v>
      </x:c>
      <x:c r="D1142" t="str">
        <x:v>GV</x:v>
      </x:c>
      <x:c r="E1142" t="str">
        <x:v>Ground Validation</x:v>
      </x:c>
      <x:c r="F1142" t="str">
        <x:v>HD Seaviewer Drop Camera</x:v>
      </x:c>
      <x:c r="G1142" t="str">
        <x:v>GV2016_523</x:v>
      </x:c>
      <x:c r="H1142" s="28" t="n">
        <x:v>42608</x:v>
      </x:c>
      <x:c r="I1142" t="str">
        <x:v>09:09:48</x:v>
      </x:c>
      <x:c r="J1142" t="n">
        <x:v>2016</x:v>
      </x:c>
      <x:c r="K1142" t="n">
        <x:v>18.20893403</x:v>
      </x:c>
      <x:c r="L1142" t="n">
        <x:v>-64.94456157</x:v>
      </x:c>
      <x:c r="M1142" t="n">
        <x:v>45.487</x:v>
      </x:c>
      <x:c r="N1142" t="str">
        <x:v>https://nccospublicstor.blob.core.windows.net/biomapper/usviinsularshelf2017/videos/low/GV2016_523.mp4</x:v>
      </x:c>
      <x:c r="O1142" t="n">
        <x:v>1</x:v>
      </x:c>
      <x:c r="P1142" t="n">
        <x:v>0</x:v>
      </x:c>
      <x:c r="Q1142" t="n">
        <x:v>1</x:v>
      </x:c>
      <x:c r="R1142" t="n">
        <x:v>0</x:v>
      </x:c>
      <x:c r="S1142" t="n">
        <x:v>1</x:v>
      </x:c>
      <x:c r="T1142" t="n">
        <x:v>1</x:v>
      </x:c>
      <x:c r="U1142" t="n">
        <x:v>1</x:v>
      </x:c>
      <x:c r="V1142" t="n">
        <x:v>1</x:v>
      </x:c>
      <x:c r="W1142" t="n">
        <x:v>0</x:v>
      </x:c>
      <x:c r="X1142" t="n">
        <x:v>0</x:v>
      </x:c>
      <x:c r="Y1142" t="n">
        <x:v>0</x:v>
      </x:c>
      <x:c r="Z1142" t="n">
        <x:v>2</x:v>
      </x:c>
      <x:c r="AA1142" t="n">
        <x:v>4</x:v>
      </x:c>
      <x:c r="AB1142" t="str">
        <x:v>Pass</x:v>
      </x:c>
      <x:c r="AC1142" t="str"/>
      <x:c r="AD1142" t="str"/>
    </x:row>
    <x:row r="1143">
      <x:c r="A1143" t="str">
        <x:v>REC1142</x:v>
      </x:c>
      <x:c r="B1143" t="n">
        <x:v>1141</x:v>
      </x:c>
      <x:c r="C1143" t="str">
        <x:v>St. Thomas, USVI</x:v>
      </x:c>
      <x:c r="D1143" t="str">
        <x:v>GV</x:v>
      </x:c>
      <x:c r="E1143" t="str">
        <x:v>Ground Validation</x:v>
      </x:c>
      <x:c r="F1143" t="str">
        <x:v>HD Seaviewer Drop Camera</x:v>
      </x:c>
      <x:c r="G1143" t="str">
        <x:v>GV2016_524</x:v>
      </x:c>
      <x:c r="H1143" s="28" t="n">
        <x:v>42611</x:v>
      </x:c>
      <x:c r="I1143" t="str">
        <x:v>13:39:52</x:v>
      </x:c>
      <x:c r="J1143" t="n">
        <x:v>2016</x:v>
      </x:c>
      <x:c r="K1143" t="n">
        <x:v>18.23326237</x:v>
      </x:c>
      <x:c r="L1143" t="n">
        <x:v>-64.96258699</x:v>
      </x:c>
      <x:c r="M1143" t="n">
        <x:v>41.4</x:v>
      </x:c>
      <x:c r="N1143" t="str">
        <x:v>https://nccospublicstor.blob.core.windows.net/biomapper/usviinsularshelf2017/videos/low/GV2016_524.mp4</x:v>
      </x:c>
      <x:c r="O1143" t="n">
        <x:v>0</x:v>
      </x:c>
      <x:c r="P1143" t="n">
        <x:v>0</x:v>
      </x:c>
      <x:c r="Q1143" t="n">
        <x:v>1</x:v>
      </x:c>
      <x:c r="R1143" t="n">
        <x:v>1</x:v>
      </x:c>
      <x:c r="S1143" t="n">
        <x:v>0</x:v>
      </x:c>
      <x:c r="T1143" t="n">
        <x:v>0</x:v>
      </x:c>
      <x:c r="U1143" t="n">
        <x:v>1</x:v>
      </x:c>
      <x:c r="V1143" t="n">
        <x:v>1</x:v>
      </x:c>
      <x:c r="W1143" t="n">
        <x:v>0</x:v>
      </x:c>
      <x:c r="X1143" t="n">
        <x:v>0</x:v>
      </x:c>
      <x:c r="Y1143" t="n">
        <x:v>0</x:v>
      </x:c>
      <x:c r="Z1143" t="n">
        <x:v>2</x:v>
      </x:c>
      <x:c r="AA1143" t="n">
        <x:v>2</x:v>
      </x:c>
      <x:c r="AB1143" t="str">
        <x:v>Pass</x:v>
      </x:c>
      <x:c r="AC1143" t="str"/>
      <x:c r="AD1143" t="str"/>
    </x:row>
    <x:row r="1144">
      <x:c r="A1144" t="str">
        <x:v>REC1143</x:v>
      </x:c>
      <x:c r="B1144" t="n">
        <x:v>1142</x:v>
      </x:c>
      <x:c r="C1144" t="str">
        <x:v>St. John, USVI</x:v>
      </x:c>
      <x:c r="D1144" t="str">
        <x:v>GV</x:v>
      </x:c>
      <x:c r="E1144" t="str">
        <x:v>Ground Validation</x:v>
      </x:c>
      <x:c r="F1144" t="str">
        <x:v>HD Seaviewer Drop Camera</x:v>
      </x:c>
      <x:c r="G1144" t="str">
        <x:v>GV2016_525</x:v>
      </x:c>
      <x:c r="H1144" s="28" t="n">
        <x:v>42629</x:v>
      </x:c>
      <x:c r="I1144" t="str">
        <x:v>11:26:35</x:v>
      </x:c>
      <x:c r="J1144" t="n">
        <x:v>2016</x:v>
      </x:c>
      <x:c r="K1144" t="n">
        <x:v>18.18884923</x:v>
      </x:c>
      <x:c r="L1144" t="n">
        <x:v>-64.80049638</x:v>
      </x:c>
      <x:c r="M1144" t="n">
        <x:v>54.961</x:v>
      </x:c>
      <x:c r="N1144" t="str">
        <x:v>https://nccospublicstor.blob.core.windows.net/biomapper/usviinsularshelf2017/videos/low/GV2016_525.mp4</x:v>
      </x:c>
      <x:c r="O1144" t="n">
        <x:v>0</x:v>
      </x:c>
      <x:c r="P1144" t="n">
        <x:v>1</x:v>
      </x:c>
      <x:c r="Q1144" t="n">
        <x:v>1</x:v>
      </x:c>
      <x:c r="R1144" t="n">
        <x:v>0</x:v>
      </x:c>
      <x:c r="S1144" t="n">
        <x:v>1</x:v>
      </x:c>
      <x:c r="T1144" t="n">
        <x:v>0</x:v>
      </x:c>
      <x:c r="U1144" t="n">
        <x:v>1</x:v>
      </x:c>
      <x:c r="V1144" t="n">
        <x:v>1</x:v>
      </x:c>
      <x:c r="W1144" t="n">
        <x:v>0</x:v>
      </x:c>
      <x:c r="X1144" t="n">
        <x:v>0</x:v>
      </x:c>
      <x:c r="Y1144" t="n">
        <x:v>0</x:v>
      </x:c>
      <x:c r="Z1144" t="n">
        <x:v>2</x:v>
      </x:c>
      <x:c r="AA1144" t="n">
        <x:v>3</x:v>
      </x:c>
      <x:c r="AB1144" t="str">
        <x:v>Pass</x:v>
      </x:c>
      <x:c r="AC1144" t="str"/>
      <x:c r="AD1144" t="str"/>
    </x:row>
    <x:row r="1145">
      <x:c r="A1145" t="str">
        <x:v>REC1144</x:v>
      </x:c>
      <x:c r="B1145" t="n">
        <x:v>1143</x:v>
      </x:c>
      <x:c r="C1145" t="str">
        <x:v>Puerto Rico</x:v>
      </x:c>
      <x:c r="D1145" t="str">
        <x:v>GV</x:v>
      </x:c>
      <x:c r="E1145" t="str">
        <x:v>Ground Validation</x:v>
      </x:c>
      <x:c r="F1145" t="str">
        <x:v>HD Seaviewer Drop Camera</x:v>
      </x:c>
      <x:c r="G1145" t="str">
        <x:v>GV2016_527</x:v>
      </x:c>
      <x:c r="H1145" s="28" t="n">
        <x:v>42607</x:v>
      </x:c>
      <x:c r="I1145" t="str">
        <x:v>10:29:31</x:v>
      </x:c>
      <x:c r="J1145" t="n">
        <x:v>2016</x:v>
      </x:c>
      <x:c r="K1145" t="n">
        <x:v>18.23628597</x:v>
      </x:c>
      <x:c r="L1145" t="n">
        <x:v>-65.17727162</x:v>
      </x:c>
      <x:c r="M1145" t="n">
        <x:v>32.496</x:v>
      </x:c>
      <x:c r="N1145" t="str">
        <x:v>https://nccospublicstor.blob.core.windows.net/biomapper/usviinsularshelf2017/videos/low/GV2016_527.mp4</x:v>
      </x:c>
      <x:c r="O1145" t="n">
        <x:v>1</x:v>
      </x:c>
      <x:c r="P1145" t="n">
        <x:v>0</x:v>
      </x:c>
      <x:c r="Q1145" t="n">
        <x:v>0</x:v>
      </x:c>
      <x:c r="R1145" t="n">
        <x:v>0</x:v>
      </x:c>
      <x:c r="S1145" t="n">
        <x:v>1</x:v>
      </x:c>
      <x:c r="T1145" t="n">
        <x:v>1</x:v>
      </x:c>
      <x:c r="U1145" t="n">
        <x:v>1</x:v>
      </x:c>
      <x:c r="V1145" t="n">
        <x:v>1</x:v>
      </x:c>
      <x:c r="W1145" t="n">
        <x:v>0</x:v>
      </x:c>
      <x:c r="X1145" t="n">
        <x:v>0</x:v>
      </x:c>
      <x:c r="Y1145" t="n">
        <x:v>0</x:v>
      </x:c>
      <x:c r="Z1145" t="n">
        <x:v>1</x:v>
      </x:c>
      <x:c r="AA1145" t="n">
        <x:v>4</x:v>
      </x:c>
      <x:c r="AB1145" t="str">
        <x:v>Pass</x:v>
      </x:c>
      <x:c r="AC1145" t="str"/>
      <x:c r="AD1145" t="str"/>
    </x:row>
    <x:row r="1146">
      <x:c r="A1146" t="str">
        <x:v>REC1145</x:v>
      </x:c>
      <x:c r="B1146" t="n">
        <x:v>1144</x:v>
      </x:c>
      <x:c r="C1146" t="str">
        <x:v>St. John, USVI</x:v>
      </x:c>
      <x:c r="D1146" t="str">
        <x:v>GV</x:v>
      </x:c>
      <x:c r="E1146" t="str">
        <x:v>Ground Validation</x:v>
      </x:c>
      <x:c r="F1146" t="str">
        <x:v>HD Seaviewer Drop Camera</x:v>
      </x:c>
      <x:c r="G1146" t="str">
        <x:v>GV2016_528</x:v>
      </x:c>
      <x:c r="H1146" s="28" t="n">
        <x:v>42625</x:v>
      </x:c>
      <x:c r="I1146" t="str">
        <x:v>10:00:28</x:v>
      </x:c>
      <x:c r="J1146" t="n">
        <x:v>2016</x:v>
      </x:c>
      <x:c r="K1146" t="n">
        <x:v>18.24585574</x:v>
      </x:c>
      <x:c r="L1146" t="n">
        <x:v>-64.66235901</x:v>
      </x:c>
      <x:c r="M1146" t="n">
        <x:v>47.446</x:v>
      </x:c>
      <x:c r="N1146" t="str">
        <x:v>https://nccospublicstor.blob.core.windows.net/biomapper/usviinsularshelf2017/videos/low/GV2016_528.mp4</x:v>
      </x:c>
      <x:c r="O1146" t="n">
        <x:v>0</x:v>
      </x:c>
      <x:c r="P1146" t="n">
        <x:v>1</x:v>
      </x:c>
      <x:c r="Q1146" t="n">
        <x:v>1</x:v>
      </x:c>
      <x:c r="R1146" t="n">
        <x:v>0</x:v>
      </x:c>
      <x:c r="S1146" t="n">
        <x:v>1</x:v>
      </x:c>
      <x:c r="T1146" t="n">
        <x:v>0</x:v>
      </x:c>
      <x:c r="U1146" t="n">
        <x:v>1</x:v>
      </x:c>
      <x:c r="V1146" t="n">
        <x:v>1</x:v>
      </x:c>
      <x:c r="W1146" t="n">
        <x:v>0</x:v>
      </x:c>
      <x:c r="X1146" t="n">
        <x:v>0</x:v>
      </x:c>
      <x:c r="Y1146" t="n">
        <x:v>0</x:v>
      </x:c>
      <x:c r="Z1146" t="n">
        <x:v>2</x:v>
      </x:c>
      <x:c r="AA1146" t="n">
        <x:v>3</x:v>
      </x:c>
      <x:c r="AB1146" t="str">
        <x:v>Pass</x:v>
      </x:c>
      <x:c r="AC1146" t="str"/>
      <x:c r="AD1146" t="str"/>
    </x:row>
    <x:row r="1147">
      <x:c r="A1147" t="str">
        <x:v>REC1146</x:v>
      </x:c>
      <x:c r="B1147" t="n">
        <x:v>1145</x:v>
      </x:c>
      <x:c r="C1147" t="str">
        <x:v>St. Thomas, USVI</x:v>
      </x:c>
      <x:c r="D1147" t="str">
        <x:v>GV</x:v>
      </x:c>
      <x:c r="E1147" t="str">
        <x:v>Ground Validation</x:v>
      </x:c>
      <x:c r="F1147" t="str">
        <x:v>HD Seaviewer Drop Camera</x:v>
      </x:c>
      <x:c r="G1147" t="str">
        <x:v>GV2016_529</x:v>
      </x:c>
      <x:c r="H1147" s="28" t="n">
        <x:v>42608</x:v>
      </x:c>
      <x:c r="I1147" t="str">
        <x:v>11:53:00</x:v>
      </x:c>
      <x:c r="J1147" t="n">
        <x:v>2016</x:v>
      </x:c>
      <x:c r="K1147" t="n">
        <x:v>18.20991958</x:v>
      </x:c>
      <x:c r="L1147" t="n">
        <x:v>-65.03544152</x:v>
      </x:c>
      <x:c r="M1147" t="n">
        <x:v>42.745</x:v>
      </x:c>
      <x:c r="N1147" t="str">
        <x:v>https://nccospublicstor.blob.core.windows.net/biomapper/usviinsularshelf2017/videos/low/GV2016_529.mp4</x:v>
      </x:c>
      <x:c r="O1147" t="n">
        <x:v>1</x:v>
      </x:c>
      <x:c r="P1147" t="n">
        <x:v>0</x:v>
      </x:c>
      <x:c r="Q1147" t="n">
        <x:v>0</x:v>
      </x:c>
      <x:c r="R1147" t="n">
        <x:v>0</x:v>
      </x:c>
      <x:c r="S1147" t="n">
        <x:v>1</x:v>
      </x:c>
      <x:c r="T1147" t="n">
        <x:v>0</x:v>
      </x:c>
      <x:c r="U1147" t="n">
        <x:v>1</x:v>
      </x:c>
      <x:c r="V1147" t="n">
        <x:v>1</x:v>
      </x:c>
      <x:c r="W1147" t="n">
        <x:v>0</x:v>
      </x:c>
      <x:c r="X1147" t="n">
        <x:v>0</x:v>
      </x:c>
      <x:c r="Y1147" t="n">
        <x:v>0</x:v>
      </x:c>
      <x:c r="Z1147" t="n">
        <x:v>1</x:v>
      </x:c>
      <x:c r="AA1147" t="n">
        <x:v>3</x:v>
      </x:c>
      <x:c r="AB1147" t="str">
        <x:v>Pass</x:v>
      </x:c>
      <x:c r="AC1147" t="str"/>
      <x:c r="AD1147" t="str"/>
    </x:row>
    <x:row r="1148">
      <x:c r="A1148" t="str">
        <x:v>REC1147</x:v>
      </x:c>
      <x:c r="B1148" t="n">
        <x:v>1146</x:v>
      </x:c>
      <x:c r="C1148" t="str">
        <x:v>St. John, USVI</x:v>
      </x:c>
      <x:c r="D1148" t="str">
        <x:v>GV</x:v>
      </x:c>
      <x:c r="E1148" t="str">
        <x:v>Ground Validation</x:v>
      </x:c>
      <x:c r="F1148" t="str">
        <x:v>HD Seaviewer Drop Camera</x:v>
      </x:c>
      <x:c r="G1148" t="str">
        <x:v>GV2016_530</x:v>
      </x:c>
      <x:c r="H1148" s="28" t="n">
        <x:v>42613</x:v>
      </x:c>
      <x:c r="I1148" t="str">
        <x:v>12:40:06</x:v>
      </x:c>
      <x:c r="J1148" t="n">
        <x:v>2016</x:v>
      </x:c>
      <x:c r="K1148" t="n">
        <x:v>18.26413739</x:v>
      </x:c>
      <x:c r="L1148" t="n">
        <x:v>-64.81036472</x:v>
      </x:c>
      <x:c r="M1148" t="n">
        <x:v>37.262</x:v>
      </x:c>
      <x:c r="N1148" t="str">
        <x:v>https://nccospublicstor.blob.core.windows.net/biomapper/usviinsularshelf2017/videos/low/GV2016_530.mp4</x:v>
      </x:c>
      <x:c r="O1148" t="n">
        <x:v>0</x:v>
      </x:c>
      <x:c r="P1148" t="n">
        <x:v>0</x:v>
      </x:c>
      <x:c r="Q1148" t="n">
        <x:v>1</x:v>
      </x:c>
      <x:c r="R1148" t="n">
        <x:v>0</x:v>
      </x:c>
      <x:c r="S1148" t="n">
        <x:v>0</x:v>
      </x:c>
      <x:c r="T1148" t="n">
        <x:v>0</x:v>
      </x:c>
      <x:c r="U1148" t="n">
        <x:v>1</x:v>
      </x:c>
      <x:c r="V1148" t="n">
        <x:v>1</x:v>
      </x:c>
      <x:c r="W1148" t="n">
        <x:v>0</x:v>
      </x:c>
      <x:c r="X1148" t="n">
        <x:v>0</x:v>
      </x:c>
      <x:c r="Y1148" t="n">
        <x:v>0</x:v>
      </x:c>
      <x:c r="Z1148" t="n">
        <x:v>1</x:v>
      </x:c>
      <x:c r="AA1148" t="n">
        <x:v>2</x:v>
      </x:c>
      <x:c r="AB1148" t="str">
        <x:v>Pass</x:v>
      </x:c>
      <x:c r="AC1148" t="str"/>
      <x:c r="AD1148" t="str"/>
    </x:row>
    <x:row r="1149">
      <x:c r="A1149" t="str">
        <x:v>REC1148</x:v>
      </x:c>
      <x:c r="B1149" t="n">
        <x:v>1147</x:v>
      </x:c>
      <x:c r="C1149" t="str">
        <x:v>St. Thomas, USVI</x:v>
      </x:c>
      <x:c r="D1149" t="str">
        <x:v>GV</x:v>
      </x:c>
      <x:c r="E1149" t="str">
        <x:v>Ground Validation</x:v>
      </x:c>
      <x:c r="F1149" t="str">
        <x:v>HD Seaviewer Drop Camera</x:v>
      </x:c>
      <x:c r="G1149" t="str">
        <x:v>GV2016_531</x:v>
      </x:c>
      <x:c r="H1149" s="28" t="n">
        <x:v>42609</x:v>
      </x:c>
      <x:c r="I1149" t="str">
        <x:v>14:12:06</x:v>
      </x:c>
      <x:c r="J1149" t="n">
        <x:v>2016</x:v>
      </x:c>
      <x:c r="K1149" t="n">
        <x:v>18.22332004</x:v>
      </x:c>
      <x:c r="L1149" t="n">
        <x:v>-65.05491607</x:v>
      </x:c>
      <x:c r="M1149" t="n">
        <x:v>41.039</x:v>
      </x:c>
      <x:c r="N1149" t="str">
        <x:v>https://nccospublicstor.blob.core.windows.net/biomapper/usviinsularshelf2017/videos/low/GV2016_531.mp4</x:v>
      </x:c>
      <x:c r="O1149" t="n">
        <x:v>0</x:v>
      </x:c>
      <x:c r="P1149" t="n">
        <x:v>0</x:v>
      </x:c>
      <x:c r="Q1149" t="n">
        <x:v>1</x:v>
      </x:c>
      <x:c r="R1149" t="n">
        <x:v>1</x:v>
      </x:c>
      <x:c r="S1149" t="n">
        <x:v>0</x:v>
      </x:c>
      <x:c r="T1149" t="n">
        <x:v>0</x:v>
      </x:c>
      <x:c r="U1149" t="n">
        <x:v>1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2</x:v>
      </x:c>
      <x:c r="AA1149" t="n">
        <x:v>1</x:v>
      </x:c>
      <x:c r="AB1149" t="str">
        <x:v>Pass</x:v>
      </x:c>
      <x:c r="AC1149" t="str"/>
      <x:c r="AD1149" t="str"/>
    </x:row>
    <x:row r="1150">
      <x:c r="A1150" t="str">
        <x:v>REC1149</x:v>
      </x:c>
      <x:c r="B1150" t="n">
        <x:v>1148</x:v>
      </x:c>
      <x:c r="C1150" t="str">
        <x:v>St. Thomas, USVI</x:v>
      </x:c>
      <x:c r="D1150" t="str">
        <x:v>GV</x:v>
      </x:c>
      <x:c r="E1150" t="str">
        <x:v>Ground Validation</x:v>
      </x:c>
      <x:c r="F1150" t="str">
        <x:v>HD Seaviewer Drop Camera</x:v>
      </x:c>
      <x:c r="G1150" t="str">
        <x:v>GV2016_532</x:v>
      </x:c>
      <x:c r="H1150" s="28" t="n">
        <x:v>42611</x:v>
      </x:c>
      <x:c r="I1150" t="str">
        <x:v>12:48:36</x:v>
      </x:c>
      <x:c r="J1150" t="n">
        <x:v>2016</x:v>
      </x:c>
      <x:c r="K1150" t="n">
        <x:v>18.22450894</x:v>
      </x:c>
      <x:c r="L1150" t="n">
        <x:v>-64.93063322</x:v>
      </x:c>
      <x:c r="M1150" t="n">
        <x:v>42.017</x:v>
      </x:c>
      <x:c r="N1150" t="str">
        <x:v>https://nccospublicstor.blob.core.windows.net/biomapper/usviinsularshelf2017/videos/low/GV2016_532.mp4</x:v>
      </x:c>
      <x:c r="O1150" t="n">
        <x:v>0</x:v>
      </x:c>
      <x:c r="P1150" t="n">
        <x:v>1</x:v>
      </x:c>
      <x:c r="Q1150" t="n">
        <x:v>1</x:v>
      </x:c>
      <x:c r="R1150" t="n">
        <x:v>0</x:v>
      </x:c>
      <x:c r="S1150" t="n">
        <x:v>1</x:v>
      </x:c>
      <x:c r="T1150" t="n">
        <x:v>0</x:v>
      </x:c>
      <x:c r="U1150" t="n">
        <x:v>1</x:v>
      </x:c>
      <x:c r="V1150" t="n">
        <x:v>1</x:v>
      </x:c>
      <x:c r="W1150" t="n">
        <x:v>0</x:v>
      </x:c>
      <x:c r="X1150" t="n">
        <x:v>0</x:v>
      </x:c>
      <x:c r="Y1150" t="n">
        <x:v>0</x:v>
      </x:c>
      <x:c r="Z1150" t="n">
        <x:v>2</x:v>
      </x:c>
      <x:c r="AA1150" t="n">
        <x:v>3</x:v>
      </x:c>
      <x:c r="AB1150" t="str">
        <x:v>Pass</x:v>
      </x:c>
      <x:c r="AC1150" t="str"/>
      <x:c r="AD1150" t="str"/>
    </x:row>
    <x:row r="1151">
      <x:c r="A1151" t="str">
        <x:v>REC1150</x:v>
      </x:c>
      <x:c r="B1151" t="n">
        <x:v>1149</x:v>
      </x:c>
      <x:c r="C1151" t="str">
        <x:v>St. John, USVI</x:v>
      </x:c>
      <x:c r="D1151" t="str">
        <x:v>GV</x:v>
      </x:c>
      <x:c r="E1151" t="str">
        <x:v>Ground Validation</x:v>
      </x:c>
      <x:c r="F1151" t="str">
        <x:v>HD Seaviewer Drop Camera</x:v>
      </x:c>
      <x:c r="G1151" t="str">
        <x:v>GV2016_533</x:v>
      </x:c>
      <x:c r="H1151" s="28" t="n">
        <x:v>42629</x:v>
      </x:c>
      <x:c r="I1151" t="str">
        <x:v>11:55:23</x:v>
      </x:c>
      <x:c r="J1151" t="n">
        <x:v>2016</x:v>
      </x:c>
      <x:c r="K1151" t="n">
        <x:v>18.19597201</x:v>
      </x:c>
      <x:c r="L1151" t="n">
        <x:v>-64.7871114</x:v>
      </x:c>
      <x:c r="M1151" t="n">
        <x:v>57.406</x:v>
      </x:c>
      <x:c r="N1151" t="str">
        <x:v>https://nccospublicstor.blob.core.windows.net/biomapper/usviinsularshelf2017/videos/low/GV2016_533.mp4</x:v>
      </x:c>
      <x:c r="O1151" t="n">
        <x:v>0</x:v>
      </x:c>
      <x:c r="P1151" t="n">
        <x:v>0</x:v>
      </x:c>
      <x:c r="Q1151" t="n">
        <x:v>1</x:v>
      </x:c>
      <x:c r="R1151" t="n">
        <x:v>0</x:v>
      </x:c>
      <x:c r="S1151" t="n">
        <x:v>1</x:v>
      </x:c>
      <x:c r="T1151" t="n">
        <x:v>0</x:v>
      </x:c>
      <x:c r="U1151" t="n">
        <x:v>1</x:v>
      </x:c>
      <x:c r="V1151" t="n">
        <x:v>1</x:v>
      </x:c>
      <x:c r="W1151" t="n">
        <x:v>0</x:v>
      </x:c>
      <x:c r="X1151" t="n">
        <x:v>0</x:v>
      </x:c>
      <x:c r="Y1151" t="n">
        <x:v>0</x:v>
      </x:c>
      <x:c r="Z1151" t="n">
        <x:v>1</x:v>
      </x:c>
      <x:c r="AA1151" t="n">
        <x:v>3</x:v>
      </x:c>
      <x:c r="AB1151" t="str">
        <x:v>Pass</x:v>
      </x:c>
      <x:c r="AC1151" t="str"/>
      <x:c r="AD1151" t="str"/>
    </x:row>
    <x:row r="1152">
      <x:c r="A1152" t="str">
        <x:v>REC1151</x:v>
      </x:c>
      <x:c r="B1152" t="n">
        <x:v>1150</x:v>
      </x:c>
      <x:c r="C1152" t="str">
        <x:v>Puerto Rico</x:v>
      </x:c>
      <x:c r="D1152" t="str">
        <x:v>GV</x:v>
      </x:c>
      <x:c r="E1152" t="str">
        <x:v>Ground Validation</x:v>
      </x:c>
      <x:c r="F1152" t="str">
        <x:v>HD Seaviewer Drop Camera</x:v>
      </x:c>
      <x:c r="G1152" t="str">
        <x:v>GV2016_534</x:v>
      </x:c>
      <x:c r="H1152" s="28" t="n">
        <x:v>42603</x:v>
      </x:c>
      <x:c r="I1152" t="str">
        <x:v>09:12:07</x:v>
      </x:c>
      <x:c r="J1152" t="n">
        <x:v>2016</x:v>
      </x:c>
      <x:c r="K1152" t="n">
        <x:v>18.14581102</x:v>
      </x:c>
      <x:c r="L1152" t="n">
        <x:v>-65.22434241</x:v>
      </x:c>
      <x:c r="M1152" t="n">
        <x:v>37.968</x:v>
      </x:c>
      <x:c r="N1152" t="str">
        <x:v>https://nccospublicstor.blob.core.windows.net/biomapper/usviinsularshelf2017/videos/low/GV2016_534.mp4</x:v>
      </x:c>
      <x:c r="O1152" t="n">
        <x:v>1</x:v>
      </x:c>
      <x:c r="P1152" t="n">
        <x:v>0</x:v>
      </x:c>
      <x:c r="Q1152" t="n">
        <x:v>0</x:v>
      </x:c>
      <x:c r="R1152" t="n">
        <x:v>1</x:v>
      </x:c>
      <x:c r="S1152" t="n">
        <x:v>1</x:v>
      </x:c>
      <x:c r="T1152" t="n">
        <x:v>1</x:v>
      </x:c>
      <x:c r="U1152" t="n">
        <x:v>1</x:v>
      </x:c>
      <x:c r="V1152" t="n">
        <x:v>1</x:v>
      </x:c>
      <x:c r="W1152" t="n">
        <x:v>0</x:v>
      </x:c>
      <x:c r="X1152" t="n">
        <x:v>0</x:v>
      </x:c>
      <x:c r="Y1152" t="n">
        <x:v>0</x:v>
      </x:c>
      <x:c r="Z1152" t="n">
        <x:v>2</x:v>
      </x:c>
      <x:c r="AA1152" t="n">
        <x:v>4</x:v>
      </x:c>
      <x:c r="AB1152" t="str">
        <x:v>Pass</x:v>
      </x:c>
      <x:c r="AC1152" t="str"/>
      <x:c r="AD1152" t="str"/>
    </x:row>
    <x:row r="1153">
      <x:c r="A1153" t="str">
        <x:v>REC1152</x:v>
      </x:c>
      <x:c r="B1153" t="n">
        <x:v>1151</x:v>
      </x:c>
      <x:c r="C1153" t="str">
        <x:v>St. John, USVI</x:v>
      </x:c>
      <x:c r="D1153" t="str">
        <x:v>GV</x:v>
      </x:c>
      <x:c r="E1153" t="str">
        <x:v>Ground Validation</x:v>
      </x:c>
      <x:c r="F1153" t="str">
        <x:v>HD Seaviewer Drop Camera</x:v>
      </x:c>
      <x:c r="G1153" t="str">
        <x:v>GV2016_535</x:v>
      </x:c>
      <x:c r="H1153" s="28" t="n">
        <x:v>42630</x:v>
      </x:c>
      <x:c r="I1153" t="str">
        <x:v>09:04:15</x:v>
      </x:c>
      <x:c r="J1153" t="n">
        <x:v>2016</x:v>
      </x:c>
      <x:c r="K1153" t="n">
        <x:v>18.24379459</x:v>
      </x:c>
      <x:c r="L1153" t="n">
        <x:v>-64.69271394</x:v>
      </x:c>
      <x:c r="M1153" t="n">
        <x:v>50.129</x:v>
      </x:c>
      <x:c r="N1153" t="str">
        <x:v>https://nccospublicstor.blob.core.windows.net/biomapper/usviinsularshelf2017/videos/low/GV2016_535.mp4</x:v>
      </x:c>
      <x:c r="O1153" t="n">
        <x:v>0</x:v>
      </x:c>
      <x:c r="P1153" t="n">
        <x:v>1</x:v>
      </x:c>
      <x:c r="Q1153" t="n">
        <x:v>1</x:v>
      </x:c>
      <x:c r="R1153" t="n">
        <x:v>0</x:v>
      </x:c>
      <x:c r="S1153" t="n">
        <x:v>1</x:v>
      </x:c>
      <x:c r="T1153" t="n">
        <x:v>0</x:v>
      </x:c>
      <x:c r="U1153" t="n">
        <x:v>1</x:v>
      </x:c>
      <x:c r="V1153" t="n">
        <x:v>1</x:v>
      </x:c>
      <x:c r="W1153" t="n">
        <x:v>0</x:v>
      </x:c>
      <x:c r="X1153" t="n">
        <x:v>0</x:v>
      </x:c>
      <x:c r="Y1153" t="n">
        <x:v>0</x:v>
      </x:c>
      <x:c r="Z1153" t="n">
        <x:v>2</x:v>
      </x:c>
      <x:c r="AA1153" t="n">
        <x:v>3</x:v>
      </x:c>
      <x:c r="AB1153" t="str">
        <x:v>Pass</x:v>
      </x:c>
      <x:c r="AC1153" t="str"/>
      <x:c r="AD1153" t="str"/>
    </x:row>
    <x:row r="1154">
      <x:c r="A1154" t="str">
        <x:v>REC1153</x:v>
      </x:c>
      <x:c r="B1154" t="n">
        <x:v>1152</x:v>
      </x:c>
      <x:c r="C1154" t="str">
        <x:v>St. Thomas, USVI</x:v>
      </x:c>
      <x:c r="D1154" t="str">
        <x:v>GV</x:v>
      </x:c>
      <x:c r="E1154" t="str">
        <x:v>Ground Validation</x:v>
      </x:c>
      <x:c r="F1154" t="str">
        <x:v>HD Seaviewer Drop Camera</x:v>
      </x:c>
      <x:c r="G1154" t="str">
        <x:v>GV2016_536</x:v>
      </x:c>
      <x:c r="H1154" s="28" t="n">
        <x:v>42610</x:v>
      </x:c>
      <x:c r="I1154" t="str">
        <x:v>13:21:14</x:v>
      </x:c>
      <x:c r="J1154" t="n">
        <x:v>2016</x:v>
      </x:c>
      <x:c r="K1154" t="n">
        <x:v>18.21858641</x:v>
      </x:c>
      <x:c r="L1154" t="n">
        <x:v>-64.9049702</x:v>
      </x:c>
      <x:c r="M1154" t="n">
        <x:v>43.086</x:v>
      </x:c>
      <x:c r="N1154" t="str">
        <x:v>https://nccospublicstor.blob.core.windows.net/biomapper/usviinsularshelf2017/videos/low/GV2016_536.mp4</x:v>
      </x:c>
      <x:c r="O1154" t="n">
        <x:v>1</x:v>
      </x:c>
      <x:c r="P1154" t="n">
        <x:v>0</x:v>
      </x:c>
      <x:c r="Q1154" t="n">
        <x:v>0</x:v>
      </x:c>
      <x:c r="R1154" t="n">
        <x:v>1</x:v>
      </x:c>
      <x:c r="S1154" t="n">
        <x:v>1</x:v>
      </x:c>
      <x:c r="T1154" t="n">
        <x:v>1</x:v>
      </x:c>
      <x:c r="U1154" t="n">
        <x:v>1</x:v>
      </x:c>
      <x:c r="V1154" t="n">
        <x:v>1</x:v>
      </x:c>
      <x:c r="W1154" t="n">
        <x:v>0</x:v>
      </x:c>
      <x:c r="X1154" t="n">
        <x:v>0</x:v>
      </x:c>
      <x:c r="Y1154" t="n">
        <x:v>0</x:v>
      </x:c>
      <x:c r="Z1154" t="n">
        <x:v>2</x:v>
      </x:c>
      <x:c r="AA1154" t="n">
        <x:v>4</x:v>
      </x:c>
      <x:c r="AB1154" t="str">
        <x:v>Pass</x:v>
      </x:c>
      <x:c r="AC1154" t="str"/>
      <x:c r="AD1154" t="str">
        <x:v>Iniformation video was in the Capture0078 the underwater video for site 415</x:v>
      </x:c>
    </x:row>
    <x:row r="1155">
      <x:c r="A1155" t="str">
        <x:v>REC1154</x:v>
      </x:c>
      <x:c r="B1155" t="n">
        <x:v>1153</x:v>
      </x:c>
      <x:c r="C1155" t="str">
        <x:v>St. Thomas, USVI</x:v>
      </x:c>
      <x:c r="D1155" t="str">
        <x:v>GV</x:v>
      </x:c>
      <x:c r="E1155" t="str">
        <x:v>Ground Validation</x:v>
      </x:c>
      <x:c r="F1155" t="str">
        <x:v>HD Seaviewer Drop Camera</x:v>
      </x:c>
      <x:c r="G1155" t="str">
        <x:v>GV2016_537</x:v>
      </x:c>
      <x:c r="H1155" s="28" t="n">
        <x:v>42602</x:v>
      </x:c>
      <x:c r="I1155" t="str">
        <x:v>10:50:47</x:v>
      </x:c>
      <x:c r="J1155" t="n">
        <x:v>2016</x:v>
      </x:c>
      <x:c r="K1155" t="n">
        <x:v>18.28227004</x:v>
      </x:c>
      <x:c r="L1155" t="n">
        <x:v>-65.0640842</x:v>
      </x:c>
      <x:c r="M1155" t="n">
        <x:v>33.453</x:v>
      </x:c>
      <x:c r="N1155" t="str">
        <x:v>https://nccospublicstor.blob.core.windows.net/biomapper/usviinsularshelf2017/videos/low/GV2016_537.mp4</x:v>
      </x:c>
      <x:c r="O1155" t="n">
        <x:v>0</x:v>
      </x:c>
      <x:c r="P1155" t="n">
        <x:v>0</x:v>
      </x:c>
      <x:c r="Q1155" t="n">
        <x:v>1</x:v>
      </x:c>
      <x:c r="R1155" t="n">
        <x:v>0</x:v>
      </x:c>
      <x:c r="S1155" t="n">
        <x:v>0</x:v>
      </x:c>
      <x:c r="T1155" t="n">
        <x:v>0</x:v>
      </x:c>
      <x:c r="U1155" t="n">
        <x:v>1</x:v>
      </x:c>
      <x:c r="V1155" t="n">
        <x:v>1</x:v>
      </x:c>
      <x:c r="W1155" t="n">
        <x:v>0</x:v>
      </x:c>
      <x:c r="X1155" t="n">
        <x:v>0</x:v>
      </x:c>
      <x:c r="Y1155" t="n">
        <x:v>0</x:v>
      </x:c>
      <x:c r="Z1155" t="n">
        <x:v>1</x:v>
      </x:c>
      <x:c r="AA1155" t="n">
        <x:v>2</x:v>
      </x:c>
      <x:c r="AB1155" t="str">
        <x:v>Pass</x:v>
      </x:c>
      <x:c r="AC1155" t="str"/>
      <x:c r="AD1155" t="str"/>
    </x:row>
    <x:row r="1156">
      <x:c r="A1156" t="str">
        <x:v>REC1155</x:v>
      </x:c>
      <x:c r="B1156" t="n">
        <x:v>1154</x:v>
      </x:c>
      <x:c r="C1156" t="str">
        <x:v>St. Thomas, USVI</x:v>
      </x:c>
      <x:c r="D1156" t="str">
        <x:v>GV</x:v>
      </x:c>
      <x:c r="E1156" t="str">
        <x:v>Ground Validation</x:v>
      </x:c>
      <x:c r="F1156" t="str">
        <x:v>HD Seaviewer Drop Camera</x:v>
      </x:c>
      <x:c r="G1156" t="str">
        <x:v>GV2016_538</x:v>
      </x:c>
      <x:c r="H1156" s="28" t="n">
        <x:v>42622</x:v>
      </x:c>
      <x:c r="I1156" t="str">
        <x:v>13:01:31</x:v>
      </x:c>
      <x:c r="J1156" t="n">
        <x:v>2016</x:v>
      </x:c>
      <x:c r="K1156" t="n">
        <x:v>18.21477781</x:v>
      </x:c>
      <x:c r="L1156" t="n">
        <x:v>-64.84925686</x:v>
      </x:c>
      <x:c r="M1156" t="n">
        <x:v>44.947</x:v>
      </x:c>
      <x:c r="N1156" t="str">
        <x:v>https://nccospublicstor.blob.core.windows.net/biomapper/usviinsularshelf2017/videos/low/GV2016_538.mp4</x:v>
      </x:c>
      <x:c r="O1156" t="n">
        <x:v>0</x:v>
      </x:c>
      <x:c r="P1156" t="n">
        <x:v>0</x:v>
      </x:c>
      <x:c r="Q1156" t="n">
        <x:v>1</x:v>
      </x:c>
      <x:c r="R1156" t="n">
        <x:v>0</x:v>
      </x:c>
      <x:c r="S1156" t="n">
        <x:v>1</x:v>
      </x:c>
      <x:c r="T1156" t="n">
        <x:v>0</x:v>
      </x:c>
      <x:c r="U1156" t="n">
        <x:v>1</x:v>
      </x:c>
      <x:c r="V1156" t="n">
        <x:v>1</x:v>
      </x:c>
      <x:c r="W1156" t="n">
        <x:v>0</x:v>
      </x:c>
      <x:c r="X1156" t="n">
        <x:v>0</x:v>
      </x:c>
      <x:c r="Y1156" t="n">
        <x:v>0</x:v>
      </x:c>
      <x:c r="Z1156" t="n">
        <x:v>1</x:v>
      </x:c>
      <x:c r="AA1156" t="n">
        <x:v>3</x:v>
      </x:c>
      <x:c r="AB1156" t="str">
        <x:v>Pass</x:v>
      </x:c>
      <x:c r="AC1156" t="str"/>
      <x:c r="AD1156" t="str"/>
    </x:row>
    <x:row r="1157">
      <x:c r="A1157" t="str">
        <x:v>REC1156</x:v>
      </x:c>
      <x:c r="B1157" t="n">
        <x:v>1155</x:v>
      </x:c>
      <x:c r="C1157" t="str">
        <x:v>St. Thomas, USVI</x:v>
      </x:c>
      <x:c r="D1157" t="str">
        <x:v>GV</x:v>
      </x:c>
      <x:c r="E1157" t="str">
        <x:v>Ground Validation</x:v>
      </x:c>
      <x:c r="F1157" t="str">
        <x:v>HD Seaviewer Drop Camera</x:v>
      </x:c>
      <x:c r="G1157" t="str">
        <x:v>GV2016_539</x:v>
      </x:c>
      <x:c r="H1157" s="28" t="n">
        <x:v>42609</x:v>
      </x:c>
      <x:c r="I1157" t="str">
        <x:v>13:41:37</x:v>
      </x:c>
      <x:c r="J1157" t="n">
        <x:v>2016</x:v>
      </x:c>
      <x:c r="K1157" t="n">
        <x:v>18.22623236</x:v>
      </x:c>
      <x:c r="L1157" t="n">
        <x:v>-65.01989915</x:v>
      </x:c>
      <x:c r="M1157" t="n">
        <x:v>40.885</x:v>
      </x:c>
      <x:c r="N1157" t="str">
        <x:v>https://nccospublicstor.blob.core.windows.net/biomapper/usviinsularshelf2017/videos/low/GV2016_539.mp4</x:v>
      </x:c>
      <x:c r="O1157" t="n">
        <x:v>0</x:v>
      </x:c>
      <x:c r="P1157" t="n">
        <x:v>1</x:v>
      </x:c>
      <x:c r="Q1157" t="n">
        <x:v>1</x:v>
      </x:c>
      <x:c r="R1157" t="n">
        <x:v>1</x:v>
      </x:c>
      <x:c r="S1157" t="n">
        <x:v>0</x:v>
      </x:c>
      <x:c r="T1157" t="n">
        <x:v>0</x:v>
      </x:c>
      <x:c r="U1157" t="n">
        <x:v>1</x:v>
      </x:c>
      <x:c r="V1157" t="n">
        <x:v>1</x:v>
      </x:c>
      <x:c r="W1157" t="n">
        <x:v>0</x:v>
      </x:c>
      <x:c r="X1157" t="n">
        <x:v>0</x:v>
      </x:c>
      <x:c r="Y1157" t="n">
        <x:v>0</x:v>
      </x:c>
      <x:c r="Z1157" t="n">
        <x:v>3</x:v>
      </x:c>
      <x:c r="AA1157" t="n">
        <x:v>2</x:v>
      </x:c>
      <x:c r="AB1157" t="str">
        <x:v>Pass</x:v>
      </x:c>
      <x:c r="AC1157" t="str"/>
      <x:c r="AD1157" t="str"/>
    </x:row>
    <x:row r="1158">
      <x:c r="A1158" t="str">
        <x:v>REC1157</x:v>
      </x:c>
      <x:c r="B1158" t="n">
        <x:v>1156</x:v>
      </x:c>
      <x:c r="C1158" t="str">
        <x:v>St. Thomas, USVI</x:v>
      </x:c>
      <x:c r="D1158" t="str">
        <x:v>GV</x:v>
      </x:c>
      <x:c r="E1158" t="str">
        <x:v>Ground Validation</x:v>
      </x:c>
      <x:c r="F1158" t="str">
        <x:v>HD Seaviewer Drop Camera</x:v>
      </x:c>
      <x:c r="G1158" t="str">
        <x:v>GV2016_540</x:v>
      </x:c>
      <x:c r="H1158" s="28" t="n">
        <x:v>42612</x:v>
      </x:c>
      <x:c r="I1158" t="str">
        <x:v>09:51:23</x:v>
      </x:c>
      <x:c r="J1158" t="n">
        <x:v>2016</x:v>
      </x:c>
      <x:c r="K1158" t="n">
        <x:v>18.25239043</x:v>
      </x:c>
      <x:c r="L1158" t="n">
        <x:v>-64.98307667</x:v>
      </x:c>
      <x:c r="M1158" t="n">
        <x:v>39.546</x:v>
      </x:c>
      <x:c r="N1158" t="str">
        <x:v>https://nccospublicstor.blob.core.windows.net/biomapper/usviinsularshelf2017/videos/low/GV2016_540.mp4</x:v>
      </x:c>
      <x:c r="O1158" t="n">
        <x:v>0</x:v>
      </x:c>
      <x:c r="P1158" t="n">
        <x:v>0</x:v>
      </x:c>
      <x:c r="Q1158" t="n">
        <x:v>1</x:v>
      </x:c>
      <x:c r="R1158" t="n">
        <x:v>1</x:v>
      </x:c>
      <x:c r="S1158" t="n">
        <x:v>0</x:v>
      </x:c>
      <x:c r="T1158" t="n">
        <x:v>0</x:v>
      </x:c>
      <x:c r="U1158" t="n">
        <x:v>1</x:v>
      </x:c>
      <x:c r="V1158" t="n">
        <x:v>1</x:v>
      </x:c>
      <x:c r="W1158" t="n">
        <x:v>0</x:v>
      </x:c>
      <x:c r="X1158" t="n">
        <x:v>0</x:v>
      </x:c>
      <x:c r="Y1158" t="n">
        <x:v>0</x:v>
      </x:c>
      <x:c r="Z1158" t="n">
        <x:v>2</x:v>
      </x:c>
      <x:c r="AA1158" t="n">
        <x:v>2</x:v>
      </x:c>
      <x:c r="AB1158" t="str">
        <x:v>Pass</x:v>
      </x:c>
      <x:c r="AC1158" t="str"/>
      <x:c r="AD1158" t="str"/>
    </x:row>
    <x:row r="1159">
      <x:c r="A1159" t="str">
        <x:v>REC1158</x:v>
      </x:c>
      <x:c r="B1159" t="n">
        <x:v>1157</x:v>
      </x:c>
      <x:c r="C1159" t="str">
        <x:v>St. Thomas, USVI</x:v>
      </x:c>
      <x:c r="D1159" t="str">
        <x:v>GV</x:v>
      </x:c>
      <x:c r="E1159" t="str">
        <x:v>Ground Validation</x:v>
      </x:c>
      <x:c r="F1159" t="str">
        <x:v>HD Seaviewer Drop Camera</x:v>
      </x:c>
      <x:c r="G1159" t="str">
        <x:v>GV2016_541</x:v>
      </x:c>
      <x:c r="H1159" s="28" t="n">
        <x:v>42609</x:v>
      </x:c>
      <x:c r="I1159" t="str">
        <x:v>12:42:55</x:v>
      </x:c>
      <x:c r="J1159" t="n">
        <x:v>2016</x:v>
      </x:c>
      <x:c r="K1159" t="n">
        <x:v>18.26323471</x:v>
      </x:c>
      <x:c r="L1159" t="n">
        <x:v>-65.00459833</x:v>
      </x:c>
      <x:c r="M1159" t="n">
        <x:v>34.621</x:v>
      </x:c>
      <x:c r="N1159" t="str">
        <x:v>https://nccospublicstor.blob.core.windows.net/biomapper/usviinsularshelf2017/videos/low/GV2016_541.mp4</x:v>
      </x:c>
      <x:c r="O1159" t="n">
        <x:v>0</x:v>
      </x:c>
      <x:c r="P1159" t="n">
        <x:v>0</x:v>
      </x:c>
      <x:c r="Q1159" t="n">
        <x:v>1</x:v>
      </x:c>
      <x:c r="R1159" t="n">
        <x:v>0</x:v>
      </x:c>
      <x:c r="S1159" t="n">
        <x:v>0</x:v>
      </x:c>
      <x:c r="T1159" t="n">
        <x:v>0</x:v>
      </x:c>
      <x:c r="U1159" t="n">
        <x:v>1</x:v>
      </x:c>
      <x:c r="V1159" t="n">
        <x:v>1</x:v>
      </x:c>
      <x:c r="W1159" t="n">
        <x:v>0</x:v>
      </x:c>
      <x:c r="X1159" t="n">
        <x:v>0</x:v>
      </x:c>
      <x:c r="Y1159" t="n">
        <x:v>0</x:v>
      </x:c>
      <x:c r="Z1159" t="n">
        <x:v>1</x:v>
      </x:c>
      <x:c r="AA1159" t="n">
        <x:v>2</x:v>
      </x:c>
      <x:c r="AB1159" t="str">
        <x:v>Pass</x:v>
      </x:c>
      <x:c r="AC1159" t="str"/>
      <x:c r="AD1159" t="str"/>
    </x:row>
    <x:row r="1160">
      <x:c r="A1160" t="str">
        <x:v>REC1159</x:v>
      </x:c>
      <x:c r="B1160" t="n">
        <x:v>1158</x:v>
      </x:c>
      <x:c r="C1160" t="str">
        <x:v>St. John, USVI</x:v>
      </x:c>
      <x:c r="D1160" t="str">
        <x:v>GV</x:v>
      </x:c>
      <x:c r="E1160" t="str">
        <x:v>Ground Validation</x:v>
      </x:c>
      <x:c r="F1160" t="str">
        <x:v>HD Seaviewer Drop Camera</x:v>
      </x:c>
      <x:c r="G1160" t="str">
        <x:v>GV2016_542</x:v>
      </x:c>
      <x:c r="H1160" s="28" t="n">
        <x:v>42624</x:v>
      </x:c>
      <x:c r="I1160" t="str">
        <x:v>12:13:14</x:v>
      </x:c>
      <x:c r="J1160" t="n">
        <x:v>2016</x:v>
      </x:c>
      <x:c r="K1160" t="n">
        <x:v>18.28403382</x:v>
      </x:c>
      <x:c r="L1160" t="n">
        <x:v>-64.75244181</x:v>
      </x:c>
      <x:c r="M1160" t="n">
        <x:v>32.871</x:v>
      </x:c>
      <x:c r="N1160" t="str">
        <x:v>https://nccospublicstor.blob.core.windows.net/biomapper/usviinsularshelf2017/videos/low/GV2016_542.mp4</x:v>
      </x:c>
      <x:c r="O1160" t="n">
        <x:v>0</x:v>
      </x:c>
      <x:c r="P1160" t="n">
        <x:v>0</x:v>
      </x:c>
      <x:c r="Q1160" t="n">
        <x:v>1</x:v>
      </x:c>
      <x:c r="R1160" t="n">
        <x:v>1</x:v>
      </x:c>
      <x:c r="S1160" t="n">
        <x:v>0</x:v>
      </x:c>
      <x:c r="T1160" t="n">
        <x:v>0</x:v>
      </x:c>
      <x:c r="U1160" t="n">
        <x:v>1</x:v>
      </x:c>
      <x:c r="V1160" t="n">
        <x:v>1</x:v>
      </x:c>
      <x:c r="W1160" t="n">
        <x:v>1</x:v>
      </x:c>
      <x:c r="X1160" t="n">
        <x:v>0</x:v>
      </x:c>
      <x:c r="Y1160" t="n">
        <x:v>0</x:v>
      </x:c>
      <x:c r="Z1160" t="n">
        <x:v>2</x:v>
      </x:c>
      <x:c r="AA1160" t="n">
        <x:v>2</x:v>
      </x:c>
      <x:c r="AB1160" t="str">
        <x:v>Pass</x:v>
      </x:c>
      <x:c r="AC1160" t="str"/>
      <x:c r="AD1160" t="str"/>
    </x:row>
    <x:row r="1161">
      <x:c r="A1161" t="str">
        <x:v>REC1160</x:v>
      </x:c>
      <x:c r="B1161" t="n">
        <x:v>1159</x:v>
      </x:c>
      <x:c r="C1161" t="str">
        <x:v>St. John, USVI</x:v>
      </x:c>
      <x:c r="D1161" t="str">
        <x:v>GV</x:v>
      </x:c>
      <x:c r="E1161" t="str">
        <x:v>Ground Validation</x:v>
      </x:c>
      <x:c r="F1161" t="str">
        <x:v>HD Seaviewer Drop Camera</x:v>
      </x:c>
      <x:c r="G1161" t="str">
        <x:v>GV2016_543</x:v>
      </x:c>
      <x:c r="H1161" s="28" t="n">
        <x:v>42613</x:v>
      </x:c>
      <x:c r="I1161" t="str">
        <x:v>09:49:57</x:v>
      </x:c>
      <x:c r="J1161" t="n">
        <x:v>2016</x:v>
      </x:c>
      <x:c r="K1161" t="n">
        <x:v>18.30055235</x:v>
      </x:c>
      <x:c r="L1161" t="n">
        <x:v>-64.78909248</x:v>
      </x:c>
      <x:c r="M1161" t="n">
        <x:v>23.011</x:v>
      </x:c>
      <x:c r="N1161" t="str">
        <x:v>https://nccospublicstor.blob.core.windows.net/biomapper/usviinsularshelf2017/videos/low/GV2016_543.mp4</x:v>
      </x:c>
      <x:c r="O1161" t="n">
        <x:v>0</x:v>
      </x:c>
      <x:c r="P1161" t="n">
        <x:v>0</x:v>
      </x:c>
      <x:c r="Q1161" t="n">
        <x:v>0</x:v>
      </x:c>
      <x:c r="R1161" t="n">
        <x:v>1</x:v>
      </x:c>
      <x:c r="S1161" t="n">
        <x:v>0</x:v>
      </x:c>
      <x:c r="T1161" t="n">
        <x:v>0</x:v>
      </x:c>
      <x:c r="U1161" t="n">
        <x:v>0</x:v>
      </x:c>
      <x:c r="V1161" t="n">
        <x:v>1</x:v>
      </x:c>
      <x:c r="W1161" t="n">
        <x:v>1</x:v>
      </x:c>
      <x:c r="X1161" t="n">
        <x:v>0</x:v>
      </x:c>
      <x:c r="Y1161" t="n">
        <x:v>0</x:v>
      </x:c>
      <x:c r="Z1161" t="n">
        <x:v>1</x:v>
      </x:c>
      <x:c r="AA1161" t="n">
        <x:v>1</x:v>
      </x:c>
      <x:c r="AB1161" t="str">
        <x:v>Pass</x:v>
      </x:c>
      <x:c r="AC1161" t="str"/>
      <x:c r="AD1161" t="str">
        <x:v>Mainly Halophila stipulacea</x:v>
      </x:c>
    </x:row>
    <x:row r="1162">
      <x:c r="A1162" t="str">
        <x:v>REC1161</x:v>
      </x:c>
      <x:c r="B1162" t="n">
        <x:v>1160</x:v>
      </x:c>
      <x:c r="C1162" t="str">
        <x:v>St. Thomas, USVI</x:v>
      </x:c>
      <x:c r="D1162" t="str">
        <x:v>GV</x:v>
      </x:c>
      <x:c r="E1162" t="str">
        <x:v>Ground Validation</x:v>
      </x:c>
      <x:c r="F1162" t="str">
        <x:v>HD Seaviewer Drop Camera</x:v>
      </x:c>
      <x:c r="G1162" t="str">
        <x:v>GV2016_544</x:v>
      </x:c>
      <x:c r="H1162" s="28" t="n">
        <x:v>42612</x:v>
      </x:c>
      <x:c r="I1162" t="str">
        <x:v>09:36:21</x:v>
      </x:c>
      <x:c r="J1162" t="n">
        <x:v>2016</x:v>
      </x:c>
      <x:c r="K1162" t="n">
        <x:v>18.26101725</x:v>
      </x:c>
      <x:c r="L1162" t="n">
        <x:v>-64.98632532</x:v>
      </x:c>
      <x:c r="M1162" t="n">
        <x:v>34.53</x:v>
      </x:c>
      <x:c r="N1162" t="str">
        <x:v>https://nccospublicstor.blob.core.windows.net/biomapper/usviinsularshelf2017/videos/low/GV2016_544.mp4</x:v>
      </x:c>
      <x:c r="O1162" t="n">
        <x:v>0</x:v>
      </x:c>
      <x:c r="P1162" t="n">
        <x:v>0</x:v>
      </x:c>
      <x:c r="Q1162" t="n">
        <x:v>1</x:v>
      </x:c>
      <x:c r="R1162" t="n">
        <x:v>1</x:v>
      </x:c>
      <x:c r="S1162" t="n">
        <x:v>0</x:v>
      </x:c>
      <x:c r="T1162" t="n">
        <x:v>0</x:v>
      </x:c>
      <x:c r="U1162" t="n">
        <x:v>1</x:v>
      </x:c>
      <x:c r="V1162" t="n">
        <x:v>1</x:v>
      </x:c>
      <x:c r="W1162" t="n">
        <x:v>0</x:v>
      </x:c>
      <x:c r="X1162" t="n">
        <x:v>0</x:v>
      </x:c>
      <x:c r="Y1162" t="n">
        <x:v>0</x:v>
      </x:c>
      <x:c r="Z1162" t="n">
        <x:v>2</x:v>
      </x:c>
      <x:c r="AA1162" t="n">
        <x:v>2</x:v>
      </x:c>
      <x:c r="AB1162" t="str">
        <x:v>Pass</x:v>
      </x:c>
      <x:c r="AC1162" t="str"/>
      <x:c r="AD1162" t="str"/>
    </x:row>
    <x:row r="1163">
      <x:c r="A1163" t="str">
        <x:v>REC1162</x:v>
      </x:c>
      <x:c r="B1163" t="n">
        <x:v>1161</x:v>
      </x:c>
      <x:c r="C1163" t="str">
        <x:v>St. Thomas, USVI</x:v>
      </x:c>
      <x:c r="D1163" t="str">
        <x:v>GV</x:v>
      </x:c>
      <x:c r="E1163" t="str">
        <x:v>Ground Validation</x:v>
      </x:c>
      <x:c r="F1163" t="str">
        <x:v>HD Seaviewer Drop Camera</x:v>
      </x:c>
      <x:c r="G1163" t="str">
        <x:v>GV2016_545</x:v>
      </x:c>
      <x:c r="H1163" s="28" t="n">
        <x:v>42607</x:v>
      </x:c>
      <x:c r="I1163" t="str">
        <x:v>13:01:22</x:v>
      </x:c>
      <x:c r="J1163" t="n">
        <x:v>2016</x:v>
      </x:c>
      <x:c r="K1163" t="n">
        <x:v>18.25220842</x:v>
      </x:c>
      <x:c r="L1163" t="n">
        <x:v>-65.11326709</x:v>
      </x:c>
      <x:c r="M1163" t="n">
        <x:v>29.458</x:v>
      </x:c>
      <x:c r="N1163" t="str">
        <x:v>https://nccospublicstor.blob.core.windows.net/biomapper/usviinsularshelf2017/videos/low/GV2016_545.mp4</x:v>
      </x:c>
      <x:c r="O1163" t="n">
        <x:v>1</x:v>
      </x:c>
      <x:c r="P1163" t="n">
        <x:v>0</x:v>
      </x:c>
      <x:c r="Q1163" t="n">
        <x:v>0</x:v>
      </x:c>
      <x:c r="R1163" t="n">
        <x:v>0</x:v>
      </x:c>
      <x:c r="S1163" t="n">
        <x:v>1</x:v>
      </x:c>
      <x:c r="T1163" t="n">
        <x:v>1</x:v>
      </x:c>
      <x:c r="U1163" t="n">
        <x:v>1</x:v>
      </x:c>
      <x:c r="V1163" t="n">
        <x:v>1</x:v>
      </x:c>
      <x:c r="W1163" t="n">
        <x:v>0</x:v>
      </x:c>
      <x:c r="X1163" t="n">
        <x:v>0</x:v>
      </x:c>
      <x:c r="Y1163" t="n">
        <x:v>0</x:v>
      </x:c>
      <x:c r="Z1163" t="n">
        <x:v>1</x:v>
      </x:c>
      <x:c r="AA1163" t="n">
        <x:v>4</x:v>
      </x:c>
      <x:c r="AB1163" t="str">
        <x:v>Pass</x:v>
      </x:c>
      <x:c r="AC1163" t="str"/>
      <x:c r="AD1163" t="str"/>
    </x:row>
    <x:row r="1164">
      <x:c r="A1164" t="str">
        <x:v>REC1163</x:v>
      </x:c>
      <x:c r="B1164" t="n">
        <x:v>1162</x:v>
      </x:c>
      <x:c r="C1164" t="str">
        <x:v>St. Thomas, USVI</x:v>
      </x:c>
      <x:c r="D1164" t="str">
        <x:v>GV</x:v>
      </x:c>
      <x:c r="E1164" t="str">
        <x:v>Ground Validation</x:v>
      </x:c>
      <x:c r="F1164" t="str">
        <x:v>HD Seaviewer Drop Camera</x:v>
      </x:c>
      <x:c r="G1164" t="str">
        <x:v>GV2016_546</x:v>
      </x:c>
      <x:c r="H1164" s="28" t="n">
        <x:v>42611</x:v>
      </x:c>
      <x:c r="I1164" t="str">
        <x:v>10:37:38</x:v>
      </x:c>
      <x:c r="J1164" t="n">
        <x:v>2016</x:v>
      </x:c>
      <x:c r="K1164" t="n">
        <x:v>18.26423904</x:v>
      </x:c>
      <x:c r="L1164" t="n">
        <x:v>-64.87804003</x:v>
      </x:c>
      <x:c r="M1164" t="n">
        <x:v>26.369</x:v>
      </x:c>
      <x:c r="N1164" t="str">
        <x:v>https://nccospublicstor.blob.core.windows.net/biomapper/usviinsularshelf2017/videos/low/GV2016_546.mp4</x:v>
      </x:c>
      <x:c r="O1164" t="n">
        <x:v>0</x:v>
      </x:c>
      <x:c r="P1164" t="n">
        <x:v>1</x:v>
      </x:c>
      <x:c r="Q1164" t="n">
        <x:v>1</x:v>
      </x:c>
      <x:c r="R1164" t="n">
        <x:v>1</x:v>
      </x:c>
      <x:c r="S1164" t="n">
        <x:v>1</x:v>
      </x:c>
      <x:c r="T1164" t="n">
        <x:v>0</x:v>
      </x:c>
      <x:c r="U1164" t="n">
        <x:v>1</x:v>
      </x:c>
      <x:c r="V1164" t="n">
        <x:v>1</x:v>
      </x:c>
      <x:c r="W1164" t="n">
        <x:v>0</x:v>
      </x:c>
      <x:c r="X1164" t="n">
        <x:v>0</x:v>
      </x:c>
      <x:c r="Y1164" t="n">
        <x:v>0</x:v>
      </x:c>
      <x:c r="Z1164" t="n">
        <x:v>3</x:v>
      </x:c>
      <x:c r="AA1164" t="n">
        <x:v>3</x:v>
      </x:c>
      <x:c r="AB1164" t="str">
        <x:v>Pass</x:v>
      </x:c>
      <x:c r="AC1164" t="str"/>
      <x:c r="AD1164" t="str">
        <x:v>Great Barracuda at 0.25 and time from trimble</x:v>
      </x:c>
    </x:row>
    <x:row r="1165">
      <x:c r="A1165" t="str">
        <x:v>REC1164</x:v>
      </x:c>
      <x:c r="B1165" t="n">
        <x:v>1163</x:v>
      </x:c>
      <x:c r="C1165" t="str">
        <x:v>St. Thomas, USVI</x:v>
      </x:c>
      <x:c r="D1165" t="str">
        <x:v>GV</x:v>
      </x:c>
      <x:c r="E1165" t="str">
        <x:v>Ground Validation</x:v>
      </x:c>
      <x:c r="F1165" t="str">
        <x:v>HD Seaviewer Drop Camera</x:v>
      </x:c>
      <x:c r="G1165" t="str">
        <x:v>GV2016_548</x:v>
      </x:c>
      <x:c r="H1165" s="28" t="n">
        <x:v>42622</x:v>
      </x:c>
      <x:c r="I1165" t="str">
        <x:v>13:42:54</x:v>
      </x:c>
      <x:c r="J1165" t="n">
        <x:v>2016</x:v>
      </x:c>
      <x:c r="K1165" t="n">
        <x:v>18.22385555</x:v>
      </x:c>
      <x:c r="L1165" t="n">
        <x:v>-64.8274064</x:v>
      </x:c>
      <x:c r="M1165" t="n">
        <x:v>47.762</x:v>
      </x:c>
      <x:c r="N1165" t="str">
        <x:v>https://nccospublicstor.blob.core.windows.net/biomapper/usviinsularshelf2017/videos/low/GV2016_548.mp4</x:v>
      </x:c>
      <x:c r="O1165" t="n">
        <x:v>0</x:v>
      </x:c>
      <x:c r="P1165" t="n">
        <x:v>0</x:v>
      </x:c>
      <x:c r="Q1165" t="n">
        <x:v>1</x:v>
      </x:c>
      <x:c r="R1165" t="n">
        <x:v>0</x:v>
      </x:c>
      <x:c r="S1165" t="n">
        <x:v>0</x:v>
      </x:c>
      <x:c r="T1165" t="n">
        <x:v>0</x:v>
      </x:c>
      <x:c r="U1165" t="n">
        <x:v>1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1</x:v>
      </x:c>
      <x:c r="AA1165" t="n">
        <x:v>1</x:v>
      </x:c>
      <x:c r="AB1165" t="str">
        <x:v>Pass</x:v>
      </x:c>
      <x:c r="AC1165" t="str"/>
      <x:c r="AD1165" t="str"/>
    </x:row>
    <x:row r="1166">
      <x:c r="A1166" t="str">
        <x:v>REC1165</x:v>
      </x:c>
      <x:c r="B1166" t="n">
        <x:v>1164</x:v>
      </x:c>
      <x:c r="C1166" t="str">
        <x:v>St. Thomas, USVI</x:v>
      </x:c>
      <x:c r="D1166" t="str">
        <x:v>GV</x:v>
      </x:c>
      <x:c r="E1166" t="str">
        <x:v>Ground Validation</x:v>
      </x:c>
      <x:c r="F1166" t="str">
        <x:v>HD Seaviewer Drop Camera</x:v>
      </x:c>
      <x:c r="G1166" t="str">
        <x:v>GV2016_549</x:v>
      </x:c>
      <x:c r="H1166" s="28" t="n">
        <x:v>42609</x:v>
      </x:c>
      <x:c r="I1166" t="str">
        <x:v>14:18:19</x:v>
      </x:c>
      <x:c r="J1166" t="n">
        <x:v>2016</x:v>
      </x:c>
      <x:c r="K1166" t="n">
        <x:v>18.22827616</x:v>
      </x:c>
      <x:c r="L1166" t="n">
        <x:v>-65.05741008</x:v>
      </x:c>
      <x:c r="M1166" t="n">
        <x:v>35.868</x:v>
      </x:c>
      <x:c r="N1166" t="str">
        <x:v>https://nccospublicstor.blob.core.windows.net/biomapper/usviinsularshelf2017/videos/low/GV2016_549.mp4</x:v>
      </x:c>
      <x:c r="O1166" t="n">
        <x:v>1</x:v>
      </x:c>
      <x:c r="P1166" t="n">
        <x:v>0</x:v>
      </x:c>
      <x:c r="Q1166" t="n">
        <x:v>0</x:v>
      </x:c>
      <x:c r="R1166" t="n">
        <x:v>0</x:v>
      </x:c>
      <x:c r="S1166" t="n">
        <x:v>1</x:v>
      </x:c>
      <x:c r="T1166" t="n">
        <x:v>0</x:v>
      </x:c>
      <x:c r="U1166" t="n">
        <x:v>1</x:v>
      </x:c>
      <x:c r="V1166" t="n">
        <x:v>1</x:v>
      </x:c>
      <x:c r="W1166" t="n">
        <x:v>0</x:v>
      </x:c>
      <x:c r="X1166" t="n">
        <x:v>0</x:v>
      </x:c>
      <x:c r="Y1166" t="n">
        <x:v>0</x:v>
      </x:c>
      <x:c r="Z1166" t="n">
        <x:v>1</x:v>
      </x:c>
      <x:c r="AA1166" t="n">
        <x:v>3</x:v>
      </x:c>
      <x:c r="AB1166" t="str">
        <x:v>Pass</x:v>
      </x:c>
      <x:c r="AC1166" t="str"/>
      <x:c r="AD1166" t="str">
        <x:v>High Coral Cover &gt;75%</x:v>
      </x:c>
    </x:row>
    <x:row r="1167">
      <x:c r="A1167" t="str">
        <x:v>REC1166</x:v>
      </x:c>
      <x:c r="B1167" t="n">
        <x:v>1165</x:v>
      </x:c>
      <x:c r="C1167" t="str">
        <x:v>St. Thomas, USVI</x:v>
      </x:c>
      <x:c r="D1167" t="str">
        <x:v>GV</x:v>
      </x:c>
      <x:c r="E1167" t="str">
        <x:v>Ground Validation</x:v>
      </x:c>
      <x:c r="F1167" t="str">
        <x:v>HD Seaviewer Drop Camera</x:v>
      </x:c>
      <x:c r="G1167" t="str">
        <x:v>GV2016_550</x:v>
      </x:c>
      <x:c r="H1167" s="28" t="n">
        <x:v>42608</x:v>
      </x:c>
      <x:c r="I1167" t="str">
        <x:v>10:26:36</x:v>
      </x:c>
      <x:c r="J1167" t="n">
        <x:v>2016</x:v>
      </x:c>
      <x:c r="K1167" t="n">
        <x:v>18.21451945</x:v>
      </x:c>
      <x:c r="L1167" t="n">
        <x:v>-64.98994987</x:v>
      </x:c>
      <x:c r="M1167" t="n">
        <x:v>40.894</x:v>
      </x:c>
      <x:c r="N1167" t="str">
        <x:v>https://nccospublicstor.blob.core.windows.net/biomapper/usviinsularshelf2017/videos/low/GV2016_550.mp4</x:v>
      </x:c>
      <x:c r="O1167" t="n">
        <x:v>1</x:v>
      </x:c>
      <x:c r="P1167" t="n">
        <x:v>0</x:v>
      </x:c>
      <x:c r="Q1167" t="n">
        <x:v>0</x:v>
      </x:c>
      <x:c r="R1167" t="n">
        <x:v>1</x:v>
      </x:c>
      <x:c r="S1167" t="n">
        <x:v>1</x:v>
      </x:c>
      <x:c r="T1167" t="n">
        <x:v>1</x:v>
      </x:c>
      <x:c r="U1167" t="n">
        <x:v>1</x:v>
      </x:c>
      <x:c r="V1167" t="n">
        <x:v>1</x:v>
      </x:c>
      <x:c r="W1167" t="n">
        <x:v>0</x:v>
      </x:c>
      <x:c r="X1167" t="n">
        <x:v>0</x:v>
      </x:c>
      <x:c r="Y1167" t="n">
        <x:v>0</x:v>
      </x:c>
      <x:c r="Z1167" t="n">
        <x:v>2</x:v>
      </x:c>
      <x:c r="AA1167" t="n">
        <x:v>4</x:v>
      </x:c>
      <x:c r="AB1167" t="str">
        <x:v>Pass</x:v>
      </x:c>
      <x:c r="AC1167" t="str"/>
      <x:c r="AD1167" t="str">
        <x:v>Snappers</x:v>
      </x:c>
    </x:row>
    <x:row r="1168">
      <x:c r="A1168" t="str">
        <x:v>REC1167</x:v>
      </x:c>
      <x:c r="B1168" t="n">
        <x:v>1166</x:v>
      </x:c>
      <x:c r="C1168" t="str">
        <x:v>St. John, USVI</x:v>
      </x:c>
      <x:c r="D1168" t="str">
        <x:v>GV</x:v>
      </x:c>
      <x:c r="E1168" t="str">
        <x:v>Ground Validation</x:v>
      </x:c>
      <x:c r="F1168" t="str">
        <x:v>HD Seaviewer Drop Camera</x:v>
      </x:c>
      <x:c r="G1168" t="str">
        <x:v>GV2016_551</x:v>
      </x:c>
      <x:c r="H1168" s="28" t="n">
        <x:v>42630</x:v>
      </x:c>
      <x:c r="I1168" t="str">
        <x:v>14:01:20</x:v>
      </x:c>
      <x:c r="J1168" t="n">
        <x:v>2016</x:v>
      </x:c>
      <x:c r="K1168" t="n">
        <x:v>18.2391389</x:v>
      </x:c>
      <x:c r="L1168" t="n">
        <x:v>-64.74292012</x:v>
      </x:c>
      <x:c r="M1168" t="n">
        <x:v>53.83</x:v>
      </x:c>
      <x:c r="N1168" t="str">
        <x:v>https://nccospublicstor.blob.core.windows.net/biomapper/usviinsularshelf2017/videos/low/GV2016_551.mp4</x:v>
      </x:c>
      <x:c r="O1168" t="n">
        <x:v>0</x:v>
      </x:c>
      <x:c r="P1168" t="n">
        <x:v>1</x:v>
      </x:c>
      <x:c r="Q1168" t="n">
        <x:v>1</x:v>
      </x:c>
      <x:c r="R1168" t="n">
        <x:v>0</x:v>
      </x:c>
      <x:c r="S1168" t="n">
        <x:v>0</x:v>
      </x:c>
      <x:c r="T1168" t="n">
        <x:v>0</x:v>
      </x:c>
      <x:c r="U1168" t="n">
        <x:v>1</x:v>
      </x:c>
      <x:c r="V1168" t="n">
        <x:v>1</x:v>
      </x:c>
      <x:c r="W1168" t="n">
        <x:v>0</x:v>
      </x:c>
      <x:c r="X1168" t="n">
        <x:v>0</x:v>
      </x:c>
      <x:c r="Y1168" t="n">
        <x:v>0</x:v>
      </x:c>
      <x:c r="Z1168" t="n">
        <x:v>2</x:v>
      </x:c>
      <x:c r="AA1168" t="n">
        <x:v>2</x:v>
      </x:c>
      <x:c r="AB1168" t="str">
        <x:v>Pass</x:v>
      </x:c>
      <x:c r="AC1168" t="str"/>
      <x:c r="AD1168" t="str"/>
    </x:row>
    <x:row r="1169">
      <x:c r="A1169" t="str">
        <x:v>REC1168</x:v>
      </x:c>
      <x:c r="B1169" t="n">
        <x:v>1167</x:v>
      </x:c>
      <x:c r="C1169" t="str">
        <x:v>St. Thomas, USVI</x:v>
      </x:c>
      <x:c r="D1169" t="str">
        <x:v>GV</x:v>
      </x:c>
      <x:c r="E1169" t="str">
        <x:v>Ground Validation</x:v>
      </x:c>
      <x:c r="F1169" t="str">
        <x:v>HD Seaviewer Drop Camera</x:v>
      </x:c>
      <x:c r="G1169" t="str">
        <x:v>GV2016_552</x:v>
      </x:c>
      <x:c r="H1169" s="28" t="n">
        <x:v>42626</x:v>
      </x:c>
      <x:c r="I1169" t="str">
        <x:v>13:51:40</x:v>
      </x:c>
      <x:c r="J1169" t="n">
        <x:v>2016</x:v>
      </x:c>
      <x:c r="K1169" t="n">
        <x:v>18.24723123</x:v>
      </x:c>
      <x:c r="L1169" t="n">
        <x:v>-64.81415683</x:v>
      </x:c>
      <x:c r="M1169" t="n">
        <x:v>44.645</x:v>
      </x:c>
      <x:c r="N1169" t="str">
        <x:v>https://nccospublicstor.blob.core.windows.net/biomapper/usviinsularshelf2017/videos/low/GV2016_552.mp4</x:v>
      </x:c>
      <x:c r="O1169" t="n">
        <x:v>0</x:v>
      </x:c>
      <x:c r="P1169" t="n">
        <x:v>0</x:v>
      </x:c>
      <x:c r="Q1169" t="n">
        <x:v>1</x:v>
      </x:c>
      <x:c r="R1169" t="n">
        <x:v>1</x:v>
      </x:c>
      <x:c r="S1169" t="n">
        <x:v>0</x:v>
      </x:c>
      <x:c r="T1169" t="n">
        <x:v>0</x:v>
      </x:c>
      <x:c r="U1169" t="n">
        <x:v>1</x:v>
      </x:c>
      <x:c r="V1169" t="n">
        <x:v>1</x:v>
      </x:c>
      <x:c r="W1169" t="n">
        <x:v>0</x:v>
      </x:c>
      <x:c r="X1169" t="n">
        <x:v>0</x:v>
      </x:c>
      <x:c r="Y1169" t="n">
        <x:v>0</x:v>
      </x:c>
      <x:c r="Z1169" t="n">
        <x:v>2</x:v>
      </x:c>
      <x:c r="AA1169" t="n">
        <x:v>2</x:v>
      </x:c>
      <x:c r="AB1169" t="str">
        <x:v>Pass</x:v>
      </x:c>
      <x:c r="AC1169" t="str"/>
      <x:c r="AD1169" t="str"/>
    </x:row>
    <x:row r="1170">
      <x:c r="A1170" t="str">
        <x:v>REC1169</x:v>
      </x:c>
      <x:c r="B1170" t="n">
        <x:v>1168</x:v>
      </x:c>
      <x:c r="C1170" t="str">
        <x:v>St. Thomas, USVI</x:v>
      </x:c>
      <x:c r="D1170" t="str">
        <x:v>GV</x:v>
      </x:c>
      <x:c r="E1170" t="str">
        <x:v>Ground Validation</x:v>
      </x:c>
      <x:c r="F1170" t="str">
        <x:v>HD Seaviewer Drop Camera</x:v>
      </x:c>
      <x:c r="G1170" t="str">
        <x:v>GV2016_553</x:v>
      </x:c>
      <x:c r="H1170" s="28" t="n">
        <x:v>42608</x:v>
      </x:c>
      <x:c r="I1170" t="str">
        <x:v>09:42:08</x:v>
      </x:c>
      <x:c r="J1170" t="n">
        <x:v>2016</x:v>
      </x:c>
      <x:c r="K1170" t="n">
        <x:v>18.20386187</x:v>
      </x:c>
      <x:c r="L1170" t="n">
        <x:v>-64.95286275</x:v>
      </x:c>
      <x:c r="M1170" t="n">
        <x:v>47.24</x:v>
      </x:c>
      <x:c r="N1170" t="str">
        <x:v>https://nccospublicstor.blob.core.windows.net/biomapper/usviinsularshelf2017/videos/low/GV2016_553.mp4</x:v>
      </x:c>
      <x:c r="O1170" t="n">
        <x:v>0</x:v>
      </x:c>
      <x:c r="P1170" t="n">
        <x:v>1</x:v>
      </x:c>
      <x:c r="Q1170" t="n">
        <x:v>1</x:v>
      </x:c>
      <x:c r="R1170" t="n">
        <x:v>0</x:v>
      </x:c>
      <x:c r="S1170" t="n">
        <x:v>1</x:v>
      </x:c>
      <x:c r="T1170" t="n">
        <x:v>0</x:v>
      </x:c>
      <x:c r="U1170" t="n">
        <x:v>1</x:v>
      </x:c>
      <x:c r="V1170" t="n">
        <x:v>1</x:v>
      </x:c>
      <x:c r="W1170" t="n">
        <x:v>0</x:v>
      </x:c>
      <x:c r="X1170" t="n">
        <x:v>0</x:v>
      </x:c>
      <x:c r="Y1170" t="n">
        <x:v>0</x:v>
      </x:c>
      <x:c r="Z1170" t="n">
        <x:v>2</x:v>
      </x:c>
      <x:c r="AA1170" t="n">
        <x:v>3</x:v>
      </x:c>
      <x:c r="AB1170" t="str">
        <x:v>Pass</x:v>
      </x:c>
      <x:c r="AC1170" t="str"/>
      <x:c r="AD1170" t="str"/>
    </x:row>
    <x:row r="1171">
      <x:c r="A1171" t="str">
        <x:v>REC1170</x:v>
      </x:c>
      <x:c r="B1171" t="n">
        <x:v>1169</x:v>
      </x:c>
      <x:c r="C1171" t="str">
        <x:v>St. Thomas, USVI</x:v>
      </x:c>
      <x:c r="D1171" t="str">
        <x:v>GV</x:v>
      </x:c>
      <x:c r="E1171" t="str">
        <x:v>Ground Validation</x:v>
      </x:c>
      <x:c r="F1171" t="str">
        <x:v>HD Seaviewer Drop Camera</x:v>
      </x:c>
      <x:c r="G1171" t="str">
        <x:v>GV2016_554</x:v>
      </x:c>
      <x:c r="H1171" s="28" t="n">
        <x:v>42611</x:v>
      </x:c>
      <x:c r="I1171" t="str">
        <x:v>09:01:43</x:v>
      </x:c>
      <x:c r="J1171" t="n">
        <x:v>2016</x:v>
      </x:c>
      <x:c r="K1171" t="n">
        <x:v>18.23868591</x:v>
      </x:c>
      <x:c r="L1171" t="n">
        <x:v>-64.85777081</x:v>
      </x:c>
      <x:c r="M1171" t="n">
        <x:v>40.503</x:v>
      </x:c>
      <x:c r="N1171" t="str">
        <x:v>https://nccospublicstor.blob.core.windows.net/biomapper/usviinsularshelf2017/videos/low/GV2016_554.mp4</x:v>
      </x:c>
      <x:c r="O1171" t="n">
        <x:v>0</x:v>
      </x:c>
      <x:c r="P1171" t="n">
        <x:v>0</x:v>
      </x:c>
      <x:c r="Q1171" t="n">
        <x:v>1</x:v>
      </x:c>
      <x:c r="R1171" t="n">
        <x:v>0</x:v>
      </x:c>
      <x:c r="S1171" t="n">
        <x:v>0</x:v>
      </x:c>
      <x:c r="T1171" t="n">
        <x:v>0</x:v>
      </x:c>
      <x:c r="U1171" t="n">
        <x:v>1</x:v>
      </x:c>
      <x:c r="V1171" t="n">
        <x:v>1</x:v>
      </x:c>
      <x:c r="W1171" t="n">
        <x:v>0</x:v>
      </x:c>
      <x:c r="X1171" t="n">
        <x:v>0</x:v>
      </x:c>
      <x:c r="Y1171" t="n">
        <x:v>0</x:v>
      </x:c>
      <x:c r="Z1171" t="n">
        <x:v>1</x:v>
      </x:c>
      <x:c r="AA1171" t="n">
        <x:v>2</x:v>
      </x:c>
      <x:c r="AB1171" t="str">
        <x:v>Pass</x:v>
      </x:c>
      <x:c r="AC1171" t="str"/>
      <x:c r="AD1171" t="str"/>
    </x:row>
    <x:row r="1172">
      <x:c r="A1172" t="str">
        <x:v>REC1171</x:v>
      </x:c>
      <x:c r="B1172" t="n">
        <x:v>1170</x:v>
      </x:c>
      <x:c r="C1172" t="str">
        <x:v>St. Thomas, USVI</x:v>
      </x:c>
      <x:c r="D1172" t="str">
        <x:v>GV</x:v>
      </x:c>
      <x:c r="E1172" t="str">
        <x:v>Ground Validation</x:v>
      </x:c>
      <x:c r="F1172" t="str">
        <x:v>HD Seaviewer Drop Camera</x:v>
      </x:c>
      <x:c r="G1172" t="str">
        <x:v>GV2016_555</x:v>
      </x:c>
      <x:c r="H1172" s="28" t="n">
        <x:v>42602</x:v>
      </x:c>
      <x:c r="I1172" t="str">
        <x:v>12:36:46</x:v>
      </x:c>
      <x:c r="J1172" t="n">
        <x:v>2016</x:v>
      </x:c>
      <x:c r="K1172" t="n">
        <x:v>18.28246016</x:v>
      </x:c>
      <x:c r="L1172" t="n">
        <x:v>-65.0886842</x:v>
      </x:c>
      <x:c r="M1172" t="n">
        <x:v>34.284</x:v>
      </x:c>
      <x:c r="N1172" t="str">
        <x:v>https://nccospublicstor.blob.core.windows.net/biomapper/usviinsularshelf2017/videos/low/GV2016_555.mp4</x:v>
      </x:c>
      <x:c r="O1172" t="n">
        <x:v>1</x:v>
      </x:c>
      <x:c r="P1172" t="n">
        <x:v>0</x:v>
      </x:c>
      <x:c r="Q1172" t="n">
        <x:v>0</x:v>
      </x:c>
      <x:c r="R1172" t="n">
        <x:v>1</x:v>
      </x:c>
      <x:c r="S1172" t="n">
        <x:v>1</x:v>
      </x:c>
      <x:c r="T1172" t="n">
        <x:v>1</x:v>
      </x:c>
      <x:c r="U1172" t="n">
        <x:v>1</x:v>
      </x:c>
      <x:c r="V1172" t="n">
        <x:v>1</x:v>
      </x:c>
      <x:c r="W1172" t="n">
        <x:v>0</x:v>
      </x:c>
      <x:c r="X1172" t="n">
        <x:v>0</x:v>
      </x:c>
      <x:c r="Y1172" t="n">
        <x:v>0</x:v>
      </x:c>
      <x:c r="Z1172" t="n">
        <x:v>2</x:v>
      </x:c>
      <x:c r="AA1172" t="n">
        <x:v>4</x:v>
      </x:c>
      <x:c r="AB1172" t="str">
        <x:v>Pass</x:v>
      </x:c>
      <x:c r="AC1172" t="str"/>
      <x:c r="AD1172" t="str"/>
    </x:row>
    <x:row r="1173">
      <x:c r="A1173" t="str">
        <x:v>REC1172</x:v>
      </x:c>
      <x:c r="B1173" t="n">
        <x:v>1171</x:v>
      </x:c>
      <x:c r="C1173" t="str">
        <x:v>St. John, USVI</x:v>
      </x:c>
      <x:c r="D1173" t="str">
        <x:v>GV</x:v>
      </x:c>
      <x:c r="E1173" t="str">
        <x:v>Ground Validation</x:v>
      </x:c>
      <x:c r="F1173" t="str">
        <x:v>HD Seaviewer Drop Camera</x:v>
      </x:c>
      <x:c r="G1173" t="str">
        <x:v>GV2016_556</x:v>
      </x:c>
      <x:c r="H1173" s="28" t="n">
        <x:v>42629</x:v>
      </x:c>
      <x:c r="I1173" t="str">
        <x:v>15:56:05</x:v>
      </x:c>
      <x:c r="J1173" t="n">
        <x:v>2016</x:v>
      </x:c>
      <x:c r="K1173" t="n">
        <x:v>18.19401096</x:v>
      </x:c>
      <x:c r="L1173" t="n">
        <x:v>-64.74833874</x:v>
      </x:c>
      <x:c r="M1173" t="n">
        <x:v>55.178</x:v>
      </x:c>
      <x:c r="N1173" t="str">
        <x:v>https://nccospublicstor.blob.core.windows.net/biomapper/usviinsularshelf2017/videos/low/GV2016_556.mp4</x:v>
      </x:c>
      <x:c r="O1173" t="n">
        <x:v>0</x:v>
      </x:c>
      <x:c r="P1173" t="n">
        <x:v>1</x:v>
      </x:c>
      <x:c r="Q1173" t="n">
        <x:v>1</x:v>
      </x:c>
      <x:c r="R1173" t="n">
        <x:v>0</x:v>
      </x:c>
      <x:c r="S1173" t="n">
        <x:v>1</x:v>
      </x:c>
      <x:c r="T1173" t="n">
        <x:v>0</x:v>
      </x:c>
      <x:c r="U1173" t="n">
        <x:v>1</x:v>
      </x:c>
      <x:c r="V1173" t="n">
        <x:v>1</x:v>
      </x:c>
      <x:c r="W1173" t="n">
        <x:v>0</x:v>
      </x:c>
      <x:c r="X1173" t="n">
        <x:v>0</x:v>
      </x:c>
      <x:c r="Y1173" t="n">
        <x:v>0</x:v>
      </x:c>
      <x:c r="Z1173" t="n">
        <x:v>2</x:v>
      </x:c>
      <x:c r="AA1173" t="n">
        <x:v>3</x:v>
      </x:c>
      <x:c r="AB1173" t="str">
        <x:v>Pass</x:v>
      </x:c>
      <x:c r="AC1173" t="str"/>
      <x:c r="AD1173" t="str"/>
    </x:row>
    <x:row r="1174">
      <x:c r="A1174" t="str">
        <x:v>REC1173</x:v>
      </x:c>
      <x:c r="B1174" t="n">
        <x:v>1172</x:v>
      </x:c>
      <x:c r="C1174" t="str">
        <x:v>St. John, USVI</x:v>
      </x:c>
      <x:c r="D1174" t="str">
        <x:v>GV</x:v>
      </x:c>
      <x:c r="E1174" t="str">
        <x:v>Ground Validation</x:v>
      </x:c>
      <x:c r="F1174" t="str">
        <x:v>HD Seaviewer Drop Camera</x:v>
      </x:c>
      <x:c r="G1174" t="str">
        <x:v>GV2016_557</x:v>
      </x:c>
      <x:c r="H1174" s="28" t="n">
        <x:v>42629</x:v>
      </x:c>
      <x:c r="I1174" t="str">
        <x:v>13:50:40</x:v>
      </x:c>
      <x:c r="J1174" t="n">
        <x:v>2016</x:v>
      </x:c>
      <x:c r="K1174" t="n">
        <x:v>18.19417944</x:v>
      </x:c>
      <x:c r="L1174" t="n">
        <x:v>-64.77995245</x:v>
      </x:c>
      <x:c r="M1174" t="n">
        <x:v>56.796</x:v>
      </x:c>
      <x:c r="N1174" t="str">
        <x:v>https://nccospublicstor.blob.core.windows.net/biomapper/usviinsularshelf2017/videos/low/GV2016_557.mp4</x:v>
      </x:c>
      <x:c r="O1174" t="n">
        <x:v>0</x:v>
      </x:c>
      <x:c r="P1174" t="n">
        <x:v>0</x:v>
      </x:c>
      <x:c r="Q1174" t="n">
        <x:v>1</x:v>
      </x:c>
      <x:c r="R1174" t="n">
        <x:v>0</x:v>
      </x:c>
      <x:c r="S1174" t="n">
        <x:v>1</x:v>
      </x:c>
      <x:c r="T1174" t="n">
        <x:v>0</x:v>
      </x:c>
      <x:c r="U1174" t="n">
        <x:v>1</x:v>
      </x:c>
      <x:c r="V1174" t="n">
        <x:v>1</x:v>
      </x:c>
      <x:c r="W1174" t="n">
        <x:v>0</x:v>
      </x:c>
      <x:c r="X1174" t="n">
        <x:v>0</x:v>
      </x:c>
      <x:c r="Y1174" t="n">
        <x:v>0</x:v>
      </x:c>
      <x:c r="Z1174" t="n">
        <x:v>1</x:v>
      </x:c>
      <x:c r="AA1174" t="n">
        <x:v>3</x:v>
      </x:c>
      <x:c r="AB1174" t="str">
        <x:v>Pass</x:v>
      </x:c>
      <x:c r="AC1174" t="str"/>
      <x:c r="AD1174" t="str"/>
    </x:row>
    <x:row r="1175">
      <x:c r="A1175" t="str">
        <x:v>REC1174</x:v>
      </x:c>
      <x:c r="B1175" t="n">
        <x:v>1173</x:v>
      </x:c>
      <x:c r="C1175" t="str">
        <x:v>Puerto Rico</x:v>
      </x:c>
      <x:c r="D1175" t="str">
        <x:v>GV</x:v>
      </x:c>
      <x:c r="E1175" t="str">
        <x:v>Ground Validation</x:v>
      </x:c>
      <x:c r="F1175" t="str">
        <x:v>HD Seaviewer Drop Camera</x:v>
      </x:c>
      <x:c r="G1175" t="str">
        <x:v>GV2016_558</x:v>
      </x:c>
      <x:c r="H1175" s="28" t="n">
        <x:v>42603</x:v>
      </x:c>
      <x:c r="I1175" t="str">
        <x:v>09:49:38</x:v>
      </x:c>
      <x:c r="J1175" t="n">
        <x:v>2016</x:v>
      </x:c>
      <x:c r="K1175" t="n">
        <x:v>18.13164824</x:v>
      </x:c>
      <x:c r="L1175" t="n">
        <x:v>-65.20473534</x:v>
      </x:c>
      <x:c r="M1175" t="n">
        <x:v>33.407</x:v>
      </x:c>
      <x:c r="N1175" t="str">
        <x:v>https://nccospublicstor.blob.core.windows.net/biomapper/usviinsularshelf2017/videos/low/GV2016_558.mp4</x:v>
      </x:c>
      <x:c r="O1175" t="n">
        <x:v>0</x:v>
      </x:c>
      <x:c r="P1175" t="n">
        <x:v>1</x:v>
      </x:c>
      <x:c r="Q1175" t="n">
        <x:v>1</x:v>
      </x:c>
      <x:c r="R1175" t="n">
        <x:v>0</x:v>
      </x:c>
      <x:c r="S1175" t="n">
        <x:v>1</x:v>
      </x:c>
      <x:c r="T1175" t="n">
        <x:v>0</x:v>
      </x:c>
      <x:c r="U1175" t="n">
        <x:v>1</x:v>
      </x:c>
      <x:c r="V1175" t="n">
        <x:v>1</x:v>
      </x:c>
      <x:c r="W1175" t="n">
        <x:v>0</x:v>
      </x:c>
      <x:c r="X1175" t="n">
        <x:v>0</x:v>
      </x:c>
      <x:c r="Y1175" t="n">
        <x:v>0</x:v>
      </x:c>
      <x:c r="Z1175" t="n">
        <x:v>2</x:v>
      </x:c>
      <x:c r="AA1175" t="n">
        <x:v>3</x:v>
      </x:c>
      <x:c r="AB1175" t="str">
        <x:v>Pass</x:v>
      </x:c>
      <x:c r="AC1175" t="str"/>
      <x:c r="AD1175" t="str"/>
    </x:row>
    <x:row r="1176">
      <x:c r="A1176" t="str">
        <x:v>REC1175</x:v>
      </x:c>
      <x:c r="B1176" t="n">
        <x:v>1174</x:v>
      </x:c>
      <x:c r="C1176" t="str">
        <x:v>St. John, USVI</x:v>
      </x:c>
      <x:c r="D1176" t="str">
        <x:v>GV</x:v>
      </x:c>
      <x:c r="E1176" t="str">
        <x:v>Ground Validation</x:v>
      </x:c>
      <x:c r="F1176" t="str">
        <x:v>HD Seaviewer Drop Camera</x:v>
      </x:c>
      <x:c r="G1176" t="str">
        <x:v>GV2016_560</x:v>
      </x:c>
      <x:c r="H1176" s="28" t="n">
        <x:v>42624</x:v>
      </x:c>
      <x:c r="I1176" t="str">
        <x:v>08:59:03</x:v>
      </x:c>
      <x:c r="J1176" t="n">
        <x:v>2016</x:v>
      </x:c>
      <x:c r="K1176" t="n">
        <x:v>18.2688726</x:v>
      </x:c>
      <x:c r="L1176" t="n">
        <x:v>-64.7223786</x:v>
      </x:c>
      <x:c r="M1176" t="n">
        <x:v>36.505</x:v>
      </x:c>
      <x:c r="N1176" t="str">
        <x:v>https://nccospublicstor.blob.core.windows.net/biomapper/usviinsularshelf2017/videos/low/GV2016_560.mp4</x:v>
      </x:c>
      <x:c r="O1176" t="n">
        <x:v>0</x:v>
      </x:c>
      <x:c r="P1176" t="n">
        <x:v>1</x:v>
      </x:c>
      <x:c r="Q1176" t="n">
        <x:v>0</x:v>
      </x:c>
      <x:c r="R1176" t="n">
        <x:v>0</x:v>
      </x:c>
      <x:c r="S1176" t="n">
        <x:v>1</x:v>
      </x:c>
      <x:c r="T1176" t="n">
        <x:v>0</x:v>
      </x:c>
      <x:c r="U1176" t="n">
        <x:v>1</x:v>
      </x:c>
      <x:c r="V1176" t="n">
        <x:v>1</x:v>
      </x:c>
      <x:c r="W1176" t="n">
        <x:v>0</x:v>
      </x:c>
      <x:c r="X1176" t="n">
        <x:v>0</x:v>
      </x:c>
      <x:c r="Y1176" t="n">
        <x:v>0</x:v>
      </x:c>
      <x:c r="Z1176" t="n">
        <x:v>1</x:v>
      </x:c>
      <x:c r="AA1176" t="n">
        <x:v>3</x:v>
      </x:c>
      <x:c r="AB1176" t="str">
        <x:v>Pass</x:v>
      </x:c>
      <x:c r="AC1176" t="str"/>
      <x:c r="AD1176" t="str"/>
    </x:row>
    <x:row r="1177">
      <x:c r="A1177" t="str">
        <x:v>REC1176</x:v>
      </x:c>
      <x:c r="B1177" t="n">
        <x:v>1175</x:v>
      </x:c>
      <x:c r="C1177" t="str">
        <x:v>St. Thomas, USVI</x:v>
      </x:c>
      <x:c r="D1177" t="str">
        <x:v>GV</x:v>
      </x:c>
      <x:c r="E1177" t="str">
        <x:v>Ground Validation</x:v>
      </x:c>
      <x:c r="F1177" t="str">
        <x:v>HD Seaviewer Drop Camera</x:v>
      </x:c>
      <x:c r="G1177" t="str">
        <x:v>GV2016_561</x:v>
      </x:c>
      <x:c r="H1177" s="28" t="n">
        <x:v>42612</x:v>
      </x:c>
      <x:c r="I1177" t="str">
        <x:v>13:16:31</x:v>
      </x:c>
      <x:c r="J1177" t="n">
        <x:v>2016</x:v>
      </x:c>
      <x:c r="K1177" t="n">
        <x:v>18.26351455</x:v>
      </x:c>
      <x:c r="L1177" t="n">
        <x:v>-64.84359235</x:v>
      </x:c>
      <x:c r="M1177" t="n">
        <x:v>34.988</x:v>
      </x:c>
      <x:c r="N1177" t="str">
        <x:v>https://nccospublicstor.blob.core.windows.net/biomapper/usviinsularshelf2017/videos/low/GV2016_561.mp4</x:v>
      </x:c>
      <x:c r="O1177" t="n">
        <x:v>0</x:v>
      </x:c>
      <x:c r="P1177" t="n">
        <x:v>1</x:v>
      </x:c>
      <x:c r="Q1177" t="n">
        <x:v>1</x:v>
      </x:c>
      <x:c r="R1177" t="n">
        <x:v>0</x:v>
      </x:c>
      <x:c r="S1177" t="n">
        <x:v>0</x:v>
      </x:c>
      <x:c r="T1177" t="n">
        <x:v>0</x:v>
      </x:c>
      <x:c r="U1177" t="n">
        <x:v>1</x:v>
      </x:c>
      <x:c r="V1177" t="n">
        <x:v>1</x:v>
      </x:c>
      <x:c r="W1177" t="n">
        <x:v>0</x:v>
      </x:c>
      <x:c r="X1177" t="n">
        <x:v>0</x:v>
      </x:c>
      <x:c r="Y1177" t="n">
        <x:v>0</x:v>
      </x:c>
      <x:c r="Z1177" t="n">
        <x:v>2</x:v>
      </x:c>
      <x:c r="AA1177" t="n">
        <x:v>2</x:v>
      </x:c>
      <x:c r="AB1177" t="str">
        <x:v>Pass</x:v>
      </x:c>
      <x:c r="AC1177" t="str"/>
      <x:c r="AD1177" t="str"/>
    </x:row>
    <x:row r="1178">
      <x:c r="A1178" t="str">
        <x:v>REC1177</x:v>
      </x:c>
      <x:c r="B1178" t="n">
        <x:v>1176</x:v>
      </x:c>
      <x:c r="C1178" t="str">
        <x:v>St. John, USVI</x:v>
      </x:c>
      <x:c r="D1178" t="str">
        <x:v>GV</x:v>
      </x:c>
      <x:c r="E1178" t="str">
        <x:v>Ground Validation</x:v>
      </x:c>
      <x:c r="F1178" t="str">
        <x:v>HD Seaviewer Drop Camera</x:v>
      </x:c>
      <x:c r="G1178" t="str">
        <x:v>GV2016_562</x:v>
      </x:c>
      <x:c r="H1178" s="28" t="n">
        <x:v>42614</x:v>
      </x:c>
      <x:c r="I1178" t="str">
        <x:v>12:17:24</x:v>
      </x:c>
      <x:c r="J1178" t="n">
        <x:v>2016</x:v>
      </x:c>
      <x:c r="K1178" t="n">
        <x:v>18.30122657</x:v>
      </x:c>
      <x:c r="L1178" t="n">
        <x:v>-64.74854126</x:v>
      </x:c>
      <x:c r="M1178" t="n">
        <x:v>28.509</x:v>
      </x:c>
      <x:c r="N1178" t="str">
        <x:v>https://nccospublicstor.blob.core.windows.net/biomapper/usviinsularshelf2017/videos/low/GV2016_562.mp4</x:v>
      </x:c>
      <x:c r="O1178" t="n">
        <x:v>0</x:v>
      </x:c>
      <x:c r="P1178" t="n">
        <x:v>0</x:v>
      </x:c>
      <x:c r="Q1178" t="n">
        <x:v>0</x:v>
      </x:c>
      <x:c r="R1178" t="n">
        <x:v>1</x:v>
      </x:c>
      <x:c r="S1178" t="n">
        <x:v>0</x:v>
      </x:c>
      <x:c r="T1178" t="n">
        <x:v>0</x:v>
      </x:c>
      <x:c r="U1178" t="n">
        <x:v>0</x:v>
      </x:c>
      <x:c r="V1178" t="n">
        <x:v>1</x:v>
      </x:c>
      <x:c r="W1178" t="n">
        <x:v>1</x:v>
      </x:c>
      <x:c r="X1178" t="n">
        <x:v>1</x:v>
      </x:c>
      <x:c r="Y1178" t="n">
        <x:v>0</x:v>
      </x:c>
      <x:c r="Z1178" t="n">
        <x:v>1</x:v>
      </x:c>
      <x:c r="AA1178" t="n">
        <x:v>1</x:v>
      </x:c>
      <x:c r="AB1178" t="str">
        <x:v>Pass</x:v>
      </x:c>
      <x:c r="AC1178" t="str"/>
      <x:c r="AD1178" t="str">
        <x:v>Seagrass (Halophila stipulacea)</x:v>
      </x:c>
    </x:row>
    <x:row r="1179">
      <x:c r="A1179" t="str">
        <x:v>REC1178</x:v>
      </x:c>
      <x:c r="B1179" t="n">
        <x:v>1177</x:v>
      </x:c>
      <x:c r="C1179" t="str">
        <x:v>St. Thomas, USVI</x:v>
      </x:c>
      <x:c r="D1179" t="str">
        <x:v>GV</x:v>
      </x:c>
      <x:c r="E1179" t="str">
        <x:v>Ground Validation</x:v>
      </x:c>
      <x:c r="F1179" t="str">
        <x:v>HD Seaviewer Drop Camera</x:v>
      </x:c>
      <x:c r="G1179" t="str">
        <x:v>GV2016_563</x:v>
      </x:c>
      <x:c r="H1179" s="28" t="n">
        <x:v>42610</x:v>
      </x:c>
      <x:c r="I1179" t="str">
        <x:v>10:37:55</x:v>
      </x:c>
      <x:c r="J1179" t="n">
        <x:v>2016</x:v>
      </x:c>
      <x:c r="K1179" t="n">
        <x:v>18.21766806</x:v>
      </x:c>
      <x:c r="L1179" t="n">
        <x:v>-64.91388392</x:v>
      </x:c>
      <x:c r="M1179" t="n">
        <x:v>43.759</x:v>
      </x:c>
      <x:c r="N1179" t="str">
        <x:v>https://nccospublicstor.blob.core.windows.net/biomapper/usviinsularshelf2017/videos/low/GV2016_563.mp4</x:v>
      </x:c>
      <x:c r="O1179" t="n">
        <x:v>1</x:v>
      </x:c>
      <x:c r="P1179" t="n">
        <x:v>0</x:v>
      </x:c>
      <x:c r="Q1179" t="n">
        <x:v>0</x:v>
      </x:c>
      <x:c r="R1179" t="n">
        <x:v>0</x:v>
      </x:c>
      <x:c r="S1179" t="n">
        <x:v>1</x:v>
      </x:c>
      <x:c r="T1179" t="n">
        <x:v>1</x:v>
      </x:c>
      <x:c r="U1179" t="n">
        <x:v>1</x:v>
      </x:c>
      <x:c r="V1179" t="n">
        <x:v>1</x:v>
      </x:c>
      <x:c r="W1179" t="n">
        <x:v>0</x:v>
      </x:c>
      <x:c r="X1179" t="n">
        <x:v>0</x:v>
      </x:c>
      <x:c r="Y1179" t="n">
        <x:v>0</x:v>
      </x:c>
      <x:c r="Z1179" t="n">
        <x:v>1</x:v>
      </x:c>
      <x:c r="AA1179" t="n">
        <x:v>4</x:v>
      </x:c>
      <x:c r="AB1179" t="str">
        <x:v>Pass</x:v>
      </x:c>
      <x:c r="AC1179" t="str"/>
      <x:c r="AD1179" t="str">
        <x:v>Lionfish</x:v>
      </x:c>
    </x:row>
    <x:row r="1180">
      <x:c r="A1180" t="str">
        <x:v>REC1179</x:v>
      </x:c>
      <x:c r="B1180" t="n">
        <x:v>1178</x:v>
      </x:c>
      <x:c r="C1180" t="str">
        <x:v>St. John, USVI</x:v>
      </x:c>
      <x:c r="D1180" t="str">
        <x:v>GV</x:v>
      </x:c>
      <x:c r="E1180" t="str">
        <x:v>Ground Validation</x:v>
      </x:c>
      <x:c r="F1180" t="str">
        <x:v>HD Seaviewer Drop Camera</x:v>
      </x:c>
      <x:c r="G1180" t="str">
        <x:v>GV2016_564</x:v>
      </x:c>
      <x:c r="H1180" s="28" t="n">
        <x:v>42629</x:v>
      </x:c>
      <x:c r="I1180" t="str">
        <x:v>10:54:44</x:v>
      </x:c>
      <x:c r="J1180" t="n">
        <x:v>2016</x:v>
      </x:c>
      <x:c r="K1180" t="n">
        <x:v>18.19933145</x:v>
      </x:c>
      <x:c r="L1180" t="n">
        <x:v>-64.80204228</x:v>
      </x:c>
      <x:c r="M1180" t="n">
        <x:v>55.047</x:v>
      </x:c>
      <x:c r="N1180" t="str">
        <x:v>https://nccospublicstor.blob.core.windows.net/biomapper/usviinsularshelf2017/videos/low/GV2016_564.mp4</x:v>
      </x:c>
      <x:c r="O1180" t="n">
        <x:v>0</x:v>
      </x:c>
      <x:c r="P1180" t="n">
        <x:v>0</x:v>
      </x:c>
      <x:c r="Q1180" t="n">
        <x:v>1</x:v>
      </x:c>
      <x:c r="R1180" t="n">
        <x:v>0</x:v>
      </x:c>
      <x:c r="S1180" t="n">
        <x:v>1</x:v>
      </x:c>
      <x:c r="T1180" t="n">
        <x:v>0</x:v>
      </x:c>
      <x:c r="U1180" t="n">
        <x:v>1</x:v>
      </x:c>
      <x:c r="V1180" t="n">
        <x:v>1</x:v>
      </x:c>
      <x:c r="W1180" t="n">
        <x:v>0</x:v>
      </x:c>
      <x:c r="X1180" t="n">
        <x:v>0</x:v>
      </x:c>
      <x:c r="Y1180" t="n">
        <x:v>0</x:v>
      </x:c>
      <x:c r="Z1180" t="n">
        <x:v>1</x:v>
      </x:c>
      <x:c r="AA1180" t="n">
        <x:v>3</x:v>
      </x:c>
      <x:c r="AB1180" t="str">
        <x:v>Pass</x:v>
      </x:c>
      <x:c r="AC1180" t="str"/>
      <x:c r="AD1180" t="str"/>
    </x:row>
    <x:row r="1181">
      <x:c r="A1181" t="str">
        <x:v>REC1180</x:v>
      </x:c>
      <x:c r="B1181" t="n">
        <x:v>1179</x:v>
      </x:c>
      <x:c r="C1181" t="str">
        <x:v>St. John, USVI</x:v>
      </x:c>
      <x:c r="D1181" t="str">
        <x:v>GV</x:v>
      </x:c>
      <x:c r="E1181" t="str">
        <x:v>Ground Validation</x:v>
      </x:c>
      <x:c r="F1181" t="str">
        <x:v>HD Seaviewer Drop Camera</x:v>
      </x:c>
      <x:c r="G1181" t="str">
        <x:v>GV2016_565</x:v>
      </x:c>
      <x:c r="H1181" s="28" t="n">
        <x:v>42624</x:v>
      </x:c>
      <x:c r="I1181" t="str">
        <x:v>12:05:46</x:v>
      </x:c>
      <x:c r="J1181" t="n">
        <x:v>2016</x:v>
      </x:c>
      <x:c r="K1181" t="n">
        <x:v>18.27892692</x:v>
      </x:c>
      <x:c r="L1181" t="n">
        <x:v>-64.75378577</x:v>
      </x:c>
      <x:c r="M1181" t="n">
        <x:v>33.957</x:v>
      </x:c>
      <x:c r="N1181" t="str">
        <x:v>https://nccospublicstor.blob.core.windows.net/biomapper/usviinsularshelf2017/videos/low/GV2016_565.mp4</x:v>
      </x:c>
      <x:c r="O1181" t="n">
        <x:v>0</x:v>
      </x:c>
      <x:c r="P1181" t="n">
        <x:v>0</x:v>
      </x:c>
      <x:c r="Q1181" t="n">
        <x:v>0</x:v>
      </x:c>
      <x:c r="R1181" t="n">
        <x:v>1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1</x:v>
      </x:c>
      <x:c r="AA1181" t="n">
        <x:v>0</x:v>
      </x:c>
      <x:c r="AB1181" t="str">
        <x:v>Pass</x:v>
      </x:c>
      <x:c r="AC1181" t="str"/>
      <x:c r="AD1181" t="str"/>
    </x:row>
    <x:row r="1182">
      <x:c r="A1182" t="str">
        <x:v>REC1181</x:v>
      </x:c>
      <x:c r="B1182" t="n">
        <x:v>1180</x:v>
      </x:c>
      <x:c r="C1182" t="str">
        <x:v>St. Thomas, USVI</x:v>
      </x:c>
      <x:c r="D1182" t="str">
        <x:v>GV</x:v>
      </x:c>
      <x:c r="E1182" t="str">
        <x:v>Ground Validation</x:v>
      </x:c>
      <x:c r="F1182" t="str">
        <x:v>HD Seaviewer Drop Camera</x:v>
      </x:c>
      <x:c r="G1182" t="str">
        <x:v>GV2016_566</x:v>
      </x:c>
      <x:c r="H1182" s="28" t="n">
        <x:v>42609</x:v>
      </x:c>
      <x:c r="I1182" t="str">
        <x:v>12:29:44</x:v>
      </x:c>
      <x:c r="J1182" t="n">
        <x:v>2016</x:v>
      </x:c>
      <x:c r="K1182" t="n">
        <x:v>18.25496072</x:v>
      </x:c>
      <x:c r="L1182" t="n">
        <x:v>-64.99332501</x:v>
      </x:c>
      <x:c r="M1182" t="n">
        <x:v>37.153</x:v>
      </x:c>
      <x:c r="N1182" t="str">
        <x:v>https://nccospublicstor.blob.core.windows.net/biomapper/usviinsularshelf2017/videos/low/GV2016_566.mp4</x:v>
      </x:c>
      <x:c r="O1182" t="n">
        <x:v>0</x:v>
      </x:c>
      <x:c r="P1182" t="n">
        <x:v>0</x:v>
      </x:c>
      <x:c r="Q1182" t="n">
        <x:v>1</x:v>
      </x:c>
      <x:c r="R1182" t="n">
        <x:v>1</x:v>
      </x:c>
      <x:c r="S1182" t="n">
        <x:v>0</x:v>
      </x:c>
      <x:c r="T1182" t="n">
        <x:v>0</x:v>
      </x:c>
      <x:c r="U1182" t="n">
        <x:v>1</x:v>
      </x:c>
      <x:c r="V1182" t="n">
        <x:v>1</x:v>
      </x:c>
      <x:c r="W1182" t="n">
        <x:v>0</x:v>
      </x:c>
      <x:c r="X1182" t="n">
        <x:v>0</x:v>
      </x:c>
      <x:c r="Y1182" t="n">
        <x:v>0</x:v>
      </x:c>
      <x:c r="Z1182" t="n">
        <x:v>2</x:v>
      </x:c>
      <x:c r="AA1182" t="n">
        <x:v>2</x:v>
      </x:c>
      <x:c r="AB1182" t="str">
        <x:v>Pass</x:v>
      </x:c>
      <x:c r="AC1182" t="str"/>
      <x:c r="AD1182" t="str"/>
    </x:row>
    <x:row r="1183">
      <x:c r="A1183" t="str">
        <x:v>REC1182</x:v>
      </x:c>
      <x:c r="B1183" t="n">
        <x:v>1181</x:v>
      </x:c>
      <x:c r="C1183" t="str">
        <x:v>St. Thomas, USVI</x:v>
      </x:c>
      <x:c r="D1183" t="str">
        <x:v>GV</x:v>
      </x:c>
      <x:c r="E1183" t="str">
        <x:v>Ground Validation</x:v>
      </x:c>
      <x:c r="F1183" t="str">
        <x:v>HD Seaviewer Drop Camera</x:v>
      </x:c>
      <x:c r="G1183" t="str">
        <x:v>GV2016_567</x:v>
      </x:c>
      <x:c r="H1183" s="28" t="n">
        <x:v>42609</x:v>
      </x:c>
      <x:c r="I1183" t="str">
        <x:v>08:29:35</x:v>
      </x:c>
      <x:c r="J1183" t="n">
        <x:v>2016</x:v>
      </x:c>
      <x:c r="K1183" t="n">
        <x:v>18.20131147</x:v>
      </x:c>
      <x:c r="L1183" t="n">
        <x:v>-65.09203975</x:v>
      </x:c>
      <x:c r="M1183" t="n">
        <x:v>37.674</x:v>
      </x:c>
      <x:c r="N1183" t="str">
        <x:v>https://nccospublicstor.blob.core.windows.net/biomapper/usviinsularshelf2017/videos/low/GV2016_567.mp4</x:v>
      </x:c>
      <x:c r="O1183" t="n">
        <x:v>1</x:v>
      </x:c>
      <x:c r="P1183" t="n">
        <x:v>0</x:v>
      </x:c>
      <x:c r="Q1183" t="n">
        <x:v>0</x:v>
      </x:c>
      <x:c r="R1183" t="n">
        <x:v>0</x:v>
      </x:c>
      <x:c r="S1183" t="n">
        <x:v>1</x:v>
      </x:c>
      <x:c r="T1183" t="n">
        <x:v>0</x:v>
      </x:c>
      <x:c r="U1183" t="n">
        <x:v>1</x:v>
      </x:c>
      <x:c r="V1183" t="n">
        <x:v>1</x:v>
      </x:c>
      <x:c r="W1183" t="n">
        <x:v>0</x:v>
      </x:c>
      <x:c r="X1183" t="n">
        <x:v>0</x:v>
      </x:c>
      <x:c r="Y1183" t="n">
        <x:v>0</x:v>
      </x:c>
      <x:c r="Z1183" t="n">
        <x:v>1</x:v>
      </x:c>
      <x:c r="AA1183" t="n">
        <x:v>3</x:v>
      </x:c>
      <x:c r="AB1183" t="str">
        <x:v>Pass</x:v>
      </x:c>
      <x:c r="AC1183" t="str"/>
      <x:c r="AD1183" t="str"/>
    </x:row>
    <x:row r="1184">
      <x:c r="A1184" t="str">
        <x:v>REC1183</x:v>
      </x:c>
      <x:c r="B1184" t="n">
        <x:v>1182</x:v>
      </x:c>
      <x:c r="C1184" t="str">
        <x:v>St. Thomas, USVI</x:v>
      </x:c>
      <x:c r="D1184" t="str">
        <x:v>GV</x:v>
      </x:c>
      <x:c r="E1184" t="str">
        <x:v>Ground Validation</x:v>
      </x:c>
      <x:c r="F1184" t="str">
        <x:v>HD Seaviewer Drop Camera</x:v>
      </x:c>
      <x:c r="G1184" t="str">
        <x:v>GV2016_568</x:v>
      </x:c>
      <x:c r="H1184" s="28" t="n">
        <x:v>42608</x:v>
      </x:c>
      <x:c r="I1184" t="str">
        <x:v>10:58:03</x:v>
      </x:c>
      <x:c r="J1184" t="n">
        <x:v>2016</x:v>
      </x:c>
      <x:c r="K1184" t="n">
        <x:v>18.20908003</x:v>
      </x:c>
      <x:c r="L1184" t="n">
        <x:v>-65.00831676</x:v>
      </x:c>
      <x:c r="M1184" t="n">
        <x:v>44.215</x:v>
      </x:c>
      <x:c r="N1184" t="str">
        <x:v>https://nccospublicstor.blob.core.windows.net/biomapper/usviinsularshelf2017/videos/low/GV2016_568.mp4</x:v>
      </x:c>
      <x:c r="O1184" t="n">
        <x:v>1</x:v>
      </x:c>
      <x:c r="P1184" t="n">
        <x:v>0</x:v>
      </x:c>
      <x:c r="Q1184" t="n">
        <x:v>0</x:v>
      </x:c>
      <x:c r="R1184" t="n">
        <x:v>0</x:v>
      </x:c>
      <x:c r="S1184" t="n">
        <x:v>1</x:v>
      </x:c>
      <x:c r="T1184" t="n">
        <x:v>0</x:v>
      </x:c>
      <x:c r="U1184" t="n">
        <x:v>1</x:v>
      </x:c>
      <x:c r="V1184" t="n">
        <x:v>1</x:v>
      </x:c>
      <x:c r="W1184" t="n">
        <x:v>0</x:v>
      </x:c>
      <x:c r="X1184" t="n">
        <x:v>0</x:v>
      </x:c>
      <x:c r="Y1184" t="n">
        <x:v>0</x:v>
      </x:c>
      <x:c r="Z1184" t="n">
        <x:v>1</x:v>
      </x:c>
      <x:c r="AA1184" t="n">
        <x:v>3</x:v>
      </x:c>
      <x:c r="AB1184" t="str">
        <x:v>Pass</x:v>
      </x:c>
      <x:c r="AC1184" t="str"/>
      <x:c r="AD1184" t="str"/>
    </x:row>
    <x:row r="1185">
      <x:c r="A1185" t="str">
        <x:v>REC1184</x:v>
      </x:c>
      <x:c r="B1185" t="n">
        <x:v>1183</x:v>
      </x:c>
      <x:c r="C1185" t="str">
        <x:v>Puerto Rico</x:v>
      </x:c>
      <x:c r="D1185" t="str">
        <x:v>GV</x:v>
      </x:c>
      <x:c r="E1185" t="str">
        <x:v>Ground Validation</x:v>
      </x:c>
      <x:c r="F1185" t="str">
        <x:v>HD Seaviewer Drop Camera</x:v>
      </x:c>
      <x:c r="G1185" t="str">
        <x:v>GV2016_570</x:v>
      </x:c>
      <x:c r="H1185" s="28" t="n">
        <x:v>42605</x:v>
      </x:c>
      <x:c r="I1185" t="str">
        <x:v>10:26:29</x:v>
      </x:c>
      <x:c r="J1185" t="n">
        <x:v>2016</x:v>
      </x:c>
      <x:c r="K1185" t="n">
        <x:v>18.20341375</x:v>
      </x:c>
      <x:c r="L1185" t="n">
        <x:v>-65.15242692</x:v>
      </x:c>
      <x:c r="M1185" t="n">
        <x:v>39.599</x:v>
      </x:c>
      <x:c r="N1185" t="str">
        <x:v>https://nccospublicstor.blob.core.windows.net/biomapper/usviinsularshelf2017/videos/low/GV2016_570.mp4</x:v>
      </x:c>
      <x:c r="O1185" t="n">
        <x:v>1</x:v>
      </x:c>
      <x:c r="P1185" t="n">
        <x:v>0</x:v>
      </x:c>
      <x:c r="Q1185" t="n">
        <x:v>0</x:v>
      </x:c>
      <x:c r="R1185" t="n">
        <x:v>1</x:v>
      </x:c>
      <x:c r="S1185" t="n">
        <x:v>1</x:v>
      </x:c>
      <x:c r="T1185" t="n">
        <x:v>0</x:v>
      </x:c>
      <x:c r="U1185" t="n">
        <x:v>1</x:v>
      </x:c>
      <x:c r="V1185" t="n">
        <x:v>1</x:v>
      </x:c>
      <x:c r="W1185" t="n">
        <x:v>0</x:v>
      </x:c>
      <x:c r="X1185" t="n">
        <x:v>0</x:v>
      </x:c>
      <x:c r="Y1185" t="n">
        <x:v>0</x:v>
      </x:c>
      <x:c r="Z1185" t="n">
        <x:v>2</x:v>
      </x:c>
      <x:c r="AA1185" t="n">
        <x:v>3</x:v>
      </x:c>
      <x:c r="AB1185" t="str">
        <x:v>Pass</x:v>
      </x:c>
      <x:c r="AC1185" t="str"/>
      <x:c r="AD1185" t="str"/>
    </x:row>
    <x:row r="1186">
      <x:c r="A1186" t="str">
        <x:v>REC1185</x:v>
      </x:c>
      <x:c r="B1186" t="n">
        <x:v>1184</x:v>
      </x:c>
      <x:c r="C1186" t="str">
        <x:v>St. Thomas, USVI</x:v>
      </x:c>
      <x:c r="D1186" t="str">
        <x:v>GV</x:v>
      </x:c>
      <x:c r="E1186" t="str">
        <x:v>Ground Validation</x:v>
      </x:c>
      <x:c r="F1186" t="str">
        <x:v>HD Seaviewer Drop Camera</x:v>
      </x:c>
      <x:c r="G1186" t="str">
        <x:v>GV2016_571</x:v>
      </x:c>
      <x:c r="H1186" s="28" t="n">
        <x:v>42608</x:v>
      </x:c>
      <x:c r="I1186" t="str">
        <x:v>10:43:52</x:v>
      </x:c>
      <x:c r="J1186" t="n">
        <x:v>2016</x:v>
      </x:c>
      <x:c r="K1186" t="n">
        <x:v>18.20901313</x:v>
      </x:c>
      <x:c r="L1186" t="n">
        <x:v>-65.00254076</x:v>
      </x:c>
      <x:c r="M1186" t="n">
        <x:v>45.541</x:v>
      </x:c>
      <x:c r="N1186" t="str">
        <x:v>https://nccospublicstor.blob.core.windows.net/biomapper/usviinsularshelf2017/videos/low/GV2016_571.mp4</x:v>
      </x:c>
      <x:c r="O1186" t="n">
        <x:v>1</x:v>
      </x:c>
      <x:c r="P1186" t="n">
        <x:v>0</x:v>
      </x:c>
      <x:c r="Q1186" t="n">
        <x:v>0</x:v>
      </x:c>
      <x:c r="R1186" t="n">
        <x:v>0</x:v>
      </x:c>
      <x:c r="S1186" t="n">
        <x:v>1</x:v>
      </x:c>
      <x:c r="T1186" t="n">
        <x:v>0</x:v>
      </x:c>
      <x:c r="U1186" t="n">
        <x:v>1</x:v>
      </x:c>
      <x:c r="V1186" t="n">
        <x:v>1</x:v>
      </x:c>
      <x:c r="W1186" t="n">
        <x:v>0</x:v>
      </x:c>
      <x:c r="X1186" t="n">
        <x:v>0</x:v>
      </x:c>
      <x:c r="Y1186" t="n">
        <x:v>0</x:v>
      </x:c>
      <x:c r="Z1186" t="n">
        <x:v>1</x:v>
      </x:c>
      <x:c r="AA1186" t="n">
        <x:v>3</x:v>
      </x:c>
      <x:c r="AB1186" t="str">
        <x:v>Pass</x:v>
      </x:c>
      <x:c r="AC1186" t="str"/>
      <x:c r="AD1186" t="str"/>
    </x:row>
    <x:row r="1187">
      <x:c r="A1187" t="str">
        <x:v>REC1186</x:v>
      </x:c>
      <x:c r="B1187" t="n">
        <x:v>1185</x:v>
      </x:c>
      <x:c r="C1187" t="str">
        <x:v>St. John, USVI</x:v>
      </x:c>
      <x:c r="D1187" t="str">
        <x:v>GV</x:v>
      </x:c>
      <x:c r="E1187" t="str">
        <x:v>Ground Validation</x:v>
      </x:c>
      <x:c r="F1187" t="str">
        <x:v>HD Seaviewer Drop Camera</x:v>
      </x:c>
      <x:c r="G1187" t="str">
        <x:v>GV2016_572</x:v>
      </x:c>
      <x:c r="H1187" s="28" t="n">
        <x:v>42624</x:v>
      </x:c>
      <x:c r="I1187" t="str">
        <x:v>10:21:42</x:v>
      </x:c>
      <x:c r="J1187" t="n">
        <x:v>2016</x:v>
      </x:c>
      <x:c r="K1187" t="n">
        <x:v>18.29383137</x:v>
      </x:c>
      <x:c r="L1187" t="n">
        <x:v>-64.68505763</x:v>
      </x:c>
      <x:c r="M1187" t="n">
        <x:v>33.934</x:v>
      </x:c>
      <x:c r="N1187" t="str">
        <x:v>https://nccospublicstor.blob.core.windows.net/biomapper/usviinsularshelf2017/videos/low/GV2016_572.mp4</x:v>
      </x:c>
      <x:c r="O1187" t="n">
        <x:v>0</x:v>
      </x:c>
      <x:c r="P1187" t="n">
        <x:v>0</x:v>
      </x:c>
      <x:c r="Q1187" t="n">
        <x:v>1</x:v>
      </x:c>
      <x:c r="R1187" t="n">
        <x:v>0</x:v>
      </x:c>
      <x:c r="S1187" t="n">
        <x:v>0</x:v>
      </x:c>
      <x:c r="T1187" t="n">
        <x:v>0</x:v>
      </x:c>
      <x:c r="U1187" t="n">
        <x:v>1</x:v>
      </x:c>
      <x:c r="V1187" t="n">
        <x:v>1</x:v>
      </x:c>
      <x:c r="W1187" t="n">
        <x:v>0</x:v>
      </x:c>
      <x:c r="X1187" t="n">
        <x:v>0</x:v>
      </x:c>
      <x:c r="Y1187" t="n">
        <x:v>0</x:v>
      </x:c>
      <x:c r="Z1187" t="n">
        <x:v>1</x:v>
      </x:c>
      <x:c r="AA1187" t="n">
        <x:v>2</x:v>
      </x:c>
      <x:c r="AB1187" t="str">
        <x:v>Pass</x:v>
      </x:c>
      <x:c r="AC1187" t="str"/>
      <x:c r="AD1187" t="str"/>
    </x:row>
    <x:row r="1188">
      <x:c r="A1188" t="str">
        <x:v>REC1187</x:v>
      </x:c>
      <x:c r="B1188" t="n">
        <x:v>1186</x:v>
      </x:c>
      <x:c r="C1188" t="str">
        <x:v>Puerto Rico</x:v>
      </x:c>
      <x:c r="D1188" t="str">
        <x:v>GV</x:v>
      </x:c>
      <x:c r="E1188" t="str">
        <x:v>Ground Validation</x:v>
      </x:c>
      <x:c r="F1188" t="str">
        <x:v>HD Seaviewer Drop Camera</x:v>
      </x:c>
      <x:c r="G1188" t="str">
        <x:v>GV2016_573</x:v>
      </x:c>
      <x:c r="H1188" s="28" t="n">
        <x:v>42605</x:v>
      </x:c>
      <x:c r="I1188" t="str">
        <x:v>12:16:02</x:v>
      </x:c>
      <x:c r="J1188" t="n">
        <x:v>2016</x:v>
      </x:c>
      <x:c r="K1188" t="n">
        <x:v>18.17785201</x:v>
      </x:c>
      <x:c r="L1188" t="n">
        <x:v>-65.15549914</x:v>
      </x:c>
      <x:c r="M1188" t="n">
        <x:v>49.654</x:v>
      </x:c>
      <x:c r="N1188" t="str">
        <x:v>https://nccospublicstor.blob.core.windows.net/biomapper/usviinsularshelf2017/videos/low/GV2016_573.mp4</x:v>
      </x:c>
      <x:c r="O1188" t="n">
        <x:v>1</x:v>
      </x:c>
      <x:c r="P1188" t="n">
        <x:v>0</x:v>
      </x:c>
      <x:c r="Q1188" t="n">
        <x:v>0</x:v>
      </x:c>
      <x:c r="R1188" t="n">
        <x:v>1</x:v>
      </x:c>
      <x:c r="S1188" t="n">
        <x:v>1</x:v>
      </x:c>
      <x:c r="T1188" t="n">
        <x:v>0</x:v>
      </x:c>
      <x:c r="U1188" t="n">
        <x:v>1</x:v>
      </x:c>
      <x:c r="V1188" t="n">
        <x:v>1</x:v>
      </x:c>
      <x:c r="W1188" t="n">
        <x:v>0</x:v>
      </x:c>
      <x:c r="X1188" t="n">
        <x:v>0</x:v>
      </x:c>
      <x:c r="Y1188" t="n">
        <x:v>0</x:v>
      </x:c>
      <x:c r="Z1188" t="n">
        <x:v>2</x:v>
      </x:c>
      <x:c r="AA1188" t="n">
        <x:v>3</x:v>
      </x:c>
      <x:c r="AB1188" t="str">
        <x:v>Pass</x:v>
      </x:c>
      <x:c r="AC1188" t="str"/>
      <x:c r="AD1188" t="str"/>
    </x:row>
    <x:row r="1189">
      <x:c r="A1189" t="str">
        <x:v>REC1188</x:v>
      </x:c>
      <x:c r="B1189" t="n">
        <x:v>1187</x:v>
      </x:c>
      <x:c r="C1189" t="str">
        <x:v>St. Thomas, USVI</x:v>
      </x:c>
      <x:c r="D1189" t="str">
        <x:v>GV</x:v>
      </x:c>
      <x:c r="E1189" t="str">
        <x:v>Ground Validation</x:v>
      </x:c>
      <x:c r="F1189" t="str">
        <x:v>HD Seaviewer Drop Camera</x:v>
      </x:c>
      <x:c r="G1189" t="str">
        <x:v>GV2016_574</x:v>
      </x:c>
      <x:c r="H1189" s="28" t="n">
        <x:v>42608</x:v>
      </x:c>
      <x:c r="I1189" t="str">
        <x:v>14:24:42</x:v>
      </x:c>
      <x:c r="J1189" t="n">
        <x:v>2016</x:v>
      </x:c>
      <x:c r="K1189" t="n">
        <x:v>18.19805007</x:v>
      </x:c>
      <x:c r="L1189" t="n">
        <x:v>-65.12800503</x:v>
      </x:c>
      <x:c r="M1189" t="n">
        <x:v>40.519</x:v>
      </x:c>
      <x:c r="N1189" t="str">
        <x:v>https://nccospublicstor.blob.core.windows.net/biomapper/usviinsularshelf2017/videos/low/GV2016_574.mp4</x:v>
      </x:c>
      <x:c r="O1189" t="n">
        <x:v>1</x:v>
      </x:c>
      <x:c r="P1189" t="n">
        <x:v>0</x:v>
      </x:c>
      <x:c r="Q1189" t="n">
        <x:v>0</x:v>
      </x:c>
      <x:c r="R1189" t="n">
        <x:v>0</x:v>
      </x:c>
      <x:c r="S1189" t="n">
        <x:v>1</x:v>
      </x:c>
      <x:c r="T1189" t="n">
        <x:v>1</x:v>
      </x:c>
      <x:c r="U1189" t="n">
        <x:v>1</x:v>
      </x:c>
      <x:c r="V1189" t="n">
        <x:v>1</x:v>
      </x:c>
      <x:c r="W1189" t="n">
        <x:v>0</x:v>
      </x:c>
      <x:c r="X1189" t="n">
        <x:v>0</x:v>
      </x:c>
      <x:c r="Y1189" t="n">
        <x:v>0</x:v>
      </x:c>
      <x:c r="Z1189" t="n">
        <x:v>1</x:v>
      </x:c>
      <x:c r="AA1189" t="n">
        <x:v>4</x:v>
      </x:c>
      <x:c r="AB1189" t="str">
        <x:v>Pass</x:v>
      </x:c>
      <x:c r="AC1189" t="str"/>
      <x:c r="AD1189" t="str"/>
    </x:row>
    <x:row r="1190">
      <x:c r="A1190" t="str">
        <x:v>REC1189</x:v>
      </x:c>
      <x:c r="B1190" t="n">
        <x:v>1188</x:v>
      </x:c>
      <x:c r="C1190" t="str">
        <x:v>St. Thomas, USVI</x:v>
      </x:c>
      <x:c r="D1190" t="str">
        <x:v>GV</x:v>
      </x:c>
      <x:c r="E1190" t="str">
        <x:v>Ground Validation</x:v>
      </x:c>
      <x:c r="F1190" t="str">
        <x:v>HD Seaviewer Drop Camera</x:v>
      </x:c>
      <x:c r="G1190" t="str">
        <x:v>GV2016_575</x:v>
      </x:c>
      <x:c r="H1190" s="28" t="n">
        <x:v>42612</x:v>
      </x:c>
      <x:c r="I1190" t="str">
        <x:v>13:41:33</x:v>
      </x:c>
      <x:c r="J1190" t="n">
        <x:v>2016</x:v>
      </x:c>
      <x:c r="K1190" t="n">
        <x:v>18.27933169</x:v>
      </x:c>
      <x:c r="L1190" t="n">
        <x:v>-64.82677296</x:v>
      </x:c>
      <x:c r="M1190" t="n">
        <x:v>21.318</x:v>
      </x:c>
      <x:c r="N1190" t="str">
        <x:v>https://nccospublicstor.blob.core.windows.net/biomapper/usviinsularshelf2017/videos/low/GV2016_575.mp4</x:v>
      </x:c>
      <x:c r="O1190" t="n">
        <x:v>0</x:v>
      </x:c>
      <x:c r="P1190" t="n">
        <x:v>1</x:v>
      </x:c>
      <x:c r="Q1190" t="n">
        <x:v>0</x:v>
      </x:c>
      <x:c r="R1190" t="n">
        <x:v>1</x:v>
      </x:c>
      <x:c r="S1190" t="n">
        <x:v>0</x:v>
      </x:c>
      <x:c r="T1190" t="n">
        <x:v>0</x:v>
      </x:c>
      <x:c r="U1190" t="n">
        <x:v>1</x:v>
      </x:c>
      <x:c r="V1190" t="n">
        <x:v>1</x:v>
      </x:c>
      <x:c r="W1190" t="n">
        <x:v>0</x:v>
      </x:c>
      <x:c r="X1190" t="n">
        <x:v>0</x:v>
      </x:c>
      <x:c r="Y1190" t="n">
        <x:v>0</x:v>
      </x:c>
      <x:c r="Z1190" t="n">
        <x:v>2</x:v>
      </x:c>
      <x:c r="AA1190" t="n">
        <x:v>2</x:v>
      </x:c>
      <x:c r="AB1190" t="str">
        <x:v>Pass</x:v>
      </x:c>
      <x:c r="AC1190" t="str"/>
      <x:c r="AD1190" t="str"/>
    </x:row>
    <x:row r="1191">
      <x:c r="A1191" t="str">
        <x:v>REC1190</x:v>
      </x:c>
      <x:c r="B1191" t="n">
        <x:v>1189</x:v>
      </x:c>
      <x:c r="C1191" t="str">
        <x:v>St. Thomas, USVI</x:v>
      </x:c>
      <x:c r="D1191" t="str">
        <x:v>GV</x:v>
      </x:c>
      <x:c r="E1191" t="str">
        <x:v>Ground Validation</x:v>
      </x:c>
      <x:c r="F1191" t="str">
        <x:v>HD Seaviewer Drop Camera</x:v>
      </x:c>
      <x:c r="G1191" t="str">
        <x:v>GV2016_576</x:v>
      </x:c>
      <x:c r="H1191" s="28" t="n">
        <x:v>42608</x:v>
      </x:c>
      <x:c r="I1191" t="str">
        <x:v>13:45:15</x:v>
      </x:c>
      <x:c r="J1191" t="n">
        <x:v>2016</x:v>
      </x:c>
      <x:c r="K1191" t="n">
        <x:v>18.18272026</x:v>
      </x:c>
      <x:c r="L1191" t="n">
        <x:v>-65.08926914</x:v>
      </x:c>
      <x:c r="M1191" t="n">
        <x:v>30.81</x:v>
      </x:c>
      <x:c r="N1191" t="str">
        <x:v>https://nccospublicstor.blob.core.windows.net/biomapper/usviinsularshelf2017/videos/low/GV2016_576.mp4</x:v>
      </x:c>
      <x:c r="O1191" t="n">
        <x:v>1</x:v>
      </x:c>
      <x:c r="P1191" t="n">
        <x:v>0</x:v>
      </x:c>
      <x:c r="Q1191" t="n">
        <x:v>0</x:v>
      </x:c>
      <x:c r="R1191" t="n">
        <x:v>0</x:v>
      </x:c>
      <x:c r="S1191" t="n">
        <x:v>1</x:v>
      </x:c>
      <x:c r="T1191" t="n">
        <x:v>1</x:v>
      </x:c>
      <x:c r="U1191" t="n">
        <x:v>1</x:v>
      </x:c>
      <x:c r="V1191" t="n">
        <x:v>1</x:v>
      </x:c>
      <x:c r="W1191" t="n">
        <x:v>0</x:v>
      </x:c>
      <x:c r="X1191" t="n">
        <x:v>0</x:v>
      </x:c>
      <x:c r="Y1191" t="n">
        <x:v>0</x:v>
      </x:c>
      <x:c r="Z1191" t="n">
        <x:v>1</x:v>
      </x:c>
      <x:c r="AA1191" t="n">
        <x:v>4</x:v>
      </x:c>
      <x:c r="AB1191" t="str">
        <x:v>Pass</x:v>
      </x:c>
      <x:c r="AC1191" t="str"/>
      <x:c r="AD1191" t="str">
        <x:v>High Coral cover &gt;70%</x:v>
      </x:c>
    </x:row>
    <x:row r="1192">
      <x:c r="A1192" t="str">
        <x:v>REC1191</x:v>
      </x:c>
      <x:c r="B1192" t="n">
        <x:v>1190</x:v>
      </x:c>
      <x:c r="C1192" t="str">
        <x:v>St. John, USVI</x:v>
      </x:c>
      <x:c r="D1192" t="str">
        <x:v>GV</x:v>
      </x:c>
      <x:c r="E1192" t="str">
        <x:v>Ground Validation</x:v>
      </x:c>
      <x:c r="F1192" t="str">
        <x:v>HD Seaviewer Drop Camera</x:v>
      </x:c>
      <x:c r="G1192" t="str">
        <x:v>GV2016_577</x:v>
      </x:c>
      <x:c r="H1192" s="28" t="n">
        <x:v>42615</x:v>
      </x:c>
      <x:c r="I1192" t="str">
        <x:v>11:30:57</x:v>
      </x:c>
      <x:c r="J1192" t="n">
        <x:v>2016</x:v>
      </x:c>
      <x:c r="K1192" t="n">
        <x:v>18.29456048</x:v>
      </x:c>
      <x:c r="L1192" t="n">
        <x:v>-64.71132213</x:v>
      </x:c>
      <x:c r="M1192" t="n">
        <x:v>28.62</x:v>
      </x:c>
      <x:c r="N1192" t="str">
        <x:v>https://nccospublicstor.blob.core.windows.net/biomapper/usviinsularshelf2017/videos/low/GV2016_577.mp4</x:v>
      </x:c>
      <x:c r="O1192" t="n">
        <x:v>0</x:v>
      </x:c>
      <x:c r="P1192" t="n">
        <x:v>0</x:v>
      </x:c>
      <x:c r="Q1192" t="n">
        <x:v>1</x:v>
      </x:c>
      <x:c r="R1192" t="n">
        <x:v>1</x:v>
      </x:c>
      <x:c r="S1192" t="n">
        <x:v>0</x:v>
      </x:c>
      <x:c r="T1192" t="n">
        <x:v>0</x:v>
      </x:c>
      <x:c r="U1192" t="n">
        <x:v>1</x:v>
      </x:c>
      <x:c r="V1192" t="n">
        <x:v>1</x:v>
      </x:c>
      <x:c r="W1192" t="n">
        <x:v>0</x:v>
      </x:c>
      <x:c r="X1192" t="n">
        <x:v>0</x:v>
      </x:c>
      <x:c r="Y1192" t="n">
        <x:v>0</x:v>
      </x:c>
      <x:c r="Z1192" t="n">
        <x:v>2</x:v>
      </x:c>
      <x:c r="AA1192" t="n">
        <x:v>2</x:v>
      </x:c>
      <x:c r="AB1192" t="str">
        <x:v>Pass</x:v>
      </x:c>
      <x:c r="AC1192" t="str"/>
      <x:c r="AD1192" t="str"/>
    </x:row>
    <x:row r="1193">
      <x:c r="A1193" t="str">
        <x:v>REC1192</x:v>
      </x:c>
      <x:c r="B1193" t="n">
        <x:v>1191</x:v>
      </x:c>
      <x:c r="C1193" t="str">
        <x:v>St. Thomas, USVI</x:v>
      </x:c>
      <x:c r="D1193" t="str">
        <x:v>GV</x:v>
      </x:c>
      <x:c r="E1193" t="str">
        <x:v>Ground Validation</x:v>
      </x:c>
      <x:c r="F1193" t="str">
        <x:v>HD Seaviewer Drop Camera</x:v>
      </x:c>
      <x:c r="G1193" t="str">
        <x:v>GV2016_578</x:v>
      </x:c>
      <x:c r="H1193" s="28" t="n">
        <x:v>42607</x:v>
      </x:c>
      <x:c r="I1193" t="str">
        <x:v>12:37:00</x:v>
      </x:c>
      <x:c r="J1193" t="n">
        <x:v>2016</x:v>
      </x:c>
      <x:c r="K1193" t="n">
        <x:v>18.24006373</x:v>
      </x:c>
      <x:c r="L1193" t="n">
        <x:v>-65.13147759</x:v>
      </x:c>
      <x:c r="M1193" t="n">
        <x:v>38.754</x:v>
      </x:c>
      <x:c r="N1193" t="str">
        <x:v>https://nccospublicstor.blob.core.windows.net/biomapper/usviinsularshelf2017/videos/low/GV2016_578.mp4</x:v>
      </x:c>
      <x:c r="O1193" t="n">
        <x:v>1</x:v>
      </x:c>
      <x:c r="P1193" t="n">
        <x:v>0</x:v>
      </x:c>
      <x:c r="Q1193" t="n">
        <x:v>0</x:v>
      </x:c>
      <x:c r="R1193" t="n">
        <x:v>0</x:v>
      </x:c>
      <x:c r="S1193" t="n">
        <x:v>1</x:v>
      </x:c>
      <x:c r="T1193" t="n">
        <x:v>1</x:v>
      </x:c>
      <x:c r="U1193" t="n">
        <x:v>1</x:v>
      </x:c>
      <x:c r="V1193" t="n">
        <x:v>1</x:v>
      </x:c>
      <x:c r="W1193" t="n">
        <x:v>0</x:v>
      </x:c>
      <x:c r="X1193" t="n">
        <x:v>0</x:v>
      </x:c>
      <x:c r="Y1193" t="n">
        <x:v>0</x:v>
      </x:c>
      <x:c r="Z1193" t="n">
        <x:v>1</x:v>
      </x:c>
      <x:c r="AA1193" t="n">
        <x:v>4</x:v>
      </x:c>
      <x:c r="AB1193" t="str">
        <x:v>Pass</x:v>
      </x:c>
      <x:c r="AC1193" t="str"/>
      <x:c r="AD1193" t="str"/>
    </x:row>
    <x:row r="1194">
      <x:c r="A1194" t="str">
        <x:v>REC1193</x:v>
      </x:c>
      <x:c r="B1194" t="n">
        <x:v>1192</x:v>
      </x:c>
      <x:c r="C1194" t="str">
        <x:v>Puerto Rico</x:v>
      </x:c>
      <x:c r="D1194" t="str">
        <x:v>GV</x:v>
      </x:c>
      <x:c r="E1194" t="str">
        <x:v>Ground Validation</x:v>
      </x:c>
      <x:c r="F1194" t="str">
        <x:v>HD Seaviewer Drop Camera</x:v>
      </x:c>
      <x:c r="G1194" t="str">
        <x:v>GV2016_579</x:v>
      </x:c>
      <x:c r="H1194" s="28" t="n">
        <x:v>42605</x:v>
      </x:c>
      <x:c r="I1194" t="str">
        <x:v>10:46:12</x:v>
      </x:c>
      <x:c r="J1194" t="n">
        <x:v>2016</x:v>
      </x:c>
      <x:c r="K1194" t="n">
        <x:v>18.192522</x:v>
      </x:c>
      <x:c r="L1194" t="n">
        <x:v>-65.14763452</x:v>
      </x:c>
      <x:c r="M1194" t="n">
        <x:v>43.05</x:v>
      </x:c>
      <x:c r="N1194" t="str">
        <x:v>https://nccospublicstor.blob.core.windows.net/biomapper/usviinsularshelf2017/videos/low/GV2016_579.mp4</x:v>
      </x:c>
      <x:c r="O1194" t="n">
        <x:v>1</x:v>
      </x:c>
      <x:c r="P1194" t="n">
        <x:v>0</x:v>
      </x:c>
      <x:c r="Q1194" t="n">
        <x:v>0</x:v>
      </x:c>
      <x:c r="R1194" t="n">
        <x:v>0</x:v>
      </x:c>
      <x:c r="S1194" t="n">
        <x:v>1</x:v>
      </x:c>
      <x:c r="T1194" t="n">
        <x:v>0</x:v>
      </x:c>
      <x:c r="U1194" t="n">
        <x:v>1</x:v>
      </x:c>
      <x:c r="V1194" t="n">
        <x:v>1</x:v>
      </x:c>
      <x:c r="W1194" t="n">
        <x:v>0</x:v>
      </x:c>
      <x:c r="X1194" t="n">
        <x:v>0</x:v>
      </x:c>
      <x:c r="Y1194" t="n">
        <x:v>0</x:v>
      </x:c>
      <x:c r="Z1194" t="n">
        <x:v>1</x:v>
      </x:c>
      <x:c r="AA1194" t="n">
        <x:v>3</x:v>
      </x:c>
      <x:c r="AB1194" t="str">
        <x:v>Pass</x:v>
      </x:c>
      <x:c r="AC1194" t="str"/>
      <x:c r="AD1194" t="str"/>
    </x:row>
    <x:row r="1195">
      <x:c r="A1195" t="str">
        <x:v>REC1194</x:v>
      </x:c>
      <x:c r="B1195" t="n">
        <x:v>1193</x:v>
      </x:c>
      <x:c r="C1195" t="str">
        <x:v>Puerto Rico</x:v>
      </x:c>
      <x:c r="D1195" t="str">
        <x:v>GV</x:v>
      </x:c>
      <x:c r="E1195" t="str">
        <x:v>Ground Validation</x:v>
      </x:c>
      <x:c r="F1195" t="str">
        <x:v>HD Seaviewer Drop Camera</x:v>
      </x:c>
      <x:c r="G1195" t="str">
        <x:v>GV2016_580</x:v>
      </x:c>
      <x:c r="H1195" s="28" t="n">
        <x:v>42605</x:v>
      </x:c>
      <x:c r="I1195" t="str">
        <x:v>13:42:05</x:v>
      </x:c>
      <x:c r="J1195" t="n">
        <x:v>2016</x:v>
      </x:c>
      <x:c r="K1195" t="n">
        <x:v>18.1772914</x:v>
      </x:c>
      <x:c r="L1195" t="n">
        <x:v>-65.18293348</x:v>
      </x:c>
      <x:c r="M1195" t="n">
        <x:v>39.702</x:v>
      </x:c>
      <x:c r="N1195" t="str">
        <x:v>https://nccospublicstor.blob.core.windows.net/biomapper/usviinsularshelf2017/videos/low/GV2016_580.mp4</x:v>
      </x:c>
      <x:c r="O1195" t="n">
        <x:v>1</x:v>
      </x:c>
      <x:c r="P1195" t="n">
        <x:v>0</x:v>
      </x:c>
      <x:c r="Q1195" t="n">
        <x:v>0</x:v>
      </x:c>
      <x:c r="R1195" t="n">
        <x:v>0</x:v>
      </x:c>
      <x:c r="S1195" t="n">
        <x:v>1</x:v>
      </x:c>
      <x:c r="T1195" t="n">
        <x:v>1</x:v>
      </x:c>
      <x:c r="U1195" t="n">
        <x:v>1</x:v>
      </x:c>
      <x:c r="V1195" t="n">
        <x:v>1</x:v>
      </x:c>
      <x:c r="W1195" t="n">
        <x:v>0</x:v>
      </x:c>
      <x:c r="X1195" t="n">
        <x:v>0</x:v>
      </x:c>
      <x:c r="Y1195" t="n">
        <x:v>0</x:v>
      </x:c>
      <x:c r="Z1195" t="n">
        <x:v>1</x:v>
      </x:c>
      <x:c r="AA1195" t="n">
        <x:v>4</x:v>
      </x:c>
      <x:c r="AB1195" t="str">
        <x:v>Pass</x:v>
      </x:c>
      <x:c r="AC1195" t="str"/>
      <x:c r="AD1195" t="str"/>
    </x:row>
    <x:row r="1196">
      <x:c r="A1196" t="str">
        <x:v>REC1195</x:v>
      </x:c>
      <x:c r="B1196" t="n">
        <x:v>1194</x:v>
      </x:c>
      <x:c r="C1196" t="str">
        <x:v>Puerto Rico</x:v>
      </x:c>
      <x:c r="D1196" t="str">
        <x:v>GV</x:v>
      </x:c>
      <x:c r="E1196" t="str">
        <x:v>Ground Validation</x:v>
      </x:c>
      <x:c r="F1196" t="str">
        <x:v>HD Seaviewer Drop Camera</x:v>
      </x:c>
      <x:c r="G1196" t="str">
        <x:v>GV2016_581</x:v>
      </x:c>
      <x:c r="H1196" s="28" t="n">
        <x:v>42604</x:v>
      </x:c>
      <x:c r="I1196" t="str">
        <x:v>09:27:46</x:v>
      </x:c>
      <x:c r="J1196" t="n">
        <x:v>2016</x:v>
      </x:c>
      <x:c r="K1196" t="n">
        <x:v>18.18151245</x:v>
      </x:c>
      <x:c r="L1196" t="n">
        <x:v>-65.22771455</x:v>
      </x:c>
      <x:c r="M1196" t="n">
        <x:v>33.579</x:v>
      </x:c>
      <x:c r="N1196" t="str">
        <x:v>https://nccospublicstor.blob.core.windows.net/biomapper/usviinsularshelf2017/videos/low/GV2016_581.mp4</x:v>
      </x:c>
      <x:c r="O1196" t="n">
        <x:v>1</x:v>
      </x:c>
      <x:c r="P1196" t="n">
        <x:v>0</x:v>
      </x:c>
      <x:c r="Q1196" t="n">
        <x:v>0</x:v>
      </x:c>
      <x:c r="R1196" t="n">
        <x:v>0</x:v>
      </x:c>
      <x:c r="S1196" t="n">
        <x:v>1</x:v>
      </x:c>
      <x:c r="T1196" t="n">
        <x:v>1</x:v>
      </x:c>
      <x:c r="U1196" t="n">
        <x:v>1</x:v>
      </x:c>
      <x:c r="V1196" t="n">
        <x:v>1</x:v>
      </x:c>
      <x:c r="W1196" t="n">
        <x:v>0</x:v>
      </x:c>
      <x:c r="X1196" t="n">
        <x:v>0</x:v>
      </x:c>
      <x:c r="Y1196" t="n">
        <x:v>0</x:v>
      </x:c>
      <x:c r="Z1196" t="n">
        <x:v>1</x:v>
      </x:c>
      <x:c r="AA1196" t="n">
        <x:v>4</x:v>
      </x:c>
      <x:c r="AB1196" t="str">
        <x:v>Pass</x:v>
      </x:c>
      <x:c r="AC1196" t="str"/>
      <x:c r="AD1196" t="str"/>
    </x:row>
    <x:row r="1197">
      <x:c r="A1197" t="str">
        <x:v>REC1196</x:v>
      </x:c>
      <x:c r="B1197" t="n">
        <x:v>1195</x:v>
      </x:c>
      <x:c r="C1197" t="str">
        <x:v>Puerto Rico</x:v>
      </x:c>
      <x:c r="D1197" t="str">
        <x:v>GV</x:v>
      </x:c>
      <x:c r="E1197" t="str">
        <x:v>Ground Validation</x:v>
      </x:c>
      <x:c r="F1197" t="str">
        <x:v>HD Seaviewer Drop Camera</x:v>
      </x:c>
      <x:c r="G1197" t="str">
        <x:v>GV2016_582</x:v>
      </x:c>
      <x:c r="H1197" s="28" t="n">
        <x:v>42605</x:v>
      </x:c>
      <x:c r="I1197" t="str">
        <x:v>09:57:46</x:v>
      </x:c>
      <x:c r="J1197" t="n">
        <x:v>2016</x:v>
      </x:c>
      <x:c r="K1197" t="n">
        <x:v>18.1957867</x:v>
      </x:c>
      <x:c r="L1197" t="n">
        <x:v>-65.16881936</x:v>
      </x:c>
      <x:c r="M1197" t="n">
        <x:v>39.607</x:v>
      </x:c>
      <x:c r="N1197" t="str">
        <x:v>https://nccospublicstor.blob.core.windows.net/biomapper/usviinsularshelf2017/videos/low/GV2016_582.mp4</x:v>
      </x:c>
      <x:c r="O1197" t="n">
        <x:v>1</x:v>
      </x:c>
      <x:c r="P1197" t="n">
        <x:v>0</x:v>
      </x:c>
      <x:c r="Q1197" t="n">
        <x:v>0</x:v>
      </x:c>
      <x:c r="R1197" t="n">
        <x:v>0</x:v>
      </x:c>
      <x:c r="S1197" t="n">
        <x:v>1</x:v>
      </x:c>
      <x:c r="T1197" t="n">
        <x:v>1</x:v>
      </x:c>
      <x:c r="U1197" t="n">
        <x:v>1</x:v>
      </x:c>
      <x:c r="V1197" t="n">
        <x:v>1</x:v>
      </x:c>
      <x:c r="W1197" t="n">
        <x:v>0</x:v>
      </x:c>
      <x:c r="X1197" t="n">
        <x:v>0</x:v>
      </x:c>
      <x:c r="Y1197" t="n">
        <x:v>0</x:v>
      </x:c>
      <x:c r="Z1197" t="n">
        <x:v>1</x:v>
      </x:c>
      <x:c r="AA1197" t="n">
        <x:v>4</x:v>
      </x:c>
      <x:c r="AB1197" t="str">
        <x:v>Pass</x:v>
      </x:c>
      <x:c r="AC1197" t="str"/>
      <x:c r="AD1197" t="str"/>
    </x:row>
    <x:row r="1198">
      <x:c r="A1198" t="str">
        <x:v>REC1197</x:v>
      </x:c>
      <x:c r="B1198" t="n">
        <x:v>1196</x:v>
      </x:c>
      <x:c r="C1198" t="str">
        <x:v>St. Thomas, USVI</x:v>
      </x:c>
      <x:c r="D1198" t="str">
        <x:v>GV</x:v>
      </x:c>
      <x:c r="E1198" t="str">
        <x:v>Ground Validation</x:v>
      </x:c>
      <x:c r="F1198" t="str">
        <x:v>HD Seaviewer Drop Camera</x:v>
      </x:c>
      <x:c r="G1198" t="str">
        <x:v>GV2016_583</x:v>
      </x:c>
      <x:c r="H1198" s="28" t="n">
        <x:v>42622</x:v>
      </x:c>
      <x:c r="I1198" t="str">
        <x:v>13:29:36</x:v>
      </x:c>
      <x:c r="J1198" t="n">
        <x:v>2016</x:v>
      </x:c>
      <x:c r="K1198" t="n">
        <x:v>18.21694412</x:v>
      </x:c>
      <x:c r="L1198" t="n">
        <x:v>-64.82541752</x:v>
      </x:c>
      <x:c r="M1198" t="n">
        <x:v>52.129</x:v>
      </x:c>
      <x:c r="N1198" t="str">
        <x:v>https://nccospublicstor.blob.core.windows.net/biomapper/usviinsularshelf2017/videos/low/GV2016_583.mp4</x:v>
      </x:c>
      <x:c r="O1198" t="n">
        <x:v>0</x:v>
      </x:c>
      <x:c r="P1198" t="n">
        <x:v>0</x:v>
      </x:c>
      <x:c r="Q1198" t="n">
        <x:v>1</x:v>
      </x:c>
      <x:c r="R1198" t="n">
        <x:v>0</x:v>
      </x:c>
      <x:c r="S1198" t="n">
        <x:v>0</x:v>
      </x:c>
      <x:c r="T1198" t="n">
        <x:v>0</x:v>
      </x:c>
      <x:c r="U1198" t="n">
        <x:v>1</x:v>
      </x:c>
      <x:c r="V1198" t="n">
        <x:v>1</x:v>
      </x:c>
      <x:c r="W1198" t="n">
        <x:v>0</x:v>
      </x:c>
      <x:c r="X1198" t="n">
        <x:v>0</x:v>
      </x:c>
      <x:c r="Y1198" t="n">
        <x:v>0</x:v>
      </x:c>
      <x:c r="Z1198" t="n">
        <x:v>1</x:v>
      </x:c>
      <x:c r="AA1198" t="n">
        <x:v>2</x:v>
      </x:c>
      <x:c r="AB1198" t="str">
        <x:v>Pass</x:v>
      </x:c>
      <x:c r="AC1198" t="str"/>
      <x:c r="AD1198" t="str"/>
    </x:row>
    <x:row r="1199">
      <x:c r="A1199" t="str">
        <x:v>REC1198</x:v>
      </x:c>
      <x:c r="B1199" t="n">
        <x:v>1197</x:v>
      </x:c>
      <x:c r="C1199" t="str">
        <x:v>Puerto Rico</x:v>
      </x:c>
      <x:c r="D1199" t="str">
        <x:v>GV</x:v>
      </x:c>
      <x:c r="E1199" t="str">
        <x:v>Ground Validation</x:v>
      </x:c>
      <x:c r="F1199" t="str">
        <x:v>HD Seaviewer Drop Camera</x:v>
      </x:c>
      <x:c r="G1199" t="str">
        <x:v>GV2016_584</x:v>
      </x:c>
      <x:c r="H1199" s="28" t="n">
        <x:v>42604</x:v>
      </x:c>
      <x:c r="I1199" t="str">
        <x:v>09:55:26</x:v>
      </x:c>
      <x:c r="J1199" t="n">
        <x:v>2016</x:v>
      </x:c>
      <x:c r="K1199" t="n">
        <x:v>18.17410988</x:v>
      </x:c>
      <x:c r="L1199" t="n">
        <x:v>-65.21521187</x:v>
      </x:c>
      <x:c r="M1199" t="n">
        <x:v>41.791</x:v>
      </x:c>
      <x:c r="N1199" t="str">
        <x:v>https://nccospublicstor.blob.core.windows.net/biomapper/usviinsularshelf2017/videos/low/GV2016_584.mp4</x:v>
      </x:c>
      <x:c r="O1199" t="n">
        <x:v>0</x:v>
      </x:c>
      <x:c r="P1199" t="n">
        <x:v>1</x:v>
      </x:c>
      <x:c r="Q1199" t="n">
        <x:v>0</x:v>
      </x:c>
      <x:c r="R1199" t="n">
        <x:v>1</x:v>
      </x:c>
      <x:c r="S1199" t="n">
        <x:v>0</x:v>
      </x:c>
      <x:c r="T1199" t="n">
        <x:v>0</x:v>
      </x:c>
      <x:c r="U1199" t="n">
        <x:v>1</x:v>
      </x:c>
      <x:c r="V1199" t="n">
        <x:v>1</x:v>
      </x:c>
      <x:c r="W1199" t="n">
        <x:v>0</x:v>
      </x:c>
      <x:c r="X1199" t="n">
        <x:v>0</x:v>
      </x:c>
      <x:c r="Y1199" t="n">
        <x:v>0</x:v>
      </x:c>
      <x:c r="Z1199" t="n">
        <x:v>2</x:v>
      </x:c>
      <x:c r="AA1199" t="n">
        <x:v>2</x:v>
      </x:c>
      <x:c r="AB1199" t="str">
        <x:v>Pass</x:v>
      </x:c>
      <x:c r="AC1199" t="str"/>
      <x:c r="AD1199" t="str"/>
    </x:row>
    <x:row r="1200">
      <x:c r="A1200" t="str">
        <x:v>REC1199</x:v>
      </x:c>
      <x:c r="B1200" t="n">
        <x:v>1198</x:v>
      </x:c>
      <x:c r="C1200" t="str">
        <x:v>St. Thomas, USVI</x:v>
      </x:c>
      <x:c r="D1200" t="str">
        <x:v>GV</x:v>
      </x:c>
      <x:c r="E1200" t="str">
        <x:v>Ground Validation</x:v>
      </x:c>
      <x:c r="F1200" t="str">
        <x:v>HD Seaviewer Drop Camera</x:v>
      </x:c>
      <x:c r="G1200" t="str">
        <x:v>GV2016_585</x:v>
      </x:c>
      <x:c r="H1200" s="28" t="n">
        <x:v>42607</x:v>
      </x:c>
      <x:c r="I1200" t="str">
        <x:v>14:47:37</x:v>
      </x:c>
      <x:c r="J1200" t="n">
        <x:v>2016</x:v>
      </x:c>
      <x:c r="K1200" t="n">
        <x:v>18.26547221</x:v>
      </x:c>
      <x:c r="L1200" t="n">
        <x:v>-65.05590341</x:v>
      </x:c>
      <x:c r="M1200" t="n">
        <x:v>34.611</x:v>
      </x:c>
      <x:c r="N1200" t="str">
        <x:v>https://nccospublicstor.blob.core.windows.net/biomapper/usviinsularshelf2017/videos/low/GV2016_585.mp4</x:v>
      </x:c>
      <x:c r="O1200" t="n">
        <x:v>0</x:v>
      </x:c>
      <x:c r="P1200" t="n">
        <x:v>0</x:v>
      </x:c>
      <x:c r="Q1200" t="n">
        <x:v>1</x:v>
      </x:c>
      <x:c r="R1200" t="n">
        <x:v>1</x:v>
      </x:c>
      <x:c r="S1200" t="n">
        <x:v>0</x:v>
      </x:c>
      <x:c r="T1200" t="n">
        <x:v>0</x:v>
      </x:c>
      <x:c r="U1200" t="n">
        <x:v>1</x:v>
      </x:c>
      <x:c r="V1200" t="n">
        <x:v>1</x:v>
      </x:c>
      <x:c r="W1200" t="n">
        <x:v>0</x:v>
      </x:c>
      <x:c r="X1200" t="n">
        <x:v>0</x:v>
      </x:c>
      <x:c r="Y1200" t="n">
        <x:v>0</x:v>
      </x:c>
      <x:c r="Z1200" t="n">
        <x:v>2</x:v>
      </x:c>
      <x:c r="AA1200" t="n">
        <x:v>2</x:v>
      </x:c>
      <x:c r="AB1200" t="str">
        <x:v>Pass</x:v>
      </x:c>
      <x:c r="AC1200" t="str"/>
      <x:c r="AD1200" t="str"/>
    </x:row>
    <x:row r="1201">
      <x:c r="A1201" t="str">
        <x:v>REC1200</x:v>
      </x:c>
      <x:c r="B1201" t="n">
        <x:v>1199</x:v>
      </x:c>
      <x:c r="C1201" t="str">
        <x:v>St. John, USVI</x:v>
      </x:c>
      <x:c r="D1201" t="str">
        <x:v>GV</x:v>
      </x:c>
      <x:c r="E1201" t="str">
        <x:v>Ground Validation</x:v>
      </x:c>
      <x:c r="F1201" t="str">
        <x:v>HD Seaviewer Drop Camera</x:v>
      </x:c>
      <x:c r="G1201" t="str">
        <x:v>GV2016_586</x:v>
      </x:c>
      <x:c r="H1201" s="28" t="n">
        <x:v>42624</x:v>
      </x:c>
      <x:c r="I1201" t="str">
        <x:v>10:56:03</x:v>
      </x:c>
      <x:c r="J1201" t="n">
        <x:v>2016</x:v>
      </x:c>
      <x:c r="K1201" t="n">
        <x:v>18.27694916</x:v>
      </x:c>
      <x:c r="L1201" t="n">
        <x:v>-64.73347601</x:v>
      </x:c>
      <x:c r="M1201" t="n">
        <x:v>36.487</x:v>
      </x:c>
      <x:c r="N1201" t="str">
        <x:v>https://nccospublicstor.blob.core.windows.net/biomapper/usviinsularshelf2017/videos/low/GV2016_586.mp4</x:v>
      </x:c>
      <x:c r="O1201" t="n">
        <x:v>0</x:v>
      </x:c>
      <x:c r="P1201" t="n">
        <x:v>0</x:v>
      </x:c>
      <x:c r="Q1201" t="n">
        <x:v>1</x:v>
      </x:c>
      <x:c r="R1201" t="n">
        <x:v>1</x:v>
      </x:c>
      <x:c r="S1201" t="n">
        <x:v>0</x:v>
      </x:c>
      <x:c r="T1201" t="n">
        <x:v>0</x:v>
      </x:c>
      <x:c r="U1201" t="n">
        <x:v>1</x:v>
      </x:c>
      <x:c r="V1201" t="n">
        <x:v>1</x:v>
      </x:c>
      <x:c r="W1201" t="n">
        <x:v>0</x:v>
      </x:c>
      <x:c r="X1201" t="n">
        <x:v>0</x:v>
      </x:c>
      <x:c r="Y1201" t="n">
        <x:v>0</x:v>
      </x:c>
      <x:c r="Z1201" t="n">
        <x:v>2</x:v>
      </x:c>
      <x:c r="AA1201" t="n">
        <x:v>2</x:v>
      </x:c>
      <x:c r="AB1201" t="str">
        <x:v>Pass</x:v>
      </x:c>
      <x:c r="AC1201" t="str"/>
      <x:c r="AD1201" t="str"/>
    </x:row>
    <x:row r="1202">
      <x:c r="A1202" t="str">
        <x:v>REC1201</x:v>
      </x:c>
      <x:c r="B1202" t="n">
        <x:v>1200</x:v>
      </x:c>
      <x:c r="C1202" t="str">
        <x:v>St. Thomas, USVI</x:v>
      </x:c>
      <x:c r="D1202" t="str">
        <x:v>GV</x:v>
      </x:c>
      <x:c r="E1202" t="str">
        <x:v>Ground Validation</x:v>
      </x:c>
      <x:c r="F1202" t="str">
        <x:v>HD Seaviewer Drop Camera</x:v>
      </x:c>
      <x:c r="G1202" t="str">
        <x:v>GV2016_588</x:v>
      </x:c>
      <x:c r="H1202" s="28" t="n">
        <x:v>42609</x:v>
      </x:c>
      <x:c r="I1202" t="str">
        <x:v>10:19:47</x:v>
      </x:c>
      <x:c r="J1202" t="n">
        <x:v>2016</x:v>
      </x:c>
      <x:c r="K1202" t="n">
        <x:v>18.23972399</x:v>
      </x:c>
      <x:c r="L1202" t="n">
        <x:v>-65.05846514</x:v>
      </x:c>
      <x:c r="M1202" t="n">
        <x:v>36.445</x:v>
      </x:c>
      <x:c r="N1202" t="str">
        <x:v>https://nccospublicstor.blob.core.windows.net/biomapper/usviinsularshelf2017/videos/low/GV2016_588.mp4</x:v>
      </x:c>
      <x:c r="O1202" t="n">
        <x:v>1</x:v>
      </x:c>
      <x:c r="P1202" t="n">
        <x:v>1</x:v>
      </x:c>
      <x:c r="Q1202" t="n">
        <x:v>0</x:v>
      </x:c>
      <x:c r="R1202" t="n">
        <x:v>1</x:v>
      </x:c>
      <x:c r="S1202" t="n">
        <x:v>1</x:v>
      </x:c>
      <x:c r="T1202" t="n">
        <x:v>0</x:v>
      </x:c>
      <x:c r="U1202" t="n">
        <x:v>1</x:v>
      </x:c>
      <x:c r="V1202" t="n">
        <x:v>1</x:v>
      </x:c>
      <x:c r="W1202" t="n">
        <x:v>0</x:v>
      </x:c>
      <x:c r="X1202" t="n">
        <x:v>0</x:v>
      </x:c>
      <x:c r="Y1202" t="n">
        <x:v>0</x:v>
      </x:c>
      <x:c r="Z1202" t="n">
        <x:v>3</x:v>
      </x:c>
      <x:c r="AA1202" t="n">
        <x:v>3</x:v>
      </x:c>
      <x:c r="AB1202" t="str">
        <x:v>Pass</x:v>
      </x:c>
      <x:c r="AC1202" t="str"/>
      <x:c r="AD1202" t="str"/>
    </x:row>
    <x:row r="1203">
      <x:c r="A1203" t="str">
        <x:v>REC1202</x:v>
      </x:c>
      <x:c r="B1203" t="n">
        <x:v>1201</x:v>
      </x:c>
      <x:c r="C1203" t="str">
        <x:v>Puerto Rico</x:v>
      </x:c>
      <x:c r="D1203" t="str">
        <x:v>GV</x:v>
      </x:c>
      <x:c r="E1203" t="str">
        <x:v>Ground Validation</x:v>
      </x:c>
      <x:c r="F1203" t="str">
        <x:v>HD Seaviewer Drop Camera</x:v>
      </x:c>
      <x:c r="G1203" t="str">
        <x:v>GV2016_589</x:v>
      </x:c>
      <x:c r="H1203" s="28" t="n">
        <x:v>42605</x:v>
      </x:c>
      <x:c r="I1203" t="str">
        <x:v>14:41:26</x:v>
      </x:c>
      <x:c r="J1203" t="n">
        <x:v>2016</x:v>
      </x:c>
      <x:c r="K1203" t="n">
        <x:v>18.22493378</x:v>
      </x:c>
      <x:c r="L1203" t="n">
        <x:v>-65.1703849</x:v>
      </x:c>
      <x:c r="M1203" t="n">
        <x:v>37.25</x:v>
      </x:c>
      <x:c r="N1203" t="str">
        <x:v>https://nccospublicstor.blob.core.windows.net/biomapper/usviinsularshelf2017/videos/low/GV2016_589.mp4</x:v>
      </x:c>
      <x:c r="O1203" t="n">
        <x:v>1</x:v>
      </x:c>
      <x:c r="P1203" t="n">
        <x:v>0</x:v>
      </x:c>
      <x:c r="Q1203" t="n">
        <x:v>0</x:v>
      </x:c>
      <x:c r="R1203" t="n">
        <x:v>0</x:v>
      </x:c>
      <x:c r="S1203" t="n">
        <x:v>1</x:v>
      </x:c>
      <x:c r="T1203" t="n">
        <x:v>0</x:v>
      </x:c>
      <x:c r="U1203" t="n">
        <x:v>1</x:v>
      </x:c>
      <x:c r="V1203" t="n">
        <x:v>1</x:v>
      </x:c>
      <x:c r="W1203" t="n">
        <x:v>0</x:v>
      </x:c>
      <x:c r="X1203" t="n">
        <x:v>0</x:v>
      </x:c>
      <x:c r="Y1203" t="n">
        <x:v>0</x:v>
      </x:c>
      <x:c r="Z1203" t="n">
        <x:v>1</x:v>
      </x:c>
      <x:c r="AA1203" t="n">
        <x:v>3</x:v>
      </x:c>
      <x:c r="AB1203" t="str">
        <x:v>Pass</x:v>
      </x:c>
      <x:c r="AC1203" t="str"/>
      <x:c r="AD1203" t="str"/>
    </x:row>
    <x:row r="1204">
      <x:c r="A1204" t="str">
        <x:v>REC1203</x:v>
      </x:c>
      <x:c r="B1204" t="n">
        <x:v>1202</x:v>
      </x:c>
      <x:c r="C1204" t="str">
        <x:v>St. John, USVI</x:v>
      </x:c>
      <x:c r="D1204" t="str">
        <x:v>GV</x:v>
      </x:c>
      <x:c r="E1204" t="str">
        <x:v>Ground Validation</x:v>
      </x:c>
      <x:c r="F1204" t="str">
        <x:v>HD Seaviewer Drop Camera</x:v>
      </x:c>
      <x:c r="G1204" t="str">
        <x:v>GV2016_590</x:v>
      </x:c>
      <x:c r="H1204" s="28" t="n">
        <x:v>42626</x:v>
      </x:c>
      <x:c r="I1204" t="str">
        <x:v>10:23:22</x:v>
      </x:c>
      <x:c r="J1204" t="n">
        <x:v>2016</x:v>
      </x:c>
      <x:c r="K1204" t="n">
        <x:v>18.24522036</x:v>
      </x:c>
      <x:c r="L1204" t="n">
        <x:v>-64.78870088</x:v>
      </x:c>
      <x:c r="M1204" t="n">
        <x:v>45.615</x:v>
      </x:c>
      <x:c r="N1204" t="str">
        <x:v>https://nccospublicstor.blob.core.windows.net/biomapper/usviinsularshelf2017/videos/low/GV2016_590.mp4</x:v>
      </x:c>
      <x:c r="O1204" t="n">
        <x:v>0</x:v>
      </x:c>
      <x:c r="P1204" t="n">
        <x:v>0</x:v>
      </x:c>
      <x:c r="Q1204" t="n">
        <x:v>1</x:v>
      </x:c>
      <x:c r="R1204" t="n">
        <x:v>0</x:v>
      </x:c>
      <x:c r="S1204" t="n">
        <x:v>0</x:v>
      </x:c>
      <x:c r="T1204" t="n">
        <x:v>0</x:v>
      </x:c>
      <x:c r="U1204" t="n">
        <x:v>1</x:v>
      </x:c>
      <x:c r="V1204" t="n">
        <x:v>1</x:v>
      </x:c>
      <x:c r="W1204" t="n">
        <x:v>0</x:v>
      </x:c>
      <x:c r="X1204" t="n">
        <x:v>0</x:v>
      </x:c>
      <x:c r="Y1204" t="n">
        <x:v>0</x:v>
      </x:c>
      <x:c r="Z1204" t="n">
        <x:v>1</x:v>
      </x:c>
      <x:c r="AA1204" t="n">
        <x:v>2</x:v>
      </x:c>
      <x:c r="AB1204" t="str">
        <x:v>Pass</x:v>
      </x:c>
      <x:c r="AC1204" t="str"/>
      <x:c r="AD1204" t="str"/>
    </x:row>
    <x:row r="1205">
      <x:c r="A1205" t="str">
        <x:v>REC1204</x:v>
      </x:c>
      <x:c r="B1205" t="n">
        <x:v>1203</x:v>
      </x:c>
      <x:c r="C1205" t="str">
        <x:v>St. Thomas, USVI</x:v>
      </x:c>
      <x:c r="D1205" t="str">
        <x:v>GV</x:v>
      </x:c>
      <x:c r="E1205" t="str">
        <x:v>Ground Validation</x:v>
      </x:c>
      <x:c r="F1205" t="str">
        <x:v>HD Seaviewer Drop Camera</x:v>
      </x:c>
      <x:c r="G1205" t="str">
        <x:v>GV2016_591</x:v>
      </x:c>
      <x:c r="H1205" s="28" t="n">
        <x:v>42608</x:v>
      </x:c>
      <x:c r="I1205" t="str">
        <x:v>13:36:43</x:v>
      </x:c>
      <x:c r="J1205" t="n">
        <x:v>2016</x:v>
      </x:c>
      <x:c r="K1205" t="n">
        <x:v>18.18987956</x:v>
      </x:c>
      <x:c r="L1205" t="n">
        <x:v>-65.08446809</x:v>
      </x:c>
      <x:c r="M1205" t="n">
        <x:v>34.109</x:v>
      </x:c>
      <x:c r="N1205" t="str">
        <x:v>https://nccospublicstor.blob.core.windows.net/biomapper/usviinsularshelf2017/videos/low/GV2016_591.mp4</x:v>
      </x:c>
      <x:c r="O1205" t="n">
        <x:v>1</x:v>
      </x:c>
      <x:c r="P1205" t="n">
        <x:v>0</x:v>
      </x:c>
      <x:c r="Q1205" t="n">
        <x:v>0</x:v>
      </x:c>
      <x:c r="R1205" t="n">
        <x:v>0</x:v>
      </x:c>
      <x:c r="S1205" t="n">
        <x:v>1</x:v>
      </x:c>
      <x:c r="T1205" t="n">
        <x:v>0</x:v>
      </x:c>
      <x:c r="U1205" t="n">
        <x:v>1</x:v>
      </x:c>
      <x:c r="V1205" t="n">
        <x:v>1</x:v>
      </x:c>
      <x:c r="W1205" t="n">
        <x:v>0</x:v>
      </x:c>
      <x:c r="X1205" t="n">
        <x:v>0</x:v>
      </x:c>
      <x:c r="Y1205" t="n">
        <x:v>0</x:v>
      </x:c>
      <x:c r="Z1205" t="n">
        <x:v>1</x:v>
      </x:c>
      <x:c r="AA1205" t="n">
        <x:v>3</x:v>
      </x:c>
      <x:c r="AB1205" t="str">
        <x:v>Pass</x:v>
      </x:c>
      <x:c r="AC1205" t="str"/>
      <x:c r="AD1205" t="str">
        <x:v>High Coral cover &gt;70%</x:v>
      </x:c>
    </x:row>
    <x:row r="1206">
      <x:c r="A1206" t="str">
        <x:v>REC1205</x:v>
      </x:c>
      <x:c r="B1206" t="n">
        <x:v>1204</x:v>
      </x:c>
      <x:c r="C1206" t="str">
        <x:v>St. Thomas, USVI</x:v>
      </x:c>
      <x:c r="D1206" t="str">
        <x:v>GV</x:v>
      </x:c>
      <x:c r="E1206" t="str">
        <x:v>Ground Validation</x:v>
      </x:c>
      <x:c r="F1206" t="str">
        <x:v>HD Seaviewer Drop Camera</x:v>
      </x:c>
      <x:c r="G1206" t="str">
        <x:v>GV2016_592</x:v>
      </x:c>
      <x:c r="H1206" s="28" t="n">
        <x:v>42608</x:v>
      </x:c>
      <x:c r="I1206" t="str">
        <x:v>12:56:05</x:v>
      </x:c>
      <x:c r="J1206" t="n">
        <x:v>2016</x:v>
      </x:c>
      <x:c r="K1206" t="n">
        <x:v>18.20176858</x:v>
      </x:c>
      <x:c r="L1206" t="n">
        <x:v>-65.06678831</x:v>
      </x:c>
      <x:c r="M1206" t="n">
        <x:v>38.773</x:v>
      </x:c>
      <x:c r="N1206" t="str">
        <x:v>https://nccospublicstor.blob.core.windows.net/biomapper/usviinsularshelf2017/videos/low/GV2016_592.mp4</x:v>
      </x:c>
      <x:c r="O1206" t="n">
        <x:v>1</x:v>
      </x:c>
      <x:c r="P1206" t="n">
        <x:v>0</x:v>
      </x:c>
      <x:c r="Q1206" t="n">
        <x:v>0</x:v>
      </x:c>
      <x:c r="R1206" t="n">
        <x:v>0</x:v>
      </x:c>
      <x:c r="S1206" t="n">
        <x:v>1</x:v>
      </x:c>
      <x:c r="T1206" t="n">
        <x:v>1</x:v>
      </x:c>
      <x:c r="U1206" t="n">
        <x:v>1</x:v>
      </x:c>
      <x:c r="V1206" t="n">
        <x:v>1</x:v>
      </x:c>
      <x:c r="W1206" t="n">
        <x:v>0</x:v>
      </x:c>
      <x:c r="X1206" t="n">
        <x:v>0</x:v>
      </x:c>
      <x:c r="Y1206" t="n">
        <x:v>0</x:v>
      </x:c>
      <x:c r="Z1206" t="n">
        <x:v>1</x:v>
      </x:c>
      <x:c r="AA1206" t="n">
        <x:v>4</x:v>
      </x:c>
      <x:c r="AB1206" t="str">
        <x:v>Pass</x:v>
      </x:c>
      <x:c r="AC1206" t="str"/>
      <x:c r="AD1206" t="str"/>
    </x:row>
    <x:row r="1207">
      <x:c r="A1207" t="str">
        <x:v>REC1206</x:v>
      </x:c>
      <x:c r="B1207" t="n">
        <x:v>1205</x:v>
      </x:c>
      <x:c r="C1207" t="str">
        <x:v>Puerto Rico</x:v>
      </x:c>
      <x:c r="D1207" t="str">
        <x:v>GV</x:v>
      </x:c>
      <x:c r="E1207" t="str">
        <x:v>Ground Validation</x:v>
      </x:c>
      <x:c r="F1207" t="str">
        <x:v>HD Seaviewer Drop Camera</x:v>
      </x:c>
      <x:c r="G1207" t="str">
        <x:v>GV2016_593</x:v>
      </x:c>
      <x:c r="H1207" s="28" t="n">
        <x:v>42604</x:v>
      </x:c>
      <x:c r="I1207" t="str">
        <x:v>09:42:28</x:v>
      </x:c>
      <x:c r="J1207" t="n">
        <x:v>2016</x:v>
      </x:c>
      <x:c r="K1207" t="n">
        <x:v>18.1680291</x:v>
      </x:c>
      <x:c r="L1207" t="n">
        <x:v>-65.21872797</x:v>
      </x:c>
      <x:c r="M1207" t="n">
        <x:v>40.73</x:v>
      </x:c>
      <x:c r="N1207" t="str">
        <x:v>https://nccospublicstor.blob.core.windows.net/biomapper/usviinsularshelf2017/videos/low/GV2016_593.mp4</x:v>
      </x:c>
      <x:c r="O1207" t="n">
        <x:v>0</x:v>
      </x:c>
      <x:c r="P1207" t="n">
        <x:v>1</x:v>
      </x:c>
      <x:c r="Q1207" t="n">
        <x:v>0</x:v>
      </x:c>
      <x:c r="R1207" t="n">
        <x:v>1</x:v>
      </x:c>
      <x:c r="S1207" t="n">
        <x:v>0</x:v>
      </x:c>
      <x:c r="T1207" t="n">
        <x:v>0</x:v>
      </x:c>
      <x:c r="U1207" t="n">
        <x:v>1</x:v>
      </x:c>
      <x:c r="V1207" t="n">
        <x:v>1</x:v>
      </x:c>
      <x:c r="W1207" t="n">
        <x:v>0</x:v>
      </x:c>
      <x:c r="X1207" t="n">
        <x:v>0</x:v>
      </x:c>
      <x:c r="Y1207" t="n">
        <x:v>0</x:v>
      </x:c>
      <x:c r="Z1207" t="n">
        <x:v>2</x:v>
      </x:c>
      <x:c r="AA1207" t="n">
        <x:v>2</x:v>
      </x:c>
      <x:c r="AB1207" t="str">
        <x:v>Pass</x:v>
      </x:c>
      <x:c r="AC1207" t="str"/>
      <x:c r="AD1207" t="str"/>
    </x:row>
    <x:row r="1208">
      <x:c r="A1208" t="str">
        <x:v>REC1207</x:v>
      </x:c>
      <x:c r="B1208" t="n">
        <x:v>1206</x:v>
      </x:c>
      <x:c r="C1208" t="str">
        <x:v>St. Thomas, USVI</x:v>
      </x:c>
      <x:c r="D1208" t="str">
        <x:v>GV</x:v>
      </x:c>
      <x:c r="E1208" t="str">
        <x:v>Ground Validation</x:v>
      </x:c>
      <x:c r="F1208" t="str">
        <x:v>HD Seaviewer Drop Camera</x:v>
      </x:c>
      <x:c r="G1208" t="str">
        <x:v>GV2016_594</x:v>
      </x:c>
      <x:c r="H1208" s="28" t="n">
        <x:v>42608</x:v>
      </x:c>
      <x:c r="I1208" t="str">
        <x:v>08:33:40</x:v>
      </x:c>
      <x:c r="J1208" t="n">
        <x:v>2016</x:v>
      </x:c>
      <x:c r="K1208" t="n">
        <x:v>18.2017449</x:v>
      </x:c>
      <x:c r="L1208" t="n">
        <x:v>-64.92227822</x:v>
      </x:c>
      <x:c r="M1208" t="n">
        <x:v>52.675</x:v>
      </x:c>
      <x:c r="N1208" t="str">
        <x:v>https://nccospublicstor.blob.core.windows.net/biomapper/usviinsularshelf2017/videos/low/GV2016_594.mp4</x:v>
      </x:c>
      <x:c r="O1208" t="n">
        <x:v>0</x:v>
      </x:c>
      <x:c r="P1208" t="n">
        <x:v>1</x:v>
      </x:c>
      <x:c r="Q1208" t="n">
        <x:v>1</x:v>
      </x:c>
      <x:c r="R1208" t="n">
        <x:v>0</x:v>
      </x:c>
      <x:c r="S1208" t="n">
        <x:v>1</x:v>
      </x:c>
      <x:c r="T1208" t="n">
        <x:v>0</x:v>
      </x:c>
      <x:c r="U1208" t="n">
        <x:v>1</x:v>
      </x:c>
      <x:c r="V1208" t="n">
        <x:v>1</x:v>
      </x:c>
      <x:c r="W1208" t="n">
        <x:v>0</x:v>
      </x:c>
      <x:c r="X1208" t="n">
        <x:v>0</x:v>
      </x:c>
      <x:c r="Y1208" t="n">
        <x:v>0</x:v>
      </x:c>
      <x:c r="Z1208" t="n">
        <x:v>2</x:v>
      </x:c>
      <x:c r="AA1208" t="n">
        <x:v>3</x:v>
      </x:c>
      <x:c r="AB1208" t="str">
        <x:v>Pass</x:v>
      </x:c>
      <x:c r="AC1208" t="str"/>
      <x:c r="AD1208" t="str"/>
    </x:row>
    <x:row r="1209">
      <x:c r="A1209" t="str">
        <x:v>REC1208</x:v>
      </x:c>
      <x:c r="B1209" t="n">
        <x:v>1207</x:v>
      </x:c>
      <x:c r="C1209" t="str">
        <x:v>St. John, USVI</x:v>
      </x:c>
      <x:c r="D1209" t="str">
        <x:v>GV</x:v>
      </x:c>
      <x:c r="E1209" t="str">
        <x:v>Ground Validation</x:v>
      </x:c>
      <x:c r="F1209" t="str">
        <x:v>HD Seaviewer Drop Camera</x:v>
      </x:c>
      <x:c r="G1209" t="str">
        <x:v>GV2016_595</x:v>
      </x:c>
      <x:c r="H1209" s="28" t="n">
        <x:v>42626</x:v>
      </x:c>
      <x:c r="I1209" t="str">
        <x:v>12:23:56</x:v>
      </x:c>
      <x:c r="J1209" t="n">
        <x:v>2016</x:v>
      </x:c>
      <x:c r="K1209" t="n">
        <x:v>18.22268282</x:v>
      </x:c>
      <x:c r="L1209" t="n">
        <x:v>-64.80527711</x:v>
      </x:c>
      <x:c r="M1209" t="n">
        <x:v>51.514</x:v>
      </x:c>
      <x:c r="N1209" t="str">
        <x:v>https://nccospublicstor.blob.core.windows.net/biomapper/usviinsularshelf2017/videos/low/GV2016_595.mp4</x:v>
      </x:c>
      <x:c r="O1209" t="n">
        <x:v>0</x:v>
      </x:c>
      <x:c r="P1209" t="n">
        <x:v>1</x:v>
      </x:c>
      <x:c r="Q1209" t="n">
        <x:v>1</x:v>
      </x:c>
      <x:c r="R1209" t="n">
        <x:v>1</x:v>
      </x:c>
      <x:c r="S1209" t="n">
        <x:v>1</x:v>
      </x:c>
      <x:c r="T1209" t="n">
        <x:v>0</x:v>
      </x:c>
      <x:c r="U1209" t="n">
        <x:v>1</x:v>
      </x:c>
      <x:c r="V1209" t="n">
        <x:v>1</x:v>
      </x:c>
      <x:c r="W1209" t="n">
        <x:v>0</x:v>
      </x:c>
      <x:c r="X1209" t="n">
        <x:v>0</x:v>
      </x:c>
      <x:c r="Y1209" t="n">
        <x:v>0</x:v>
      </x:c>
      <x:c r="Z1209" t="n">
        <x:v>3</x:v>
      </x:c>
      <x:c r="AA1209" t="n">
        <x:v>3</x:v>
      </x:c>
      <x:c r="AB1209" t="str">
        <x:v>Pass</x:v>
      </x:c>
      <x:c r="AC1209" t="str"/>
      <x:c r="AD1209" t="str"/>
    </x:row>
    <x:row r="1210">
      <x:c r="A1210" t="str">
        <x:v>REC1209</x:v>
      </x:c>
      <x:c r="B1210" t="n">
        <x:v>1208</x:v>
      </x:c>
      <x:c r="C1210" t="str">
        <x:v>St. Thomas, USVI</x:v>
      </x:c>
      <x:c r="D1210" t="str">
        <x:v>GV</x:v>
      </x:c>
      <x:c r="E1210" t="str">
        <x:v>Ground Validation</x:v>
      </x:c>
      <x:c r="F1210" t="str">
        <x:v>HD Seaviewer Drop Camera</x:v>
      </x:c>
      <x:c r="G1210" t="str">
        <x:v>GV2016_596</x:v>
      </x:c>
      <x:c r="H1210" s="28" t="n">
        <x:v>42610</x:v>
      </x:c>
      <x:c r="I1210" t="str">
        <x:v>09:53:32</x:v>
      </x:c>
      <x:c r="J1210" t="n">
        <x:v>2016</x:v>
      </x:c>
      <x:c r="K1210" t="n">
        <x:v>18.18395388</x:v>
      </x:c>
      <x:c r="L1210" t="n">
        <x:v>-64.89475867</x:v>
      </x:c>
      <x:c r="M1210" t="n">
        <x:v>54.42</x:v>
      </x:c>
      <x:c r="N1210" t="str">
        <x:v>https://nccospublicstor.blob.core.windows.net/biomapper/usviinsularshelf2017/videos/low/GV2016_596.mp4</x:v>
      </x:c>
      <x:c r="O1210" t="n">
        <x:v>0</x:v>
      </x:c>
      <x:c r="P1210" t="n">
        <x:v>0</x:v>
      </x:c>
      <x:c r="Q1210" t="n">
        <x:v>1</x:v>
      </x:c>
      <x:c r="R1210" t="n">
        <x:v>0</x:v>
      </x:c>
      <x:c r="S1210" t="n">
        <x:v>1</x:v>
      </x:c>
      <x:c r="T1210" t="n">
        <x:v>0</x:v>
      </x:c>
      <x:c r="U1210" t="n">
        <x:v>1</x:v>
      </x:c>
      <x:c r="V1210" t="n">
        <x:v>1</x:v>
      </x:c>
      <x:c r="W1210" t="n">
        <x:v>0</x:v>
      </x:c>
      <x:c r="X1210" t="n">
        <x:v>0</x:v>
      </x:c>
      <x:c r="Y1210" t="n">
        <x:v>0</x:v>
      </x:c>
      <x:c r="Z1210" t="n">
        <x:v>1</x:v>
      </x:c>
      <x:c r="AA1210" t="n">
        <x:v>3</x:v>
      </x:c>
      <x:c r="AB1210" t="str">
        <x:v>Pass</x:v>
      </x:c>
      <x:c r="AC1210" t="str"/>
      <x:c r="AD1210" t="str"/>
    </x:row>
    <x:row r="1211">
      <x:c r="A1211" t="str">
        <x:v>REC1210</x:v>
      </x:c>
      <x:c r="B1211" t="n">
        <x:v>1209</x:v>
      </x:c>
      <x:c r="C1211" t="str">
        <x:v>St. Thomas, USVI</x:v>
      </x:c>
      <x:c r="D1211" t="str">
        <x:v>GV</x:v>
      </x:c>
      <x:c r="E1211" t="str">
        <x:v>Ground Validation</x:v>
      </x:c>
      <x:c r="F1211" t="str">
        <x:v>HD Seaviewer Drop Camera</x:v>
      </x:c>
      <x:c r="G1211" t="str">
        <x:v>GV2016_597</x:v>
      </x:c>
      <x:c r="H1211" s="28" t="n">
        <x:v>42612</x:v>
      </x:c>
      <x:c r="I1211" t="str">
        <x:v>11:01:55</x:v>
      </x:c>
      <x:c r="J1211" t="n">
        <x:v>2016</x:v>
      </x:c>
      <x:c r="K1211" t="n">
        <x:v>18.24612957</x:v>
      </x:c>
      <x:c r="L1211" t="n">
        <x:v>-64.94509808</x:v>
      </x:c>
      <x:c r="M1211" t="n">
        <x:v>39.698</x:v>
      </x:c>
      <x:c r="N1211" t="str">
        <x:v>https://nccospublicstor.blob.core.windows.net/biomapper/usviinsularshelf2017/videos/low/GV2016_597.mp4</x:v>
      </x:c>
      <x:c r="O1211" t="n">
        <x:v>1</x:v>
      </x:c>
      <x:c r="P1211" t="n">
        <x:v>0</x:v>
      </x:c>
      <x:c r="Q1211" t="n">
        <x:v>0</x:v>
      </x:c>
      <x:c r="R1211" t="n">
        <x:v>1</x:v>
      </x:c>
      <x:c r="S1211" t="n">
        <x:v>1</x:v>
      </x:c>
      <x:c r="T1211" t="n">
        <x:v>1</x:v>
      </x:c>
      <x:c r="U1211" t="n">
        <x:v>1</x:v>
      </x:c>
      <x:c r="V1211" t="n">
        <x:v>1</x:v>
      </x:c>
      <x:c r="W1211" t="n">
        <x:v>0</x:v>
      </x:c>
      <x:c r="X1211" t="n">
        <x:v>0</x:v>
      </x:c>
      <x:c r="Y1211" t="n">
        <x:v>0</x:v>
      </x:c>
      <x:c r="Z1211" t="n">
        <x:v>2</x:v>
      </x:c>
      <x:c r="AA1211" t="n">
        <x:v>4</x:v>
      </x:c>
      <x:c r="AB1211" t="str">
        <x:v>Pass</x:v>
      </x:c>
      <x:c r="AC1211" t="str"/>
      <x:c r="AD1211" t="str"/>
    </x:row>
    <x:row r="1212">
      <x:c r="A1212" t="str">
        <x:v>REC1211</x:v>
      </x:c>
      <x:c r="B1212" t="n">
        <x:v>1210</x:v>
      </x:c>
      <x:c r="C1212" t="str">
        <x:v>St. Thomas, USVI</x:v>
      </x:c>
      <x:c r="D1212" t="str">
        <x:v>GV</x:v>
      </x:c>
      <x:c r="E1212" t="str">
        <x:v>Ground Validation</x:v>
      </x:c>
      <x:c r="F1212" t="str">
        <x:v>HD Seaviewer Drop Camera</x:v>
      </x:c>
      <x:c r="G1212" t="str">
        <x:v>GV2016_598</x:v>
      </x:c>
      <x:c r="H1212" s="28" t="n">
        <x:v>42608</x:v>
      </x:c>
      <x:c r="I1212" t="str">
        <x:v>09:04:30</x:v>
      </x:c>
      <x:c r="J1212" t="n">
        <x:v>2016</x:v>
      </x:c>
      <x:c r="K1212" t="n">
        <x:v>18.21307843</x:v>
      </x:c>
      <x:c r="L1212" t="n">
        <x:v>-64.93997681</x:v>
      </x:c>
      <x:c r="M1212" t="n">
        <x:v>44.554</x:v>
      </x:c>
      <x:c r="N1212" t="str">
        <x:v>https://nccospublicstor.blob.core.windows.net/biomapper/usviinsularshelf2017/videos/low/GV2016_598.mp4</x:v>
      </x:c>
      <x:c r="O1212" t="n">
        <x:v>0</x:v>
      </x:c>
      <x:c r="P1212" t="n">
        <x:v>0</x:v>
      </x:c>
      <x:c r="Q1212" t="n">
        <x:v>1</x:v>
      </x:c>
      <x:c r="R1212" t="n">
        <x:v>1</x:v>
      </x:c>
      <x:c r="S1212" t="n">
        <x:v>0</x:v>
      </x:c>
      <x:c r="T1212" t="n">
        <x:v>0</x:v>
      </x:c>
      <x:c r="U1212" t="n">
        <x:v>1</x:v>
      </x:c>
      <x:c r="V1212" t="n">
        <x:v>1</x:v>
      </x:c>
      <x:c r="W1212" t="n">
        <x:v>0</x:v>
      </x:c>
      <x:c r="X1212" t="n">
        <x:v>0</x:v>
      </x:c>
      <x:c r="Y1212" t="n">
        <x:v>0</x:v>
      </x:c>
      <x:c r="Z1212" t="n">
        <x:v>2</x:v>
      </x:c>
      <x:c r="AA1212" t="n">
        <x:v>2</x:v>
      </x:c>
      <x:c r="AB1212" t="str">
        <x:v>Pass</x:v>
      </x:c>
      <x:c r="AC1212" t="str"/>
      <x:c r="AD1212" t="str"/>
    </x:row>
    <x:row r="1213">
      <x:c r="A1213" t="str">
        <x:v>REC1212</x:v>
      </x:c>
      <x:c r="B1213" t="n">
        <x:v>1211</x:v>
      </x:c>
      <x:c r="C1213" t="str">
        <x:v>St. Thomas, USVI</x:v>
      </x:c>
      <x:c r="D1213" t="str">
        <x:v>GV</x:v>
      </x:c>
      <x:c r="E1213" t="str">
        <x:v>Ground Validation</x:v>
      </x:c>
      <x:c r="F1213" t="str">
        <x:v>HD Seaviewer Drop Camera</x:v>
      </x:c>
      <x:c r="G1213" t="str">
        <x:v>GV2016_599</x:v>
      </x:c>
      <x:c r="H1213" s="28" t="n">
        <x:v>42622</x:v>
      </x:c>
      <x:c r="I1213" t="str">
        <x:v>13:55:04</x:v>
      </x:c>
      <x:c r="J1213" t="n">
        <x:v>2016</x:v>
      </x:c>
      <x:c r="K1213" t="n">
        <x:v>18.22952826</x:v>
      </x:c>
      <x:c r="L1213" t="n">
        <x:v>-64.83450708</x:v>
      </x:c>
      <x:c r="M1213" t="n">
        <x:v>45.312</x:v>
      </x:c>
      <x:c r="N1213" t="str">
        <x:v>https://nccospublicstor.blob.core.windows.net/biomapper/usviinsularshelf2017/videos/low/GV2016_599.mp4</x:v>
      </x:c>
      <x:c r="O1213" t="n">
        <x:v>0</x:v>
      </x:c>
      <x:c r="P1213" t="n">
        <x:v>0</x:v>
      </x:c>
      <x:c r="Q1213" t="n">
        <x:v>1</x:v>
      </x:c>
      <x:c r="R1213" t="n">
        <x:v>0</x:v>
      </x:c>
      <x:c r="S1213" t="n">
        <x:v>0</x:v>
      </x:c>
      <x:c r="T1213" t="n">
        <x:v>0</x:v>
      </x:c>
      <x:c r="U1213" t="n">
        <x:v>1</x:v>
      </x:c>
      <x:c r="V1213" t="n">
        <x:v>1</x:v>
      </x:c>
      <x:c r="W1213" t="n">
        <x:v>0</x:v>
      </x:c>
      <x:c r="X1213" t="n">
        <x:v>0</x:v>
      </x:c>
      <x:c r="Y1213" t="n">
        <x:v>0</x:v>
      </x:c>
      <x:c r="Z1213" t="n">
        <x:v>1</x:v>
      </x:c>
      <x:c r="AA1213" t="n">
        <x:v>2</x:v>
      </x:c>
      <x:c r="AB1213" t="str">
        <x:v>Pass</x:v>
      </x:c>
      <x:c r="AC1213" t="str"/>
      <x:c r="AD1213" t="str"/>
    </x:row>
    <x:row r="1214">
      <x:c r="A1214" t="str">
        <x:v>REC1213</x:v>
      </x:c>
      <x:c r="B1214" t="n">
        <x:v>1212</x:v>
      </x:c>
      <x:c r="C1214" t="str">
        <x:v>Puerto Rico</x:v>
      </x:c>
      <x:c r="D1214" t="str">
        <x:v>GV</x:v>
      </x:c>
      <x:c r="E1214" t="str">
        <x:v>Ground Validation</x:v>
      </x:c>
      <x:c r="F1214" t="str">
        <x:v>HD Seaviewer Drop Camera</x:v>
      </x:c>
      <x:c r="G1214" t="str">
        <x:v>GV2016_600</x:v>
      </x:c>
      <x:c r="H1214" s="28" t="n">
        <x:v>42605</x:v>
      </x:c>
      <x:c r="I1214" t="str">
        <x:v>11:30:44</x:v>
      </x:c>
      <x:c r="J1214" t="n">
        <x:v>2016</x:v>
      </x:c>
      <x:c r="K1214" t="n">
        <x:v>18.17372766</x:v>
      </x:c>
      <x:c r="L1214" t="n">
        <x:v>-65.14250498</x:v>
      </x:c>
      <x:c r="M1214" t="n">
        <x:v>38.129</x:v>
      </x:c>
      <x:c r="N1214" t="str">
        <x:v>https://nccospublicstor.blob.core.windows.net/biomapper/usviinsularshelf2017/videos/low/GV2016_600.mp4</x:v>
      </x:c>
      <x:c r="O1214" t="n">
        <x:v>1</x:v>
      </x:c>
      <x:c r="P1214" t="n">
        <x:v>0</x:v>
      </x:c>
      <x:c r="Q1214" t="n">
        <x:v>0</x:v>
      </x:c>
      <x:c r="R1214" t="n">
        <x:v>0</x:v>
      </x:c>
      <x:c r="S1214" t="n">
        <x:v>1</x:v>
      </x:c>
      <x:c r="T1214" t="n">
        <x:v>0</x:v>
      </x:c>
      <x:c r="U1214" t="n">
        <x:v>1</x:v>
      </x:c>
      <x:c r="V1214" t="n">
        <x:v>1</x:v>
      </x:c>
      <x:c r="W1214" t="n">
        <x:v>0</x:v>
      </x:c>
      <x:c r="X1214" t="n">
        <x:v>0</x:v>
      </x:c>
      <x:c r="Y1214" t="n">
        <x:v>0</x:v>
      </x:c>
      <x:c r="Z1214" t="n">
        <x:v>1</x:v>
      </x:c>
      <x:c r="AA1214" t="n">
        <x:v>3</x:v>
      </x:c>
      <x:c r="AB1214" t="str">
        <x:v>Pass</x:v>
      </x:c>
      <x:c r="AC1214" t="str"/>
      <x:c r="AD1214" t="str"/>
    </x:row>
    <x:row r="1215">
      <x:c r="A1215" t="str">
        <x:v>REC1214</x:v>
      </x:c>
      <x:c r="B1215" t="n">
        <x:v>1213</x:v>
      </x:c>
      <x:c r="C1215" t="str">
        <x:v>St. Thomas, USVI</x:v>
      </x:c>
      <x:c r="D1215" t="str">
        <x:v>GV</x:v>
      </x:c>
      <x:c r="E1215" t="str">
        <x:v>Ground Validation</x:v>
      </x:c>
      <x:c r="F1215" t="str">
        <x:v>HD Seaviewer Drop Camera</x:v>
      </x:c>
      <x:c r="G1215" t="str">
        <x:v>GV2016_601</x:v>
      </x:c>
      <x:c r="H1215" s="28" t="n">
        <x:v>42626</x:v>
      </x:c>
      <x:c r="I1215" t="str">
        <x:v>12:40:49</x:v>
      </x:c>
      <x:c r="J1215" t="n">
        <x:v>2016</x:v>
      </x:c>
      <x:c r="K1215" t="n">
        <x:v>18.22045525</x:v>
      </x:c>
      <x:c r="L1215" t="n">
        <x:v>-64.81530008</x:v>
      </x:c>
      <x:c r="M1215" t="n">
        <x:v>53.304</x:v>
      </x:c>
      <x:c r="N1215" t="str">
        <x:v>https://nccospublicstor.blob.core.windows.net/biomapper/usviinsularshelf2017/videos/low/GV2016_601.mp4</x:v>
      </x:c>
      <x:c r="O1215" t="n">
        <x:v>0</x:v>
      </x:c>
      <x:c r="P1215" t="n">
        <x:v>1</x:v>
      </x:c>
      <x:c r="Q1215" t="n">
        <x:v>1</x:v>
      </x:c>
      <x:c r="R1215" t="n">
        <x:v>0</x:v>
      </x:c>
      <x:c r="S1215" t="n">
        <x:v>1</x:v>
      </x:c>
      <x:c r="T1215" t="n">
        <x:v>0</x:v>
      </x:c>
      <x:c r="U1215" t="n">
        <x:v>1</x:v>
      </x:c>
      <x:c r="V1215" t="n">
        <x:v>1</x:v>
      </x:c>
      <x:c r="W1215" t="n">
        <x:v>0</x:v>
      </x:c>
      <x:c r="X1215" t="n">
        <x:v>0</x:v>
      </x:c>
      <x:c r="Y1215" t="n">
        <x:v>0</x:v>
      </x:c>
      <x:c r="Z1215" t="n">
        <x:v>2</x:v>
      </x:c>
      <x:c r="AA1215" t="n">
        <x:v>3</x:v>
      </x:c>
      <x:c r="AB1215" t="str">
        <x:v>Pass</x:v>
      </x:c>
      <x:c r="AC1215" t="str"/>
      <x:c r="AD1215" t="str"/>
    </x:row>
    <x:row r="1216">
      <x:c r="A1216" t="str">
        <x:v>REC1215</x:v>
      </x:c>
      <x:c r="B1216" t="n">
        <x:v>1214</x:v>
      </x:c>
      <x:c r="C1216" t="str">
        <x:v>St. John, USVI</x:v>
      </x:c>
      <x:c r="D1216" t="str">
        <x:v>GV</x:v>
      </x:c>
      <x:c r="E1216" t="str">
        <x:v>Ground Validation</x:v>
      </x:c>
      <x:c r="F1216" t="str">
        <x:v>HD Seaviewer Drop Camera</x:v>
      </x:c>
      <x:c r="G1216" t="str">
        <x:v>GV2016_602</x:v>
      </x:c>
      <x:c r="H1216" s="28" t="n">
        <x:v>42625</x:v>
      </x:c>
      <x:c r="I1216" t="str">
        <x:v>13:03:23</x:v>
      </x:c>
      <x:c r="J1216" t="n">
        <x:v>2016</x:v>
      </x:c>
      <x:c r="K1216" t="n">
        <x:v>18.23589218</x:v>
      </x:c>
      <x:c r="L1216" t="n">
        <x:v>-64.6763688</x:v>
      </x:c>
      <x:c r="M1216" t="n">
        <x:v>54.814</x:v>
      </x:c>
      <x:c r="N1216" t="str">
        <x:v>https://nccospublicstor.blob.core.windows.net/biomapper/usviinsularshelf2017/videos/low/GV2016_602.mp4</x:v>
      </x:c>
      <x:c r="O1216" t="n">
        <x:v>0</x:v>
      </x:c>
      <x:c r="P1216" t="n">
        <x:v>1</x:v>
      </x:c>
      <x:c r="Q1216" t="n">
        <x:v>1</x:v>
      </x:c>
      <x:c r="R1216" t="n">
        <x:v>0</x:v>
      </x:c>
      <x:c r="S1216" t="n">
        <x:v>1</x:v>
      </x:c>
      <x:c r="T1216" t="n">
        <x:v>0</x:v>
      </x:c>
      <x:c r="U1216" t="n">
        <x:v>1</x:v>
      </x:c>
      <x:c r="V1216" t="n">
        <x:v>1</x:v>
      </x:c>
      <x:c r="W1216" t="n">
        <x:v>0</x:v>
      </x:c>
      <x:c r="X1216" t="n">
        <x:v>0</x:v>
      </x:c>
      <x:c r="Y1216" t="n">
        <x:v>0</x:v>
      </x:c>
      <x:c r="Z1216" t="n">
        <x:v>2</x:v>
      </x:c>
      <x:c r="AA1216" t="n">
        <x:v>3</x:v>
      </x:c>
      <x:c r="AB1216" t="str">
        <x:v>Pass</x:v>
      </x:c>
      <x:c r="AC1216" t="str"/>
      <x:c r="AD1216" t="str"/>
    </x:row>
    <x:row r="1217">
      <x:c r="A1217" t="str">
        <x:v>REC1216</x:v>
      </x:c>
      <x:c r="B1217" t="n">
        <x:v>1215</x:v>
      </x:c>
      <x:c r="C1217" t="str">
        <x:v>St. John, USVI</x:v>
      </x:c>
      <x:c r="D1217" t="str">
        <x:v>GV</x:v>
      </x:c>
      <x:c r="E1217" t="str">
        <x:v>Ground Validation</x:v>
      </x:c>
      <x:c r="F1217" t="str">
        <x:v>HD Seaviewer Drop Camera</x:v>
      </x:c>
      <x:c r="G1217" t="str">
        <x:v>GV2016_603</x:v>
      </x:c>
      <x:c r="H1217" s="28" t="n">
        <x:v>42613</x:v>
      </x:c>
      <x:c r="I1217" t="str">
        <x:v>10:49:37</x:v>
      </x:c>
      <x:c r="J1217" t="n">
        <x:v>2016</x:v>
      </x:c>
      <x:c r="K1217" t="n">
        <x:v>18.28765326</x:v>
      </x:c>
      <x:c r="L1217" t="n">
        <x:v>-64.80174767</x:v>
      </x:c>
      <x:c r="M1217" t="n">
        <x:v>28.35</x:v>
      </x:c>
      <x:c r="N1217" t="str">
        <x:v>https://nccospublicstor.blob.core.windows.net/biomapper/usviinsularshelf2017/videos/low/GV2016_603.mp4</x:v>
      </x:c>
      <x:c r="O1217" t="n">
        <x:v>0</x:v>
      </x:c>
      <x:c r="P1217" t="n">
        <x:v>0</x:v>
      </x:c>
      <x:c r="Q1217" t="n">
        <x:v>1</x:v>
      </x:c>
      <x:c r="R1217" t="n">
        <x:v>1</x:v>
      </x:c>
      <x:c r="S1217" t="n">
        <x:v>0</x:v>
      </x:c>
      <x:c r="T1217" t="n">
        <x:v>0</x:v>
      </x:c>
      <x:c r="U1217" t="n">
        <x:v>1</x:v>
      </x:c>
      <x:c r="V1217" t="n">
        <x:v>1</x:v>
      </x:c>
      <x:c r="W1217" t="n">
        <x:v>0</x:v>
      </x:c>
      <x:c r="X1217" t="n">
        <x:v>0</x:v>
      </x:c>
      <x:c r="Y1217" t="n">
        <x:v>0</x:v>
      </x:c>
      <x:c r="Z1217" t="n">
        <x:v>2</x:v>
      </x:c>
      <x:c r="AA1217" t="n">
        <x:v>2</x:v>
      </x:c>
      <x:c r="AB1217" t="str">
        <x:v>Pass</x:v>
      </x:c>
      <x:c r="AC1217" t="str"/>
      <x:c r="AD1217" t="str"/>
    </x:row>
    <x:row r="1218">
      <x:c r="A1218" t="str">
        <x:v>REC1217</x:v>
      </x:c>
      <x:c r="B1218" t="n">
        <x:v>1216</x:v>
      </x:c>
      <x:c r="C1218" t="str">
        <x:v>St. John, USVI</x:v>
      </x:c>
      <x:c r="D1218" t="str">
        <x:v>GV</x:v>
      </x:c>
      <x:c r="E1218" t="str">
        <x:v>Ground Validation</x:v>
      </x:c>
      <x:c r="F1218" t="str">
        <x:v>HD Seaviewer Drop Camera</x:v>
      </x:c>
      <x:c r="G1218" t="str">
        <x:v>GV2016_604</x:v>
      </x:c>
      <x:c r="H1218" s="28" t="n">
        <x:v>42629</x:v>
      </x:c>
      <x:c r="I1218" t="str">
        <x:v>14:45:25</x:v>
      </x:c>
      <x:c r="J1218" t="n">
        <x:v>2016</x:v>
      </x:c>
      <x:c r="K1218" t="n">
        <x:v>18.18645971</x:v>
      </x:c>
      <x:c r="L1218" t="n">
        <x:v>-64.77035119</x:v>
      </x:c>
      <x:c r="M1218" t="n">
        <x:v>56.233</x:v>
      </x:c>
      <x:c r="N1218" t="str">
        <x:v>https://nccospublicstor.blob.core.windows.net/biomapper/usviinsularshelf2017/videos/low/GV2016_604.mp4</x:v>
      </x:c>
      <x:c r="O1218" t="n">
        <x:v>0</x:v>
      </x:c>
      <x:c r="P1218" t="n">
        <x:v>1</x:v>
      </x:c>
      <x:c r="Q1218" t="n">
        <x:v>1</x:v>
      </x:c>
      <x:c r="R1218" t="n">
        <x:v>0</x:v>
      </x:c>
      <x:c r="S1218" t="n">
        <x:v>1</x:v>
      </x:c>
      <x:c r="T1218" t="n">
        <x:v>0</x:v>
      </x:c>
      <x:c r="U1218" t="n">
        <x:v>1</x:v>
      </x:c>
      <x:c r="V1218" t="n">
        <x:v>1</x:v>
      </x:c>
      <x:c r="W1218" t="n">
        <x:v>0</x:v>
      </x:c>
      <x:c r="X1218" t="n">
        <x:v>0</x:v>
      </x:c>
      <x:c r="Y1218" t="n">
        <x:v>0</x:v>
      </x:c>
      <x:c r="Z1218" t="n">
        <x:v>2</x:v>
      </x:c>
      <x:c r="AA1218" t="n">
        <x:v>3</x:v>
      </x:c>
      <x:c r="AB1218" t="str">
        <x:v>Pass</x:v>
      </x:c>
      <x:c r="AC1218" t="str"/>
      <x:c r="AD1218" t="str"/>
    </x:row>
    <x:row r="1219">
      <x:c r="A1219" t="str">
        <x:v>REC1218</x:v>
      </x:c>
      <x:c r="B1219" t="n">
        <x:v>1217</x:v>
      </x:c>
      <x:c r="C1219" t="str">
        <x:v>St. Thomas, USVI</x:v>
      </x:c>
      <x:c r="D1219" t="str">
        <x:v>GV</x:v>
      </x:c>
      <x:c r="E1219" t="str">
        <x:v>Ground Validation</x:v>
      </x:c>
      <x:c r="F1219" t="str">
        <x:v>HD Seaviewer Drop Camera</x:v>
      </x:c>
      <x:c r="G1219" t="str">
        <x:v>GV2016_605</x:v>
      </x:c>
      <x:c r="H1219" s="28" t="n">
        <x:v>42609</x:v>
      </x:c>
      <x:c r="I1219" t="str">
        <x:v>14:59:42</x:v>
      </x:c>
      <x:c r="J1219" t="n">
        <x:v>2016</x:v>
      </x:c>
      <x:c r="K1219" t="n">
        <x:v>18.25237081</x:v>
      </x:c>
      <x:c r="L1219" t="n">
        <x:v>-65.02186852</x:v>
      </x:c>
      <x:c r="M1219" t="n">
        <x:v>37.747</x:v>
      </x:c>
      <x:c r="N1219" t="str">
        <x:v>https://nccospublicstor.blob.core.windows.net/biomapper/usviinsularshelf2017/videos/low/GV2016_605.mp4</x:v>
      </x:c>
      <x:c r="O1219" t="n">
        <x:v>0</x:v>
      </x:c>
      <x:c r="P1219" t="n">
        <x:v>1</x:v>
      </x:c>
      <x:c r="Q1219" t="n">
        <x:v>1</x:v>
      </x:c>
      <x:c r="R1219" t="n">
        <x:v>1</x:v>
      </x:c>
      <x:c r="S1219" t="n">
        <x:v>1</x:v>
      </x:c>
      <x:c r="T1219" t="n">
        <x:v>0</x:v>
      </x:c>
      <x:c r="U1219" t="n">
        <x:v>1</x:v>
      </x:c>
      <x:c r="V1219" t="n">
        <x:v>1</x:v>
      </x:c>
      <x:c r="W1219" t="n">
        <x:v>0</x:v>
      </x:c>
      <x:c r="X1219" t="n">
        <x:v>0</x:v>
      </x:c>
      <x:c r="Y1219" t="n">
        <x:v>0</x:v>
      </x:c>
      <x:c r="Z1219" t="n">
        <x:v>3</x:v>
      </x:c>
      <x:c r="AA1219" t="n">
        <x:v>3</x:v>
      </x:c>
      <x:c r="AB1219" t="str">
        <x:v>Pass</x:v>
      </x:c>
      <x:c r="AC1219" t="str"/>
      <x:c r="AD1219" t="str"/>
    </x:row>
    <x:row r="1220">
      <x:c r="A1220" t="str">
        <x:v>REC1219</x:v>
      </x:c>
      <x:c r="B1220" t="n">
        <x:v>1218</x:v>
      </x:c>
      <x:c r="C1220" t="str">
        <x:v>Puerto Rico</x:v>
      </x:c>
      <x:c r="D1220" t="str">
        <x:v>GV</x:v>
      </x:c>
      <x:c r="E1220" t="str">
        <x:v>Ground Validation</x:v>
      </x:c>
      <x:c r="F1220" t="str">
        <x:v>HD Seaviewer Drop Camera</x:v>
      </x:c>
      <x:c r="G1220" t="str">
        <x:v>GV2016_606</x:v>
      </x:c>
      <x:c r="H1220" s="28" t="n">
        <x:v>42603</x:v>
      </x:c>
      <x:c r="I1220" t="str">
        <x:v>13:21:23</x:v>
      </x:c>
      <x:c r="J1220" t="n">
        <x:v>2016</x:v>
      </x:c>
      <x:c r="K1220" t="n">
        <x:v>18.14782703</x:v>
      </x:c>
      <x:c r="L1220" t="n">
        <x:v>-65.25852729</x:v>
      </x:c>
      <x:c r="M1220" t="n">
        <x:v>23.483</x:v>
      </x:c>
      <x:c r="N1220" t="str">
        <x:v>https://nccospublicstor.blob.core.windows.net/biomapper/usviinsularshelf2017/videos/low/GV2016_606.mp4</x:v>
      </x:c>
      <x:c r="O1220" t="n">
        <x:v>0</x:v>
      </x:c>
      <x:c r="P1220" t="n">
        <x:v>1</x:v>
      </x:c>
      <x:c r="Q1220" t="n">
        <x:v>0</x:v>
      </x:c>
      <x:c r="R1220" t="n">
        <x:v>0</x:v>
      </x:c>
      <x:c r="S1220" t="n">
        <x:v>1</x:v>
      </x:c>
      <x:c r="T1220" t="n">
        <x:v>0</x:v>
      </x:c>
      <x:c r="U1220" t="n">
        <x:v>1</x:v>
      </x:c>
      <x:c r="V1220" t="n">
        <x:v>1</x:v>
      </x:c>
      <x:c r="W1220" t="n">
        <x:v>0</x:v>
      </x:c>
      <x:c r="X1220" t="n">
        <x:v>0</x:v>
      </x:c>
      <x:c r="Y1220" t="n">
        <x:v>0</x:v>
      </x:c>
      <x:c r="Z1220" t="n">
        <x:v>1</x:v>
      </x:c>
      <x:c r="AA1220" t="n">
        <x:v>3</x:v>
      </x:c>
      <x:c r="AB1220" t="str">
        <x:v>Pass</x:v>
      </x:c>
      <x:c r="AC1220" t="str"/>
      <x:c r="AD1220" t="str">
        <x:v>nurse shark</x:v>
      </x:c>
    </x:row>
    <x:row r="1221">
      <x:c r="A1221" t="str">
        <x:v>REC1220</x:v>
      </x:c>
      <x:c r="B1221" t="n">
        <x:v>1219</x:v>
      </x:c>
      <x:c r="C1221" t="str">
        <x:v>St. John, USVI</x:v>
      </x:c>
      <x:c r="D1221" t="str">
        <x:v>GV</x:v>
      </x:c>
      <x:c r="E1221" t="str">
        <x:v>Ground Validation</x:v>
      </x:c>
      <x:c r="F1221" t="str">
        <x:v>HD Seaviewer Drop Camera</x:v>
      </x:c>
      <x:c r="G1221" t="str">
        <x:v>GV2016_607</x:v>
      </x:c>
      <x:c r="H1221" s="28" t="n">
        <x:v>42629</x:v>
      </x:c>
      <x:c r="I1221" t="str">
        <x:v>15:05:34</x:v>
      </x:c>
      <x:c r="J1221" t="n">
        <x:v>2016</x:v>
      </x:c>
      <x:c r="K1221" t="n">
        <x:v>18.18447643</x:v>
      </x:c>
      <x:c r="L1221" t="n">
        <x:v>-64.7565429</x:v>
      </x:c>
      <x:c r="M1221" t="n">
        <x:v>55.835</x:v>
      </x:c>
      <x:c r="N1221" t="str">
        <x:v>https://nccospublicstor.blob.core.windows.net/biomapper/usviinsularshelf2017/videos/low/GV2016_607.mp4</x:v>
      </x:c>
      <x:c r="O1221" t="n">
        <x:v>0</x:v>
      </x:c>
      <x:c r="P1221" t="n">
        <x:v>1</x:v>
      </x:c>
      <x:c r="Q1221" t="n">
        <x:v>1</x:v>
      </x:c>
      <x:c r="R1221" t="n">
        <x:v>0</x:v>
      </x:c>
      <x:c r="S1221" t="n">
        <x:v>1</x:v>
      </x:c>
      <x:c r="T1221" t="n">
        <x:v>0</x:v>
      </x:c>
      <x:c r="U1221" t="n">
        <x:v>1</x:v>
      </x:c>
      <x:c r="V1221" t="n">
        <x:v>1</x:v>
      </x:c>
      <x:c r="W1221" t="n">
        <x:v>0</x:v>
      </x:c>
      <x:c r="X1221" t="n">
        <x:v>0</x:v>
      </x:c>
      <x:c r="Y1221" t="n">
        <x:v>0</x:v>
      </x:c>
      <x:c r="Z1221" t="n">
        <x:v>2</x:v>
      </x:c>
      <x:c r="AA1221" t="n">
        <x:v>3</x:v>
      </x:c>
      <x:c r="AB1221" t="str">
        <x:v>Pass</x:v>
      </x:c>
      <x:c r="AC1221" t="str"/>
      <x:c r="AD1221" t="str"/>
    </x:row>
    <x:row r="1222">
      <x:c r="A1222" t="str">
        <x:v>REC1221</x:v>
      </x:c>
      <x:c r="B1222" t="n">
        <x:v>1220</x:v>
      </x:c>
      <x:c r="C1222" t="str">
        <x:v>St. John, USVI</x:v>
      </x:c>
      <x:c r="D1222" t="str">
        <x:v>GV</x:v>
      </x:c>
      <x:c r="E1222" t="str">
        <x:v>Ground Validation</x:v>
      </x:c>
      <x:c r="F1222" t="str">
        <x:v>HD Seaviewer Drop Camera</x:v>
      </x:c>
      <x:c r="G1222" t="str">
        <x:v>GV2016_608</x:v>
      </x:c>
      <x:c r="H1222" s="28" t="n">
        <x:v>42629</x:v>
      </x:c>
      <x:c r="I1222" t="str">
        <x:v>13:25:42</x:v>
      </x:c>
      <x:c r="J1222" t="n">
        <x:v>2016</x:v>
      </x:c>
      <x:c r="K1222" t="n">
        <x:v>18.20893794</x:v>
      </x:c>
      <x:c r="L1222" t="n">
        <x:v>-64.77354993</x:v>
      </x:c>
      <x:c r="M1222" t="n">
        <x:v>55.154</x:v>
      </x:c>
      <x:c r="N1222" t="str">
        <x:v>https://nccospublicstor.blob.core.windows.net/biomapper/usviinsularshelf2017/videos/low/GV2016_608.mp4</x:v>
      </x:c>
      <x:c r="O1222" t="n">
        <x:v>0</x:v>
      </x:c>
      <x:c r="P1222" t="n">
        <x:v>0</x:v>
      </x:c>
      <x:c r="Q1222" t="n">
        <x:v>1</x:v>
      </x:c>
      <x:c r="R1222" t="n">
        <x:v>0</x:v>
      </x:c>
      <x:c r="S1222" t="n">
        <x:v>0</x:v>
      </x:c>
      <x:c r="T1222" t="n">
        <x:v>0</x:v>
      </x:c>
      <x:c r="U1222" t="n">
        <x:v>1</x:v>
      </x:c>
      <x:c r="V1222" t="n">
        <x:v>1</x:v>
      </x:c>
      <x:c r="W1222" t="n">
        <x:v>0</x:v>
      </x:c>
      <x:c r="X1222" t="n">
        <x:v>0</x:v>
      </x:c>
      <x:c r="Y1222" t="n">
        <x:v>0</x:v>
      </x:c>
      <x:c r="Z1222" t="n">
        <x:v>1</x:v>
      </x:c>
      <x:c r="AA1222" t="n">
        <x:v>2</x:v>
      </x:c>
      <x:c r="AB1222" t="str">
        <x:v>Pass</x:v>
      </x:c>
      <x:c r="AC1222" t="str"/>
      <x:c r="AD1222" t="str"/>
    </x:row>
    <x:row r="1223">
      <x:c r="A1223" t="str">
        <x:v>REC1222</x:v>
      </x:c>
      <x:c r="B1223" t="n">
        <x:v>1221</x:v>
      </x:c>
      <x:c r="C1223" t="str">
        <x:v>St. Thomas, USVI</x:v>
      </x:c>
      <x:c r="D1223" t="str">
        <x:v>GV</x:v>
      </x:c>
      <x:c r="E1223" t="str">
        <x:v>Ground Validation</x:v>
      </x:c>
      <x:c r="F1223" t="str">
        <x:v>HD Seaviewer Drop Camera</x:v>
      </x:c>
      <x:c r="G1223" t="str">
        <x:v>GV2016_609</x:v>
      </x:c>
      <x:c r="H1223" s="28" t="n">
        <x:v>42607</x:v>
      </x:c>
      <x:c r="I1223" t="str">
        <x:v>13:15:33</x:v>
      </x:c>
      <x:c r="J1223" t="n">
        <x:v>2016</x:v>
      </x:c>
      <x:c r="K1223" t="n">
        <x:v>18.24657265</x:v>
      </x:c>
      <x:c r="L1223" t="n">
        <x:v>-65.10522985</x:v>
      </x:c>
      <x:c r="M1223" t="n">
        <x:v>36.373</x:v>
      </x:c>
      <x:c r="N1223" t="str">
        <x:v>https://nccospublicstor.blob.core.windows.net/biomapper/usviinsularshelf2017/videos/low/GV2016_609.mp4</x:v>
      </x:c>
      <x:c r="O1223" t="n">
        <x:v>1</x:v>
      </x:c>
      <x:c r="P1223" t="n">
        <x:v>0</x:v>
      </x:c>
      <x:c r="Q1223" t="n">
        <x:v>0</x:v>
      </x:c>
      <x:c r="R1223" t="n">
        <x:v>1</x:v>
      </x:c>
      <x:c r="S1223" t="n">
        <x:v>1</x:v>
      </x:c>
      <x:c r="T1223" t="n">
        <x:v>0</x:v>
      </x:c>
      <x:c r="U1223" t="n">
        <x:v>1</x:v>
      </x:c>
      <x:c r="V1223" t="n">
        <x:v>1</x:v>
      </x:c>
      <x:c r="W1223" t="n">
        <x:v>0</x:v>
      </x:c>
      <x:c r="X1223" t="n">
        <x:v>0</x:v>
      </x:c>
      <x:c r="Y1223" t="n">
        <x:v>0</x:v>
      </x:c>
      <x:c r="Z1223" t="n">
        <x:v>2</x:v>
      </x:c>
      <x:c r="AA1223" t="n">
        <x:v>3</x:v>
      </x:c>
      <x:c r="AB1223" t="str">
        <x:v>Pass</x:v>
      </x:c>
      <x:c r="AC1223" t="str"/>
      <x:c r="AD1223" t="str"/>
    </x:row>
    <x:row r="1224">
      <x:c r="A1224" t="str">
        <x:v>REC1223</x:v>
      </x:c>
      <x:c r="B1224" t="n">
        <x:v>1222</x:v>
      </x:c>
      <x:c r="C1224" t="str">
        <x:v>St. Thomas, USVI</x:v>
      </x:c>
      <x:c r="D1224" t="str">
        <x:v>GV</x:v>
      </x:c>
      <x:c r="E1224" t="str">
        <x:v>Ground Validation</x:v>
      </x:c>
      <x:c r="F1224" t="str">
        <x:v>HD Seaviewer Drop Camera</x:v>
      </x:c>
      <x:c r="G1224" t="str">
        <x:v>GV2016_610</x:v>
      </x:c>
      <x:c r="H1224" s="28" t="n">
        <x:v>42622</x:v>
      </x:c>
      <x:c r="I1224" t="str">
        <x:v>14:40:24</x:v>
      </x:c>
      <x:c r="J1224" t="n">
        <x:v>2016</x:v>
      </x:c>
      <x:c r="K1224" t="n">
        <x:v>18.26100666</x:v>
      </x:c>
      <x:c r="L1224" t="n">
        <x:v>-64.81808898</x:v>
      </x:c>
      <x:c r="M1224" t="n">
        <x:v>36.649</x:v>
      </x:c>
      <x:c r="N1224" t="str">
        <x:v>https://nccospublicstor.blob.core.windows.net/biomapper/usviinsularshelf2017/videos/low/GV2016_610.mp4</x:v>
      </x:c>
      <x:c r="O1224" t="n">
        <x:v>0</x:v>
      </x:c>
      <x:c r="P1224" t="n">
        <x:v>0</x:v>
      </x:c>
      <x:c r="Q1224" t="n">
        <x:v>1</x:v>
      </x:c>
      <x:c r="R1224" t="n">
        <x:v>1</x:v>
      </x:c>
      <x:c r="S1224" t="n">
        <x:v>0</x:v>
      </x:c>
      <x:c r="T1224" t="n">
        <x:v>0</x:v>
      </x:c>
      <x:c r="U1224" t="n">
        <x:v>1</x:v>
      </x:c>
      <x:c r="V1224" t="n">
        <x:v>1</x:v>
      </x:c>
      <x:c r="W1224" t="n">
        <x:v>0</x:v>
      </x:c>
      <x:c r="X1224" t="n">
        <x:v>0</x:v>
      </x:c>
      <x:c r="Y1224" t="n">
        <x:v>0</x:v>
      </x:c>
      <x:c r="Z1224" t="n">
        <x:v>2</x:v>
      </x:c>
      <x:c r="AA1224" t="n">
        <x:v>2</x:v>
      </x:c>
      <x:c r="AB1224" t="str">
        <x:v>Pass</x:v>
      </x:c>
      <x:c r="AC1224" t="str"/>
      <x:c r="AD1224" t="str"/>
    </x:row>
    <x:row r="1225">
      <x:c r="A1225" t="str">
        <x:v>REC1224</x:v>
      </x:c>
      <x:c r="B1225" t="n">
        <x:v>1223</x:v>
      </x:c>
      <x:c r="C1225" t="str">
        <x:v>St. Thomas, USVI</x:v>
      </x:c>
      <x:c r="D1225" t="str">
        <x:v>GV</x:v>
      </x:c>
      <x:c r="E1225" t="str">
        <x:v>Ground Validation</x:v>
      </x:c>
      <x:c r="F1225" t="str">
        <x:v>HD Seaviewer Drop Camera</x:v>
      </x:c>
      <x:c r="G1225" t="str">
        <x:v>GV2016_612</x:v>
      </x:c>
      <x:c r="H1225" s="28" t="n">
        <x:v>42611</x:v>
      </x:c>
      <x:c r="I1225" t="str">
        <x:v>14:07:16</x:v>
      </x:c>
      <x:c r="J1225" t="n">
        <x:v>2016</x:v>
      </x:c>
      <x:c r="K1225" t="n">
        <x:v>18.23298764</x:v>
      </x:c>
      <x:c r="L1225" t="n">
        <x:v>-64.97582858</x:v>
      </x:c>
      <x:c r="M1225" t="n">
        <x:v>40.406</x:v>
      </x:c>
      <x:c r="N1225" t="str">
        <x:v>https://nccospublicstor.blob.core.windows.net/biomapper/usviinsularshelf2017/videos/low/GV2016_612.mp4</x:v>
      </x:c>
      <x:c r="O1225" t="n">
        <x:v>0</x:v>
      </x:c>
      <x:c r="P1225" t="n">
        <x:v>0</x:v>
      </x:c>
      <x:c r="Q1225" t="n">
        <x:v>0</x:v>
      </x:c>
      <x:c r="R1225" t="n">
        <x:v>1</x:v>
      </x:c>
      <x:c r="S1225" t="n">
        <x:v>0</x:v>
      </x:c>
      <x:c r="T1225" t="n">
        <x:v>0</x:v>
      </x:c>
      <x:c r="U1225" t="n">
        <x:v>1</x:v>
      </x:c>
      <x:c r="V1225" t="n">
        <x:v>1</x:v>
      </x:c>
      <x:c r="W1225" t="n">
        <x:v>0</x:v>
      </x:c>
      <x:c r="X1225" t="n">
        <x:v>0</x:v>
      </x:c>
      <x:c r="Y1225" t="n">
        <x:v>0</x:v>
      </x:c>
      <x:c r="Z1225" t="n">
        <x:v>1</x:v>
      </x:c>
      <x:c r="AA1225" t="n">
        <x:v>2</x:v>
      </x:c>
      <x:c r="AB1225" t="str">
        <x:v>Pass</x:v>
      </x:c>
      <x:c r="AC1225" t="str"/>
      <x:c r="AD1225" t="str">
        <x:v>Great Barracuda</x:v>
      </x:c>
    </x:row>
    <x:row r="1226">
      <x:c r="A1226" t="str">
        <x:v>REC1225</x:v>
      </x:c>
      <x:c r="B1226" t="n">
        <x:v>1224</x:v>
      </x:c>
      <x:c r="C1226" t="str">
        <x:v>St. John, USVI</x:v>
      </x:c>
      <x:c r="D1226" t="str">
        <x:v>GV</x:v>
      </x:c>
      <x:c r="E1226" t="str">
        <x:v>Ground Validation</x:v>
      </x:c>
      <x:c r="F1226" t="str">
        <x:v>HD Seaviewer Drop Camera</x:v>
      </x:c>
      <x:c r="G1226" t="str">
        <x:v>GV2016_613</x:v>
      </x:c>
      <x:c r="H1226" s="28" t="n">
        <x:v>42626</x:v>
      </x:c>
      <x:c r="I1226" t="str">
        <x:v>11:20:24</x:v>
      </x:c>
      <x:c r="J1226" t="n">
        <x:v>2016</x:v>
      </x:c>
      <x:c r="K1226" t="n">
        <x:v>18.22944714</x:v>
      </x:c>
      <x:c r="L1226" t="n">
        <x:v>-64.78536973</x:v>
      </x:c>
      <x:c r="M1226" t="n">
        <x:v>51.656</x:v>
      </x:c>
      <x:c r="N1226" t="str">
        <x:v>https://nccospublicstor.blob.core.windows.net/biomapper/usviinsularshelf2017/videos/low/GV2016_613.mp4</x:v>
      </x:c>
      <x:c r="O1226" t="n">
        <x:v>0</x:v>
      </x:c>
      <x:c r="P1226" t="n">
        <x:v>0</x:v>
      </x:c>
      <x:c r="Q1226" t="n">
        <x:v>1</x:v>
      </x:c>
      <x:c r="R1226" t="n">
        <x:v>1</x:v>
      </x:c>
      <x:c r="S1226" t="n">
        <x:v>0</x:v>
      </x:c>
      <x:c r="T1226" t="n">
        <x:v>0</x:v>
      </x:c>
      <x:c r="U1226" t="n">
        <x:v>1</x:v>
      </x:c>
      <x:c r="V1226" t="n">
        <x:v>1</x:v>
      </x:c>
      <x:c r="W1226" t="n">
        <x:v>0</x:v>
      </x:c>
      <x:c r="X1226" t="n">
        <x:v>0</x:v>
      </x:c>
      <x:c r="Y1226" t="n">
        <x:v>0</x:v>
      </x:c>
      <x:c r="Z1226" t="n">
        <x:v>2</x:v>
      </x:c>
      <x:c r="AA1226" t="n">
        <x:v>2</x:v>
      </x:c>
      <x:c r="AB1226" t="str">
        <x:v>Pass</x:v>
      </x:c>
      <x:c r="AC1226" t="str"/>
      <x:c r="AD1226" t="str"/>
    </x:row>
    <x:row r="1227">
      <x:c r="A1227" t="str">
        <x:v>REC1226</x:v>
      </x:c>
      <x:c r="B1227" t="n">
        <x:v>1225</x:v>
      </x:c>
      <x:c r="C1227" t="str">
        <x:v>St. John, USVI</x:v>
      </x:c>
      <x:c r="D1227" t="str">
        <x:v>GV</x:v>
      </x:c>
      <x:c r="E1227" t="str">
        <x:v>Ground Validation</x:v>
      </x:c>
      <x:c r="F1227" t="str">
        <x:v>HD Seaviewer Drop Camera</x:v>
      </x:c>
      <x:c r="G1227" t="str">
        <x:v>GV2016_614</x:v>
      </x:c>
      <x:c r="H1227" s="28" t="n">
        <x:v>42630</x:v>
      </x:c>
      <x:c r="I1227" t="str">
        <x:v>06:59:50</x:v>
      </x:c>
      <x:c r="J1227" t="n">
        <x:v>2016</x:v>
      </x:c>
      <x:c r="K1227" t="n">
        <x:v>18.25109993</x:v>
      </x:c>
      <x:c r="L1227" t="n">
        <x:v>-64.7682937</x:v>
      </x:c>
      <x:c r="M1227" t="n">
        <x:v>45.781</x:v>
      </x:c>
      <x:c r="N1227" t="str">
        <x:v>https://nccospublicstor.blob.core.windows.net/biomapper/usviinsularshelf2017/videos/low/GV2016_614.mp4</x:v>
      </x:c>
      <x:c r="O1227" t="n">
        <x:v>0</x:v>
      </x:c>
      <x:c r="P1227" t="n">
        <x:v>0</x:v>
      </x:c>
      <x:c r="Q1227" t="n">
        <x:v>1</x:v>
      </x:c>
      <x:c r="R1227" t="n">
        <x:v>0</x:v>
      </x:c>
      <x:c r="S1227" t="n">
        <x:v>0</x:v>
      </x:c>
      <x:c r="T1227" t="n">
        <x:v>0</x:v>
      </x:c>
      <x:c r="U1227" t="n">
        <x:v>1</x:v>
      </x:c>
      <x:c r="V1227" t="n">
        <x:v>1</x:v>
      </x:c>
      <x:c r="W1227" t="n">
        <x:v>0</x:v>
      </x:c>
      <x:c r="X1227" t="n">
        <x:v>0</x:v>
      </x:c>
      <x:c r="Y1227" t="n">
        <x:v>0</x:v>
      </x:c>
      <x:c r="Z1227" t="n">
        <x:v>1</x:v>
      </x:c>
      <x:c r="AA1227" t="n">
        <x:v>2</x:v>
      </x:c>
      <x:c r="AB1227" t="str">
        <x:v>Pass</x:v>
      </x:c>
      <x:c r="AC1227" t="str"/>
      <x:c r="AD1227" t="str"/>
    </x:row>
    <x:row r="1228">
      <x:c r="A1228" t="str">
        <x:v>REC1227</x:v>
      </x:c>
      <x:c r="B1228" t="n">
        <x:v>1226</x:v>
      </x:c>
      <x:c r="C1228" t="str">
        <x:v>St. John, USVI</x:v>
      </x:c>
      <x:c r="D1228" t="str">
        <x:v>GV</x:v>
      </x:c>
      <x:c r="E1228" t="str">
        <x:v>Ground Validation</x:v>
      </x:c>
      <x:c r="F1228" t="str">
        <x:v>HD Seaviewer Drop Camera</x:v>
      </x:c>
      <x:c r="G1228" t="str">
        <x:v>GV2016_615</x:v>
      </x:c>
      <x:c r="H1228" s="28" t="n">
        <x:v>42625</x:v>
      </x:c>
      <x:c r="I1228" t="str">
        <x:v>12:12:30</x:v>
      </x:c>
      <x:c r="J1228" t="n">
        <x:v>2016</x:v>
      </x:c>
      <x:c r="K1228" t="n">
        <x:v>18.22920408</x:v>
      </x:c>
      <x:c r="L1228" t="n">
        <x:v>-64.70073946</x:v>
      </x:c>
      <x:c r="M1228" t="n">
        <x:v>52.623</x:v>
      </x:c>
      <x:c r="N1228" t="str">
        <x:v>https://nccospublicstor.blob.core.windows.net/biomapper/usviinsularshelf2017/videos/low/GV2016_615.mp4</x:v>
      </x:c>
      <x:c r="O1228" t="n">
        <x:v>0</x:v>
      </x:c>
      <x:c r="P1228" t="n">
        <x:v>1</x:v>
      </x:c>
      <x:c r="Q1228" t="n">
        <x:v>0</x:v>
      </x:c>
      <x:c r="R1228" t="n">
        <x:v>0</x:v>
      </x:c>
      <x:c r="S1228" t="n">
        <x:v>1</x:v>
      </x:c>
      <x:c r="T1228" t="n">
        <x:v>0</x:v>
      </x:c>
      <x:c r="U1228" t="n">
        <x:v>1</x:v>
      </x:c>
      <x:c r="V1228" t="n">
        <x:v>1</x:v>
      </x:c>
      <x:c r="W1228" t="n">
        <x:v>0</x:v>
      </x:c>
      <x:c r="X1228" t="n">
        <x:v>0</x:v>
      </x:c>
      <x:c r="Y1228" t="n">
        <x:v>0</x:v>
      </x:c>
      <x:c r="Z1228" t="n">
        <x:v>1</x:v>
      </x:c>
      <x:c r="AA1228" t="n">
        <x:v>3</x:v>
      </x:c>
      <x:c r="AB1228" t="str">
        <x:v>Pass</x:v>
      </x:c>
      <x:c r="AC1228" t="str"/>
      <x:c r="AD1228" t="str"/>
    </x:row>
    <x:row r="1229">
      <x:c r="A1229" t="str">
        <x:v>REC1228</x:v>
      </x:c>
      <x:c r="B1229" t="n">
        <x:v>1227</x:v>
      </x:c>
      <x:c r="C1229" t="str">
        <x:v>St. Thomas, USVI</x:v>
      </x:c>
      <x:c r="D1229" t="str">
        <x:v>GV</x:v>
      </x:c>
      <x:c r="E1229" t="str">
        <x:v>Ground Validation</x:v>
      </x:c>
      <x:c r="F1229" t="str">
        <x:v>HD Seaviewer Drop Camera</x:v>
      </x:c>
      <x:c r="G1229" t="str">
        <x:v>GV2016_616</x:v>
      </x:c>
      <x:c r="H1229" s="28" t="n">
        <x:v>42602</x:v>
      </x:c>
      <x:c r="I1229" t="str">
        <x:v>13:44:41</x:v>
      </x:c>
      <x:c r="J1229" t="n">
        <x:v>2016</x:v>
      </x:c>
      <x:c r="K1229" t="n">
        <x:v>18.27644933</x:v>
      </x:c>
      <x:c r="L1229" t="n">
        <x:v>-65.13652452</x:v>
      </x:c>
      <x:c r="M1229" t="n">
        <x:v>25.055</x:v>
      </x:c>
      <x:c r="N1229" t="str">
        <x:v>https://nccospublicstor.blob.core.windows.net/biomapper/usviinsularshelf2017/videos/low/GV2016_616.mp4</x:v>
      </x:c>
      <x:c r="O1229" t="n">
        <x:v>1</x:v>
      </x:c>
      <x:c r="P1229" t="n">
        <x:v>0</x:v>
      </x:c>
      <x:c r="Q1229" t="n">
        <x:v>0</x:v>
      </x:c>
      <x:c r="R1229" t="n">
        <x:v>0</x:v>
      </x:c>
      <x:c r="S1229" t="n">
        <x:v>1</x:v>
      </x:c>
      <x:c r="T1229" t="n">
        <x:v>0</x:v>
      </x:c>
      <x:c r="U1229" t="n">
        <x:v>1</x:v>
      </x:c>
      <x:c r="V1229" t="n">
        <x:v>1</x:v>
      </x:c>
      <x:c r="W1229" t="n">
        <x:v>0</x:v>
      </x:c>
      <x:c r="X1229" t="n">
        <x:v>0</x:v>
      </x:c>
      <x:c r="Y1229" t="n">
        <x:v>0</x:v>
      </x:c>
      <x:c r="Z1229" t="n">
        <x:v>1</x:v>
      </x:c>
      <x:c r="AA1229" t="n">
        <x:v>3</x:v>
      </x:c>
      <x:c r="AB1229" t="str">
        <x:v>Pass</x:v>
      </x:c>
      <x:c r="AC1229" t="str"/>
      <x:c r="AD1229" t="str"/>
    </x:row>
    <x:row r="1230">
      <x:c r="A1230" t="str">
        <x:v>REC1229</x:v>
      </x:c>
      <x:c r="B1230" t="n">
        <x:v>1228</x:v>
      </x:c>
      <x:c r="C1230" t="str">
        <x:v>St. Thomas, USVI</x:v>
      </x:c>
      <x:c r="D1230" t="str">
        <x:v>GV</x:v>
      </x:c>
      <x:c r="E1230" t="str">
        <x:v>Ground Validation</x:v>
      </x:c>
      <x:c r="F1230" t="str">
        <x:v>HD Seaviewer Drop Camera</x:v>
      </x:c>
      <x:c r="G1230" t="str">
        <x:v>GV2016_617</x:v>
      </x:c>
      <x:c r="H1230" s="28" t="n">
        <x:v>42610</x:v>
      </x:c>
      <x:c r="I1230" t="str">
        <x:v>10:12:17</x:v>
      </x:c>
      <x:c r="J1230" t="n">
        <x:v>2016</x:v>
      </x:c>
      <x:c r="K1230" t="n">
        <x:v>18.18582607</x:v>
      </x:c>
      <x:c r="L1230" t="n">
        <x:v>-64.90524549</x:v>
      </x:c>
      <x:c r="M1230" t="n">
        <x:v>53.528</x:v>
      </x:c>
      <x:c r="N1230" t="str">
        <x:v>https://nccospublicstor.blob.core.windows.net/biomapper/usviinsularshelf2017/videos/low/GV2016_617.mp4</x:v>
      </x:c>
      <x:c r="O1230" t="n">
        <x:v>0</x:v>
      </x:c>
      <x:c r="P1230" t="n">
        <x:v>0</x:v>
      </x:c>
      <x:c r="Q1230" t="n">
        <x:v>1</x:v>
      </x:c>
      <x:c r="R1230" t="n">
        <x:v>0</x:v>
      </x:c>
      <x:c r="S1230" t="n">
        <x:v>0</x:v>
      </x:c>
      <x:c r="T1230" t="n">
        <x:v>0</x:v>
      </x:c>
      <x:c r="U1230" t="n">
        <x:v>1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1</x:v>
      </x:c>
      <x:c r="AA1230" t="n">
        <x:v>1</x:v>
      </x:c>
      <x:c r="AB1230" t="str">
        <x:v>Pass</x:v>
      </x:c>
      <x:c r="AC1230" t="str"/>
      <x:c r="AD1230" t="str"/>
    </x:row>
    <x:row r="1231">
      <x:c r="A1231" t="str">
        <x:v>REC1230</x:v>
      </x:c>
      <x:c r="B1231" t="n">
        <x:v>1229</x:v>
      </x:c>
      <x:c r="C1231" t="str">
        <x:v>St. Thomas, USVI</x:v>
      </x:c>
      <x:c r="D1231" t="str">
        <x:v>GV</x:v>
      </x:c>
      <x:c r="E1231" t="str">
        <x:v>Ground Validation</x:v>
      </x:c>
      <x:c r="F1231" t="str">
        <x:v>HD Seaviewer Drop Camera</x:v>
      </x:c>
      <x:c r="G1231" t="str">
        <x:v>GV2016_618</x:v>
      </x:c>
      <x:c r="H1231" s="28" t="n">
        <x:v>42612</x:v>
      </x:c>
      <x:c r="I1231" t="str">
        <x:v>13:55:54</x:v>
      </x:c>
      <x:c r="J1231" t="n">
        <x:v>2016</x:v>
      </x:c>
      <x:c r="K1231" t="n">
        <x:v>18.28513335</x:v>
      </x:c>
      <x:c r="L1231" t="n">
        <x:v>-64.82490902</x:v>
      </x:c>
      <x:c r="M1231" t="n">
        <x:v>29.537</x:v>
      </x:c>
      <x:c r="N1231" t="str">
        <x:v>https://nccospublicstor.blob.core.windows.net/biomapper/usviinsularshelf2017/videos/low/GV2016_618.mp4</x:v>
      </x:c>
      <x:c r="O1231" t="n">
        <x:v>0</x:v>
      </x:c>
      <x:c r="P1231" t="n">
        <x:v>0</x:v>
      </x:c>
      <x:c r="Q1231" t="n">
        <x:v>1</x:v>
      </x:c>
      <x:c r="R1231" t="n">
        <x:v>1</x:v>
      </x:c>
      <x:c r="S1231" t="n">
        <x:v>0</x:v>
      </x:c>
      <x:c r="T1231" t="n">
        <x:v>0</x:v>
      </x:c>
      <x:c r="U1231" t="n">
        <x:v>1</x:v>
      </x:c>
      <x:c r="V1231" t="n">
        <x:v>1</x:v>
      </x:c>
      <x:c r="W1231" t="n">
        <x:v>0</x:v>
      </x:c>
      <x:c r="X1231" t="n">
        <x:v>0</x:v>
      </x:c>
      <x:c r="Y1231" t="n">
        <x:v>0</x:v>
      </x:c>
      <x:c r="Z1231" t="n">
        <x:v>2</x:v>
      </x:c>
      <x:c r="AA1231" t="n">
        <x:v>2</x:v>
      </x:c>
      <x:c r="AB1231" t="str">
        <x:v>Pass</x:v>
      </x:c>
      <x:c r="AC1231" t="str"/>
      <x:c r="AD1231" t="str"/>
    </x:row>
    <x:row r="1232">
      <x:c r="A1232" t="str">
        <x:v>REC1231</x:v>
      </x:c>
      <x:c r="B1232" t="n">
        <x:v>1230</x:v>
      </x:c>
      <x:c r="C1232" t="str">
        <x:v>St. Thomas, USVI</x:v>
      </x:c>
      <x:c r="D1232" t="str">
        <x:v>GV</x:v>
      </x:c>
      <x:c r="E1232" t="str">
        <x:v>Ground Validation</x:v>
      </x:c>
      <x:c r="F1232" t="str">
        <x:v>HD Seaviewer Drop Camera</x:v>
      </x:c>
      <x:c r="G1232" t="str">
        <x:v>GV2016_619</x:v>
      </x:c>
      <x:c r="H1232" s="28" t="n">
        <x:v>42611</x:v>
      </x:c>
      <x:c r="I1232" t="str">
        <x:v>08:19:19</x:v>
      </x:c>
      <x:c r="J1232" t="n">
        <x:v>2016</x:v>
      </x:c>
      <x:c r="K1232" t="n">
        <x:v>18.27074282</x:v>
      </x:c>
      <x:c r="L1232" t="n">
        <x:v>-64.86343501</x:v>
      </x:c>
      <x:c r="M1232" t="n">
        <x:v>29.021</x:v>
      </x:c>
      <x:c r="N1232" t="str">
        <x:v>https://nccospublicstor.blob.core.windows.net/biomapper/usviinsularshelf2017/videos/low/GV2016_619.mp4</x:v>
      </x:c>
      <x:c r="O1232" t="n">
        <x:v>0</x:v>
      </x:c>
      <x:c r="P1232" t="n">
        <x:v>0</x:v>
      </x:c>
      <x:c r="Q1232" t="n">
        <x:v>0</x:v>
      </x:c>
      <x:c r="R1232" t="n">
        <x:v>1</x:v>
      </x:c>
      <x:c r="S1232" t="n">
        <x:v>0</x:v>
      </x:c>
      <x:c r="T1232" t="n">
        <x:v>0</x:v>
      </x:c>
      <x:c r="U1232" t="n">
        <x:v>1</x:v>
      </x:c>
      <x:c r="V1232" t="n">
        <x:v>1</x:v>
      </x:c>
      <x:c r="W1232" t="n">
        <x:v>0</x:v>
      </x:c>
      <x:c r="X1232" t="n">
        <x:v>0</x:v>
      </x:c>
      <x:c r="Y1232" t="n">
        <x:v>0</x:v>
      </x:c>
      <x:c r="Z1232" t="n">
        <x:v>1</x:v>
      </x:c>
      <x:c r="AA1232" t="n">
        <x:v>2</x:v>
      </x:c>
      <x:c r="AB1232" t="str">
        <x:v>Pass</x:v>
      </x:c>
      <x:c r="AC1232" t="str"/>
      <x:c r="AD1232" t="str"/>
    </x:row>
    <x:row r="1233">
      <x:c r="A1233" t="str">
        <x:v>REC1232</x:v>
      </x:c>
      <x:c r="B1233" t="n">
        <x:v>1231</x:v>
      </x:c>
      <x:c r="C1233" t="str">
        <x:v>St. Thomas, USVI</x:v>
      </x:c>
      <x:c r="D1233" t="str">
        <x:v>GV</x:v>
      </x:c>
      <x:c r="E1233" t="str">
        <x:v>Ground Validation</x:v>
      </x:c>
      <x:c r="F1233" t="str">
        <x:v>HD Seaviewer Drop Camera</x:v>
      </x:c>
      <x:c r="G1233" t="str">
        <x:v>GV2016_620</x:v>
      </x:c>
      <x:c r="H1233" s="28" t="n">
        <x:v>42611</x:v>
      </x:c>
      <x:c r="I1233" t="str">
        <x:v>08:44:13</x:v>
      </x:c>
      <x:c r="J1233" t="n">
        <x:v>2016</x:v>
      </x:c>
      <x:c r="K1233" t="n">
        <x:v>18.25502831</x:v>
      </x:c>
      <x:c r="L1233" t="n">
        <x:v>-64.86703182</x:v>
      </x:c>
      <x:c r="M1233" t="n">
        <x:v>38.365</x:v>
      </x:c>
      <x:c r="N1233" t="str">
        <x:v>https://nccospublicstor.blob.core.windows.net/biomapper/usviinsularshelf2017/videos/low/GV2016_620.mp4</x:v>
      </x:c>
      <x:c r="O1233" t="n">
        <x:v>0</x:v>
      </x:c>
      <x:c r="P1233" t="n">
        <x:v>0</x:v>
      </x:c>
      <x:c r="Q1233" t="n">
        <x:v>1</x:v>
      </x:c>
      <x:c r="R1233" t="n">
        <x:v>1</x:v>
      </x:c>
      <x:c r="S1233" t="n">
        <x:v>0</x:v>
      </x:c>
      <x:c r="T1233" t="n">
        <x:v>0</x:v>
      </x:c>
      <x:c r="U1233" t="n">
        <x:v>1</x:v>
      </x:c>
      <x:c r="V1233" t="n">
        <x:v>1</x:v>
      </x:c>
      <x:c r="W1233" t="n">
        <x:v>0</x:v>
      </x:c>
      <x:c r="X1233" t="n">
        <x:v>1</x:v>
      </x:c>
      <x:c r="Y1233" t="n">
        <x:v>0</x:v>
      </x:c>
      <x:c r="Z1233" t="n">
        <x:v>2</x:v>
      </x:c>
      <x:c r="AA1233" t="n">
        <x:v>2</x:v>
      </x:c>
      <x:c r="AB1233" t="str">
        <x:v>Pass</x:v>
      </x:c>
      <x:c r="AC1233" t="str"/>
      <x:c r="AD1233" t="str">
        <x:v>Trap and Line</x:v>
      </x:c>
    </x:row>
    <x:row r="1234">
      <x:c r="A1234" t="str">
        <x:v>REC1233</x:v>
      </x:c>
      <x:c r="B1234" t="n">
        <x:v>1232</x:v>
      </x:c>
      <x:c r="C1234" t="str">
        <x:v>St. Thomas, USVI</x:v>
      </x:c>
      <x:c r="D1234" t="str">
        <x:v>GV</x:v>
      </x:c>
      <x:c r="E1234" t="str">
        <x:v>Ground Validation</x:v>
      </x:c>
      <x:c r="F1234" t="str">
        <x:v>HD Seaviewer Drop Camera</x:v>
      </x:c>
      <x:c r="G1234" t="str">
        <x:v>GV2016_621</x:v>
      </x:c>
      <x:c r="H1234" s="28" t="n">
        <x:v>42609</x:v>
      </x:c>
      <x:c r="I1234" t="str">
        <x:v>12:17:57</x:v>
      </x:c>
      <x:c r="J1234" t="n">
        <x:v>2016</x:v>
      </x:c>
      <x:c r="K1234" t="n">
        <x:v>18.27044375</x:v>
      </x:c>
      <x:c r="L1234" t="n">
        <x:v>-64.99114099</x:v>
      </x:c>
      <x:c r="M1234" t="n">
        <x:v>33.019</x:v>
      </x:c>
      <x:c r="N1234" t="str">
        <x:v>https://nccospublicstor.blob.core.windows.net/biomapper/usviinsularshelf2017/videos/low/GV2016_621.mp4</x:v>
      </x:c>
      <x:c r="O1234" t="n">
        <x:v>0</x:v>
      </x:c>
      <x:c r="P1234" t="n">
        <x:v>0</x:v>
      </x:c>
      <x:c r="Q1234" t="n">
        <x:v>1</x:v>
      </x:c>
      <x:c r="R1234" t="n">
        <x:v>0</x:v>
      </x:c>
      <x:c r="S1234" t="n">
        <x:v>0</x:v>
      </x:c>
      <x:c r="T1234" t="n">
        <x:v>0</x:v>
      </x:c>
      <x:c r="U1234" t="n">
        <x:v>1</x:v>
      </x:c>
      <x:c r="V1234" t="n">
        <x:v>1</x:v>
      </x:c>
      <x:c r="W1234" t="n">
        <x:v>0</x:v>
      </x:c>
      <x:c r="X1234" t="n">
        <x:v>0</x:v>
      </x:c>
      <x:c r="Y1234" t="n">
        <x:v>0</x:v>
      </x:c>
      <x:c r="Z1234" t="n">
        <x:v>1</x:v>
      </x:c>
      <x:c r="AA1234" t="n">
        <x:v>2</x:v>
      </x:c>
      <x:c r="AB1234" t="str">
        <x:v>Pass</x:v>
      </x:c>
      <x:c r="AC1234" t="str"/>
      <x:c r="AD1234" t="str"/>
    </x:row>
    <x:row r="1235">
      <x:c r="A1235" t="str">
        <x:v>REC1234</x:v>
      </x:c>
      <x:c r="B1235" t="n">
        <x:v>1233</x:v>
      </x:c>
      <x:c r="C1235" t="str">
        <x:v>St. Thomas, USVI</x:v>
      </x:c>
      <x:c r="D1235" t="str">
        <x:v>GV</x:v>
      </x:c>
      <x:c r="E1235" t="str">
        <x:v>Ground Validation</x:v>
      </x:c>
      <x:c r="F1235" t="str">
        <x:v>HD Seaviewer Drop Camera</x:v>
      </x:c>
      <x:c r="G1235" t="str">
        <x:v>GV2016_622</x:v>
      </x:c>
      <x:c r="H1235" s="28" t="n">
        <x:v>42611</x:v>
      </x:c>
      <x:c r="I1235" t="str">
        <x:v>09:45:02</x:v>
      </x:c>
      <x:c r="J1235" t="n">
        <x:v>2016</x:v>
      </x:c>
      <x:c r="K1235" t="n">
        <x:v>18.22225714</x:v>
      </x:c>
      <x:c r="L1235" t="n">
        <x:v>-64.87932106</x:v>
      </x:c>
      <x:c r="M1235" t="n">
        <x:v>41.548</x:v>
      </x:c>
      <x:c r="N1235" t="str">
        <x:v>https://nccospublicstor.blob.core.windows.net/biomapper/usviinsularshelf2017/videos/low/GV2016_622.mp4</x:v>
      </x:c>
      <x:c r="O1235" t="n">
        <x:v>1</x:v>
      </x:c>
      <x:c r="P1235" t="n">
        <x:v>0</x:v>
      </x:c>
      <x:c r="Q1235" t="n">
        <x:v>1</x:v>
      </x:c>
      <x:c r="R1235" t="n">
        <x:v>1</x:v>
      </x:c>
      <x:c r="S1235" t="n">
        <x:v>1</x:v>
      </x:c>
      <x:c r="T1235" t="n">
        <x:v>0</x:v>
      </x:c>
      <x:c r="U1235" t="n">
        <x:v>1</x:v>
      </x:c>
      <x:c r="V1235" t="n">
        <x:v>1</x:v>
      </x:c>
      <x:c r="W1235" t="n">
        <x:v>0</x:v>
      </x:c>
      <x:c r="X1235" t="n">
        <x:v>0</x:v>
      </x:c>
      <x:c r="Y1235" t="n">
        <x:v>0</x:v>
      </x:c>
      <x:c r="Z1235" t="n">
        <x:v>3</x:v>
      </x:c>
      <x:c r="AA1235" t="n">
        <x:v>3</x:v>
      </x:c>
      <x:c r="AB1235" t="str">
        <x:v>Pass</x:v>
      </x:c>
      <x:c r="AC1235" t="str"/>
      <x:c r="AD1235" t="str"/>
    </x:row>
    <x:row r="1236">
      <x:c r="A1236" t="str">
        <x:v>REC1235</x:v>
      </x:c>
      <x:c r="B1236" t="n">
        <x:v>1234</x:v>
      </x:c>
      <x:c r="C1236" t="str">
        <x:v>St. John, USVI</x:v>
      </x:c>
      <x:c r="D1236" t="str">
        <x:v>GV</x:v>
      </x:c>
      <x:c r="E1236" t="str">
        <x:v>Ground Validation</x:v>
      </x:c>
      <x:c r="F1236" t="str">
        <x:v>HD Seaviewer Drop Camera</x:v>
      </x:c>
      <x:c r="G1236" t="str">
        <x:v>GV2016_623</x:v>
      </x:c>
      <x:c r="H1236" s="28" t="n">
        <x:v>42624</x:v>
      </x:c>
      <x:c r="I1236" t="str">
        <x:v>09:45:59</x:v>
      </x:c>
      <x:c r="J1236" t="n">
        <x:v>2016</x:v>
      </x:c>
      <x:c r="K1236" t="n">
        <x:v>18.28047653</x:v>
      </x:c>
      <x:c r="L1236" t="n">
        <x:v>-64.67930538</x:v>
      </x:c>
      <x:c r="M1236" t="n">
        <x:v>41.625</x:v>
      </x:c>
      <x:c r="N1236" t="str">
        <x:v>https://nccospublicstor.blob.core.windows.net/biomapper/usviinsularshelf2017/videos/low/GV2016_623.mp4</x:v>
      </x:c>
      <x:c r="O1236" t="n">
        <x:v>0</x:v>
      </x:c>
      <x:c r="P1236" t="n">
        <x:v>0</x:v>
      </x:c>
      <x:c r="Q1236" t="n">
        <x:v>1</x:v>
      </x:c>
      <x:c r="R1236" t="n">
        <x:v>1</x:v>
      </x:c>
      <x:c r="S1236" t="n">
        <x:v>0</x:v>
      </x:c>
      <x:c r="T1236" t="n">
        <x:v>0</x:v>
      </x:c>
      <x:c r="U1236" t="n">
        <x:v>1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2</x:v>
      </x:c>
      <x:c r="AA1236" t="n">
        <x:v>1</x:v>
      </x:c>
      <x:c r="AB1236" t="str">
        <x:v>Pass</x:v>
      </x:c>
      <x:c r="AC1236" t="str"/>
      <x:c r="AD1236" t="str"/>
    </x:row>
    <x:row r="1237">
      <x:c r="A1237" t="str">
        <x:v>REC1236</x:v>
      </x:c>
      <x:c r="B1237" t="n">
        <x:v>1235</x:v>
      </x:c>
      <x:c r="C1237" t="str">
        <x:v>St. Thomas, USVI</x:v>
      </x:c>
      <x:c r="D1237" t="str">
        <x:v>GV</x:v>
      </x:c>
      <x:c r="E1237" t="str">
        <x:v>Ground Validation</x:v>
      </x:c>
      <x:c r="F1237" t="str">
        <x:v>HD Seaviewer Drop Camera</x:v>
      </x:c>
      <x:c r="G1237" t="str">
        <x:v>GV2016_624</x:v>
      </x:c>
      <x:c r="H1237" s="28" t="n">
        <x:v>42611</x:v>
      </x:c>
      <x:c r="I1237" t="str">
        <x:v>08:32:00</x:v>
      </x:c>
      <x:c r="J1237" t="n">
        <x:v>2016</x:v>
      </x:c>
      <x:c r="K1237" t="n">
        <x:v>18.26064908</x:v>
      </x:c>
      <x:c r="L1237" t="n">
        <x:v>-64.86039619</x:v>
      </x:c>
      <x:c r="M1237" t="n">
        <x:v>36.185</x:v>
      </x:c>
      <x:c r="N1237" t="str">
        <x:v>https://nccospublicstor.blob.core.windows.net/biomapper/usviinsularshelf2017/videos/low/GV2016_624.mp4</x:v>
      </x:c>
      <x:c r="O1237" t="n">
        <x:v>0</x:v>
      </x:c>
      <x:c r="P1237" t="n">
        <x:v>0</x:v>
      </x:c>
      <x:c r="Q1237" t="n">
        <x:v>1</x:v>
      </x:c>
      <x:c r="R1237" t="n">
        <x:v>1</x:v>
      </x:c>
      <x:c r="S1237" t="n">
        <x:v>0</x:v>
      </x:c>
      <x:c r="T1237" t="n">
        <x:v>0</x:v>
      </x:c>
      <x:c r="U1237" t="n">
        <x:v>1</x:v>
      </x:c>
      <x:c r="V1237" t="n">
        <x:v>1</x:v>
      </x:c>
      <x:c r="W1237" t="n">
        <x:v>0</x:v>
      </x:c>
      <x:c r="X1237" t="n">
        <x:v>0</x:v>
      </x:c>
      <x:c r="Y1237" t="n">
        <x:v>0</x:v>
      </x:c>
      <x:c r="Z1237" t="n">
        <x:v>2</x:v>
      </x:c>
      <x:c r="AA1237" t="n">
        <x:v>2</x:v>
      </x:c>
      <x:c r="AB1237" t="str">
        <x:v>Pass</x:v>
      </x:c>
      <x:c r="AC1237" t="str"/>
      <x:c r="AD1237" t="str"/>
    </x:row>
    <x:row r="1238">
      <x:c r="A1238" t="str">
        <x:v>REC1237</x:v>
      </x:c>
      <x:c r="B1238" t="n">
        <x:v>1236</x:v>
      </x:c>
      <x:c r="C1238" t="str">
        <x:v>St. John, USVI</x:v>
      </x:c>
      <x:c r="D1238" t="str">
        <x:v>GV</x:v>
      </x:c>
      <x:c r="E1238" t="str">
        <x:v>Ground Validation</x:v>
      </x:c>
      <x:c r="F1238" t="str">
        <x:v>HD Seaviewer Drop Camera</x:v>
      </x:c>
      <x:c r="G1238" t="str">
        <x:v>GV2016_625</x:v>
      </x:c>
      <x:c r="H1238" s="28" t="n">
        <x:v>42625</x:v>
      </x:c>
      <x:c r="I1238" t="str">
        <x:v>12:46:48</x:v>
      </x:c>
      <x:c r="J1238" t="n">
        <x:v>2016</x:v>
      </x:c>
      <x:c r="K1238" t="n">
        <x:v>18.23867658</x:v>
      </x:c>
      <x:c r="L1238" t="n">
        <x:v>-64.6833404</x:v>
      </x:c>
      <x:c r="M1238" t="n">
        <x:v>53.377</x:v>
      </x:c>
      <x:c r="N1238" t="str">
        <x:v>https://nccospublicstor.blob.core.windows.net/biomapper/usviinsularshelf2017/videos/low/GV2016_625.mp4</x:v>
      </x:c>
      <x:c r="O1238" t="n">
        <x:v>0</x:v>
      </x:c>
      <x:c r="P1238" t="n">
        <x:v>1</x:v>
      </x:c>
      <x:c r="Q1238" t="n">
        <x:v>1</x:v>
      </x:c>
      <x:c r="R1238" t="n">
        <x:v>0</x:v>
      </x:c>
      <x:c r="S1238" t="n">
        <x:v>1</x:v>
      </x:c>
      <x:c r="T1238" t="n">
        <x:v>0</x:v>
      </x:c>
      <x:c r="U1238" t="n">
        <x:v>1</x:v>
      </x:c>
      <x:c r="V1238" t="n">
        <x:v>1</x:v>
      </x:c>
      <x:c r="W1238" t="n">
        <x:v>0</x:v>
      </x:c>
      <x:c r="X1238" t="n">
        <x:v>0</x:v>
      </x:c>
      <x:c r="Y1238" t="n">
        <x:v>0</x:v>
      </x:c>
      <x:c r="Z1238" t="n">
        <x:v>2</x:v>
      </x:c>
      <x:c r="AA1238" t="n">
        <x:v>3</x:v>
      </x:c>
      <x:c r="AB1238" t="str">
        <x:v>Pass</x:v>
      </x:c>
      <x:c r="AC1238" t="str"/>
      <x:c r="AD1238" t="str"/>
    </x:row>
    <x:row r="1239">
      <x:c r="A1239" t="str">
        <x:v>REC1238</x:v>
      </x:c>
      <x:c r="B1239" t="n">
        <x:v>1237</x:v>
      </x:c>
      <x:c r="C1239" t="str">
        <x:v>Puerto Rico</x:v>
      </x:c>
      <x:c r="D1239" t="str">
        <x:v>GV</x:v>
      </x:c>
      <x:c r="E1239" t="str">
        <x:v>Ground Validation</x:v>
      </x:c>
      <x:c r="F1239" t="str">
        <x:v>HD Seaviewer Drop Camera</x:v>
      </x:c>
      <x:c r="G1239" t="str">
        <x:v>GV2016_626</x:v>
      </x:c>
      <x:c r="H1239" s="28" t="n">
        <x:v>42603</x:v>
      </x:c>
      <x:c r="I1239" t="str">
        <x:v>11:31:50</x:v>
      </x:c>
      <x:c r="J1239" t="n">
        <x:v>2016</x:v>
      </x:c>
      <x:c r="K1239" t="n">
        <x:v>18.12207197</x:v>
      </x:c>
      <x:c r="L1239" t="n">
        <x:v>-65.20783116</x:v>
      </x:c>
      <x:c r="M1239" t="n">
        <x:v>37.764</x:v>
      </x:c>
      <x:c r="N1239" t="str">
        <x:v>https://nccospublicstor.blob.core.windows.net/biomapper/usviinsularshelf2017/videos/low/GV2016_626.mp4</x:v>
      </x:c>
      <x:c r="O1239" t="n">
        <x:v>0</x:v>
      </x:c>
      <x:c r="P1239" t="n">
        <x:v>1</x:v>
      </x:c>
      <x:c r="Q1239" t="n">
        <x:v>0</x:v>
      </x:c>
      <x:c r="R1239" t="n">
        <x:v>0</x:v>
      </x:c>
      <x:c r="S1239" t="n">
        <x:v>1</x:v>
      </x:c>
      <x:c r="T1239" t="n">
        <x:v>1</x:v>
      </x:c>
      <x:c r="U1239" t="n">
        <x:v>1</x:v>
      </x:c>
      <x:c r="V1239" t="n">
        <x:v>1</x:v>
      </x:c>
      <x:c r="W1239" t="n">
        <x:v>0</x:v>
      </x:c>
      <x:c r="X1239" t="n">
        <x:v>0</x:v>
      </x:c>
      <x:c r="Y1239" t="n">
        <x:v>0</x:v>
      </x:c>
      <x:c r="Z1239" t="n">
        <x:v>1</x:v>
      </x:c>
      <x:c r="AA1239" t="n">
        <x:v>4</x:v>
      </x:c>
      <x:c r="AB1239" t="str">
        <x:v>Pass</x:v>
      </x:c>
      <x:c r="AC1239" t="str"/>
      <x:c r="AD1239" t="str"/>
    </x:row>
    <x:row r="1240">
      <x:c r="A1240" t="str">
        <x:v>REC1239</x:v>
      </x:c>
      <x:c r="B1240" t="n">
        <x:v>1238</x:v>
      </x:c>
      <x:c r="C1240" t="str">
        <x:v>Puerto Rico</x:v>
      </x:c>
      <x:c r="D1240" t="str">
        <x:v>GV</x:v>
      </x:c>
      <x:c r="E1240" t="str">
        <x:v>Ground Validation</x:v>
      </x:c>
      <x:c r="F1240" t="str">
        <x:v>HD Seaviewer Drop Camera</x:v>
      </x:c>
      <x:c r="G1240" t="str">
        <x:v>GV2016_627</x:v>
      </x:c>
      <x:c r="H1240" s="28" t="n">
        <x:v>42603</x:v>
      </x:c>
      <x:c r="I1240" t="str">
        <x:v>09:43:30</x:v>
      </x:c>
      <x:c r="J1240" t="n">
        <x:v>2016</x:v>
      </x:c>
      <x:c r="K1240" t="n">
        <x:v>18.13428873</x:v>
      </x:c>
      <x:c r="L1240" t="n">
        <x:v>-65.20973563</x:v>
      </x:c>
      <x:c r="M1240" t="n">
        <x:v>39.384</x:v>
      </x:c>
      <x:c r="N1240" t="str">
        <x:v>https://nccospublicstor.blob.core.windows.net/biomapper/usviinsularshelf2017/videos/low/GV2016_627.mp4</x:v>
      </x:c>
      <x:c r="O1240" t="n">
        <x:v>1</x:v>
      </x:c>
      <x:c r="P1240" t="n">
        <x:v>1</x:v>
      </x:c>
      <x:c r="Q1240" t="n">
        <x:v>0</x:v>
      </x:c>
      <x:c r="R1240" t="n">
        <x:v>0</x:v>
      </x:c>
      <x:c r="S1240" t="n">
        <x:v>1</x:v>
      </x:c>
      <x:c r="T1240" t="n">
        <x:v>0</x:v>
      </x:c>
      <x:c r="U1240" t="n">
        <x:v>1</x:v>
      </x:c>
      <x:c r="V1240" t="n">
        <x:v>1</x:v>
      </x:c>
      <x:c r="W1240" t="n">
        <x:v>0</x:v>
      </x:c>
      <x:c r="X1240" t="n">
        <x:v>0</x:v>
      </x:c>
      <x:c r="Y1240" t="n">
        <x:v>0</x:v>
      </x:c>
      <x:c r="Z1240" t="n">
        <x:v>2</x:v>
      </x:c>
      <x:c r="AA1240" t="n">
        <x:v>3</x:v>
      </x:c>
      <x:c r="AB1240" t="str">
        <x:v>Pass</x:v>
      </x:c>
      <x:c r="AC1240" t="str"/>
      <x:c r="AD1240" t="str"/>
    </x:row>
    <x:row r="1241">
      <x:c r="A1241" t="str">
        <x:v>REC1240</x:v>
      </x:c>
      <x:c r="B1241" t="n">
        <x:v>1239</x:v>
      </x:c>
      <x:c r="C1241" t="str">
        <x:v>St. John, USVI</x:v>
      </x:c>
      <x:c r="D1241" t="str">
        <x:v>GV</x:v>
      </x:c>
      <x:c r="E1241" t="str">
        <x:v>Ground Validation</x:v>
      </x:c>
      <x:c r="F1241" t="str">
        <x:v>HD Seaviewer Drop Camera</x:v>
      </x:c>
      <x:c r="G1241" t="str">
        <x:v>GV2016_628</x:v>
      </x:c>
      <x:c r="H1241" s="28" t="n">
        <x:v>42630</x:v>
      </x:c>
      <x:c r="I1241" t="str">
        <x:v>13:43:11</x:v>
      </x:c>
      <x:c r="J1241" t="n">
        <x:v>2016</x:v>
      </x:c>
      <x:c r="K1241" t="n">
        <x:v>18.23123518</x:v>
      </x:c>
      <x:c r="L1241" t="n">
        <x:v>-64.7445334</x:v>
      </x:c>
      <x:c r="M1241" t="n">
        <x:v>53.117</x:v>
      </x:c>
      <x:c r="N1241" t="str">
        <x:v>https://nccospublicstor.blob.core.windows.net/biomapper/usviinsularshelf2017/videos/low/GV2016_628.mp4</x:v>
      </x:c>
      <x:c r="O1241" t="n">
        <x:v>0</x:v>
      </x:c>
      <x:c r="P1241" t="n">
        <x:v>1</x:v>
      </x:c>
      <x:c r="Q1241" t="n">
        <x:v>1</x:v>
      </x:c>
      <x:c r="R1241" t="n">
        <x:v>0</x:v>
      </x:c>
      <x:c r="S1241" t="n">
        <x:v>1</x:v>
      </x:c>
      <x:c r="T1241" t="n">
        <x:v>0</x:v>
      </x:c>
      <x:c r="U1241" t="n">
        <x:v>1</x:v>
      </x:c>
      <x:c r="V1241" t="n">
        <x:v>1</x:v>
      </x:c>
      <x:c r="W1241" t="n">
        <x:v>0</x:v>
      </x:c>
      <x:c r="X1241" t="n">
        <x:v>0</x:v>
      </x:c>
      <x:c r="Y1241" t="n">
        <x:v>0</x:v>
      </x:c>
      <x:c r="Z1241" t="n">
        <x:v>2</x:v>
      </x:c>
      <x:c r="AA1241" t="n">
        <x:v>3</x:v>
      </x:c>
      <x:c r="AB1241" t="str">
        <x:v>Pass</x:v>
      </x:c>
      <x:c r="AC1241" t="str"/>
      <x:c r="AD1241" t="str"/>
    </x:row>
    <x:row r="1242">
      <x:c r="A1242" t="str">
        <x:v>REC1241</x:v>
      </x:c>
      <x:c r="B1242" t="n">
        <x:v>1240</x:v>
      </x:c>
      <x:c r="C1242" t="str">
        <x:v>St. Thomas, USVI</x:v>
      </x:c>
      <x:c r="D1242" t="str">
        <x:v>GV</x:v>
      </x:c>
      <x:c r="E1242" t="str">
        <x:v>Ground Validation</x:v>
      </x:c>
      <x:c r="F1242" t="str">
        <x:v>HD Seaviewer Drop Camera</x:v>
      </x:c>
      <x:c r="G1242" t="str">
        <x:v>GV2016_630</x:v>
      </x:c>
      <x:c r="H1242" s="28" t="n">
        <x:v>42608</x:v>
      </x:c>
      <x:c r="I1242" t="str">
        <x:v>11:38:51</x:v>
      </x:c>
      <x:c r="J1242" t="n">
        <x:v>2016</x:v>
      </x:c>
      <x:c r="K1242" t="n">
        <x:v>18.21875864</x:v>
      </x:c>
      <x:c r="L1242" t="n">
        <x:v>-65.02027079</x:v>
      </x:c>
      <x:c r="M1242" t="n">
        <x:v>41.999</x:v>
      </x:c>
      <x:c r="N1242" t="str">
        <x:v>https://nccospublicstor.blob.core.windows.net/biomapper/usviinsularshelf2017/videos/low/GV2016_630.mp4</x:v>
      </x:c>
      <x:c r="O1242" t="n">
        <x:v>0</x:v>
      </x:c>
      <x:c r="P1242" t="n">
        <x:v>0</x:v>
      </x:c>
      <x:c r="Q1242" t="n">
        <x:v>1</x:v>
      </x:c>
      <x:c r="R1242" t="n">
        <x:v>1</x:v>
      </x:c>
      <x:c r="S1242" t="n">
        <x:v>0</x:v>
      </x:c>
      <x:c r="T1242" t="n">
        <x:v>0</x:v>
      </x:c>
      <x:c r="U1242" t="n">
        <x:v>1</x:v>
      </x:c>
      <x:c r="V1242" t="n">
        <x:v>1</x:v>
      </x:c>
      <x:c r="W1242" t="n">
        <x:v>0</x:v>
      </x:c>
      <x:c r="X1242" t="n">
        <x:v>0</x:v>
      </x:c>
      <x:c r="Y1242" t="n">
        <x:v>0</x:v>
      </x:c>
      <x:c r="Z1242" t="n">
        <x:v>2</x:v>
      </x:c>
      <x:c r="AA1242" t="n">
        <x:v>2</x:v>
      </x:c>
      <x:c r="AB1242" t="str">
        <x:v>Pass</x:v>
      </x:c>
      <x:c r="AC1242" t="str"/>
      <x:c r="AD1242" t="str"/>
    </x:row>
    <x:row r="1243">
      <x:c r="A1243" t="str">
        <x:v>REC1242</x:v>
      </x:c>
      <x:c r="B1243" t="n">
        <x:v>1241</x:v>
      </x:c>
      <x:c r="C1243" t="str">
        <x:v>St. Thomas, USVI</x:v>
      </x:c>
      <x:c r="D1243" t="str">
        <x:v>GV</x:v>
      </x:c>
      <x:c r="E1243" t="str">
        <x:v>Ground Validation</x:v>
      </x:c>
      <x:c r="F1243" t="str">
        <x:v>HD Seaviewer Drop Camera</x:v>
      </x:c>
      <x:c r="G1243" t="str">
        <x:v>GV2016_631</x:v>
      </x:c>
      <x:c r="H1243" s="28" t="n">
        <x:v>42610</x:v>
      </x:c>
      <x:c r="I1243" t="str">
        <x:v>13:28:56</x:v>
      </x:c>
      <x:c r="J1243" t="n">
        <x:v>2016</x:v>
      </x:c>
      <x:c r="K1243" t="n">
        <x:v>18.23197128</x:v>
      </x:c>
      <x:c r="L1243" t="n">
        <x:v>-64.91602636</x:v>
      </x:c>
      <x:c r="M1243" t="n">
        <x:v>42.895</x:v>
      </x:c>
      <x:c r="N1243" t="str">
        <x:v>https://nccospublicstor.blob.core.windows.net/biomapper/usviinsularshelf2017/videos/low/GV2016_631.mp4</x:v>
      </x:c>
      <x:c r="O1243" t="n">
        <x:v>0</x:v>
      </x:c>
      <x:c r="P1243" t="n">
        <x:v>0</x:v>
      </x:c>
      <x:c r="Q1243" t="n">
        <x:v>1</x:v>
      </x:c>
      <x:c r="R1243" t="n">
        <x:v>1</x:v>
      </x:c>
      <x:c r="S1243" t="n">
        <x:v>0</x:v>
      </x:c>
      <x:c r="T1243" t="n">
        <x:v>0</x:v>
      </x:c>
      <x:c r="U1243" t="n">
        <x:v>1</x:v>
      </x:c>
      <x:c r="V1243" t="n">
        <x:v>1</x:v>
      </x:c>
      <x:c r="W1243" t="n">
        <x:v>0</x:v>
      </x:c>
      <x:c r="X1243" t="n">
        <x:v>0</x:v>
      </x:c>
      <x:c r="Y1243" t="n">
        <x:v>0</x:v>
      </x:c>
      <x:c r="Z1243" t="n">
        <x:v>2</x:v>
      </x:c>
      <x:c r="AA1243" t="n">
        <x:v>2</x:v>
      </x:c>
      <x:c r="AB1243" t="str">
        <x:v>Pass</x:v>
      </x:c>
      <x:c r="AC1243" t="str"/>
      <x:c r="AD1243" t="str"/>
    </x:row>
    <x:row r="1244">
      <x:c r="A1244" t="str">
        <x:v>REC1243</x:v>
      </x:c>
      <x:c r="B1244" t="n">
        <x:v>1242</x:v>
      </x:c>
      <x:c r="C1244" t="str">
        <x:v>St. Thomas, USVI</x:v>
      </x:c>
      <x:c r="D1244" t="str">
        <x:v>GV</x:v>
      </x:c>
      <x:c r="E1244" t="str">
        <x:v>Ground Validation</x:v>
      </x:c>
      <x:c r="F1244" t="str">
        <x:v>HD Seaviewer Drop Camera</x:v>
      </x:c>
      <x:c r="G1244" t="str">
        <x:v>GV2016_632</x:v>
      </x:c>
      <x:c r="H1244" s="28" t="n">
        <x:v>42622</x:v>
      </x:c>
      <x:c r="I1244" t="str">
        <x:v>13:34:45</x:v>
      </x:c>
      <x:c r="J1244" t="n">
        <x:v>2016</x:v>
      </x:c>
      <x:c r="K1244" t="n">
        <x:v>18.21816537</x:v>
      </x:c>
      <x:c r="L1244" t="n">
        <x:v>-64.82918644</x:v>
      </x:c>
      <x:c r="M1244" t="n">
        <x:v>54.918</x:v>
      </x:c>
      <x:c r="N1244" t="str">
        <x:v>https://nccospublicstor.blob.core.windows.net/biomapper/usviinsularshelf2017/videos/low/GV2016_632.mp4</x:v>
      </x:c>
      <x:c r="O1244" t="n">
        <x:v>0</x:v>
      </x:c>
      <x:c r="P1244" t="n">
        <x:v>0</x:v>
      </x:c>
      <x:c r="Q1244" t="n">
        <x:v>1</x:v>
      </x:c>
      <x:c r="R1244" t="n">
        <x:v>0</x:v>
      </x:c>
      <x:c r="S1244" t="n">
        <x:v>0</x:v>
      </x:c>
      <x:c r="T1244" t="n">
        <x:v>0</x:v>
      </x:c>
      <x:c r="U1244" t="n">
        <x:v>1</x:v>
      </x:c>
      <x:c r="V1244" t="n">
        <x:v>1</x:v>
      </x:c>
      <x:c r="W1244" t="n">
        <x:v>0</x:v>
      </x:c>
      <x:c r="X1244" t="n">
        <x:v>0</x:v>
      </x:c>
      <x:c r="Y1244" t="n">
        <x:v>0</x:v>
      </x:c>
      <x:c r="Z1244" t="n">
        <x:v>1</x:v>
      </x:c>
      <x:c r="AA1244" t="n">
        <x:v>2</x:v>
      </x:c>
      <x:c r="AB1244" t="str">
        <x:v>Pass</x:v>
      </x:c>
      <x:c r="AC1244" t="str"/>
      <x:c r="AD1244" t="str"/>
    </x:row>
    <x:row r="1245">
      <x:c r="A1245" t="str">
        <x:v>REC1244</x:v>
      </x:c>
      <x:c r="B1245" t="n">
        <x:v>1243</x:v>
      </x:c>
      <x:c r="C1245" t="str">
        <x:v>St. Thomas, USVI</x:v>
      </x:c>
      <x:c r="D1245" t="str">
        <x:v>GV</x:v>
      </x:c>
      <x:c r="E1245" t="str">
        <x:v>Ground Validation</x:v>
      </x:c>
      <x:c r="F1245" t="str">
        <x:v>HD Seaviewer Drop Camera</x:v>
      </x:c>
      <x:c r="G1245" t="str">
        <x:v>GV2016_633</x:v>
      </x:c>
      <x:c r="H1245" s="28" t="n">
        <x:v>42607</x:v>
      </x:c>
      <x:c r="I1245" t="str">
        <x:v>13:22:40</x:v>
      </x:c>
      <x:c r="J1245" t="n">
        <x:v>2016</x:v>
      </x:c>
      <x:c r="K1245" t="n">
        <x:v>18.24720494</x:v>
      </x:c>
      <x:c r="L1245" t="n">
        <x:v>-65.09658764</x:v>
      </x:c>
      <x:c r="M1245" t="n">
        <x:v>27.453</x:v>
      </x:c>
      <x:c r="N1245" t="str">
        <x:v>https://nccospublicstor.blob.core.windows.net/biomapper/usviinsularshelf2017/videos/low/GV2016_633.mp4</x:v>
      </x:c>
      <x:c r="O1245" t="n">
        <x:v>1</x:v>
      </x:c>
      <x:c r="P1245" t="n">
        <x:v>0</x:v>
      </x:c>
      <x:c r="Q1245" t="n">
        <x:v>0</x:v>
      </x:c>
      <x:c r="R1245" t="n">
        <x:v>0</x:v>
      </x:c>
      <x:c r="S1245" t="n">
        <x:v>1</x:v>
      </x:c>
      <x:c r="T1245" t="n">
        <x:v>0</x:v>
      </x:c>
      <x:c r="U1245" t="n">
        <x:v>1</x:v>
      </x:c>
      <x:c r="V1245" t="n">
        <x:v>1</x:v>
      </x:c>
      <x:c r="W1245" t="n">
        <x:v>0</x:v>
      </x:c>
      <x:c r="X1245" t="n">
        <x:v>0</x:v>
      </x:c>
      <x:c r="Y1245" t="n">
        <x:v>0</x:v>
      </x:c>
      <x:c r="Z1245" t="n">
        <x:v>1</x:v>
      </x:c>
      <x:c r="AA1245" t="n">
        <x:v>3</x:v>
      </x:c>
      <x:c r="AB1245" t="str">
        <x:v>Pass</x:v>
      </x:c>
      <x:c r="AC1245" t="str"/>
      <x:c r="AD1245" t="str">
        <x:v>amazing coral cover, no placard</x:v>
      </x:c>
    </x:row>
    <x:row r="1246">
      <x:c r="A1246" t="str">
        <x:v>REC1245</x:v>
      </x:c>
      <x:c r="B1246" t="n">
        <x:v>1244</x:v>
      </x:c>
      <x:c r="C1246" t="str">
        <x:v>St. Thomas, USVI</x:v>
      </x:c>
      <x:c r="D1246" t="str">
        <x:v>GV</x:v>
      </x:c>
      <x:c r="E1246" t="str">
        <x:v>Ground Validation</x:v>
      </x:c>
      <x:c r="F1246" t="str">
        <x:v>HD Seaviewer Drop Camera</x:v>
      </x:c>
      <x:c r="G1246" t="str">
        <x:v>GV2016_634</x:v>
      </x:c>
      <x:c r="H1246" s="28" t="n">
        <x:v>42612</x:v>
      </x:c>
      <x:c r="I1246" t="str">
        <x:v>08:47:45</x:v>
      </x:c>
      <x:c r="J1246" t="n">
        <x:v>2016</x:v>
      </x:c>
      <x:c r="K1246" t="n">
        <x:v>18.23509009</x:v>
      </x:c>
      <x:c r="L1246" t="n">
        <x:v>-64.98882385</x:v>
      </x:c>
      <x:c r="M1246" t="n">
        <x:v>40.506</x:v>
      </x:c>
      <x:c r="N1246" t="str">
        <x:v>https://nccospublicstor.blob.core.windows.net/biomapper/usviinsularshelf2017/videos/low/GV2016_634.mp4</x:v>
      </x:c>
      <x:c r="O1246" t="n">
        <x:v>0</x:v>
      </x:c>
      <x:c r="P1246" t="n">
        <x:v>0</x:v>
      </x:c>
      <x:c r="Q1246" t="n">
        <x:v>1</x:v>
      </x:c>
      <x:c r="R1246" t="n">
        <x:v>1</x:v>
      </x:c>
      <x:c r="S1246" t="n">
        <x:v>0</x:v>
      </x:c>
      <x:c r="T1246" t="n">
        <x:v>0</x:v>
      </x:c>
      <x:c r="U1246" t="n">
        <x:v>1</x:v>
      </x:c>
      <x:c r="V1246" t="n">
        <x:v>1</x:v>
      </x:c>
      <x:c r="W1246" t="n">
        <x:v>0</x:v>
      </x:c>
      <x:c r="X1246" t="n">
        <x:v>0</x:v>
      </x:c>
      <x:c r="Y1246" t="n">
        <x:v>0</x:v>
      </x:c>
      <x:c r="Z1246" t="n">
        <x:v>2</x:v>
      </x:c>
      <x:c r="AA1246" t="n">
        <x:v>2</x:v>
      </x:c>
      <x:c r="AB1246" t="str">
        <x:v>Pass</x:v>
      </x:c>
      <x:c r="AC1246" t="str"/>
      <x:c r="AD1246" t="str"/>
    </x:row>
    <x:row r="1247">
      <x:c r="A1247" t="str">
        <x:v>REC1246</x:v>
      </x:c>
      <x:c r="B1247" t="n">
        <x:v>1245</x:v>
      </x:c>
      <x:c r="C1247" t="str">
        <x:v>St. Thomas, USVI</x:v>
      </x:c>
      <x:c r="D1247" t="str">
        <x:v>GV</x:v>
      </x:c>
      <x:c r="E1247" t="str">
        <x:v>Ground Validation</x:v>
      </x:c>
      <x:c r="F1247" t="str">
        <x:v>HD Seaviewer Drop Camera</x:v>
      </x:c>
      <x:c r="G1247" t="str">
        <x:v>GV2016_635</x:v>
      </x:c>
      <x:c r="H1247" s="28" t="n">
        <x:v>42611</x:v>
      </x:c>
      <x:c r="I1247" t="str">
        <x:v>09:39:01</x:v>
      </x:c>
      <x:c r="J1247" t="n">
        <x:v>2016</x:v>
      </x:c>
      <x:c r="K1247" t="n">
        <x:v>18.21664374</x:v>
      </x:c>
      <x:c r="L1247" t="n">
        <x:v>-64.87674707</x:v>
      </x:c>
      <x:c r="M1247" t="n">
        <x:v>44.789</x:v>
      </x:c>
      <x:c r="N1247" t="str">
        <x:v>https://nccospublicstor.blob.core.windows.net/biomapper/usviinsularshelf2017/videos/low/GV2016_635.mp4</x:v>
      </x:c>
      <x:c r="O1247" t="n">
        <x:v>0</x:v>
      </x:c>
      <x:c r="P1247" t="n">
        <x:v>0</x:v>
      </x:c>
      <x:c r="Q1247" t="n">
        <x:v>1</x:v>
      </x:c>
      <x:c r="R1247" t="n">
        <x:v>0</x:v>
      </x:c>
      <x:c r="S1247" t="n">
        <x:v>1</x:v>
      </x:c>
      <x:c r="T1247" t="n">
        <x:v>0</x:v>
      </x:c>
      <x:c r="U1247" t="n">
        <x:v>1</x:v>
      </x:c>
      <x:c r="V1247" t="n">
        <x:v>1</x:v>
      </x:c>
      <x:c r="W1247" t="n">
        <x:v>0</x:v>
      </x:c>
      <x:c r="X1247" t="n">
        <x:v>0</x:v>
      </x:c>
      <x:c r="Y1247" t="n">
        <x:v>0</x:v>
      </x:c>
      <x:c r="Z1247" t="n">
        <x:v>1</x:v>
      </x:c>
      <x:c r="AA1247" t="n">
        <x:v>3</x:v>
      </x:c>
      <x:c r="AB1247" t="str">
        <x:v>Pass</x:v>
      </x:c>
      <x:c r="AC1247" t="str"/>
      <x:c r="AD1247" t="str"/>
    </x:row>
    <x:row r="1248">
      <x:c r="A1248" t="str">
        <x:v>REC1247</x:v>
      </x:c>
      <x:c r="B1248" t="n">
        <x:v>1246</x:v>
      </x:c>
      <x:c r="C1248" t="str">
        <x:v>St. John, USVI</x:v>
      </x:c>
      <x:c r="D1248" t="str">
        <x:v>GV</x:v>
      </x:c>
      <x:c r="E1248" t="str">
        <x:v>Ground Validation</x:v>
      </x:c>
      <x:c r="F1248" t="str">
        <x:v>HD Seaviewer Drop Camera</x:v>
      </x:c>
      <x:c r="G1248" t="str">
        <x:v>GV2016_636</x:v>
      </x:c>
      <x:c r="H1248" s="28" t="n">
        <x:v>42629</x:v>
      </x:c>
      <x:c r="I1248" t="str">
        <x:v>15:16:37</x:v>
      </x:c>
      <x:c r="J1248" t="n">
        <x:v>2016</x:v>
      </x:c>
      <x:c r="K1248" t="n">
        <x:v>18.18758568</x:v>
      </x:c>
      <x:c r="L1248" t="n">
        <x:v>-64.75186642</x:v>
      </x:c>
      <x:c r="M1248" t="n">
        <x:v>55.887</x:v>
      </x:c>
      <x:c r="N1248" t="str">
        <x:v>https://nccospublicstor.blob.core.windows.net/biomapper/usviinsularshelf2017/videos/low/GV2016_636.mp4</x:v>
      </x:c>
      <x:c r="O1248" t="n">
        <x:v>0</x:v>
      </x:c>
      <x:c r="P1248" t="n">
        <x:v>1</x:v>
      </x:c>
      <x:c r="Q1248" t="n">
        <x:v>1</x:v>
      </x:c>
      <x:c r="R1248" t="n">
        <x:v>0</x:v>
      </x:c>
      <x:c r="S1248" t="n">
        <x:v>1</x:v>
      </x:c>
      <x:c r="T1248" t="n">
        <x:v>0</x:v>
      </x:c>
      <x:c r="U1248" t="n">
        <x:v>1</x:v>
      </x:c>
      <x:c r="V1248" t="n">
        <x:v>1</x:v>
      </x:c>
      <x:c r="W1248" t="n">
        <x:v>0</x:v>
      </x:c>
      <x:c r="X1248" t="n">
        <x:v>0</x:v>
      </x:c>
      <x:c r="Y1248" t="n">
        <x:v>0</x:v>
      </x:c>
      <x:c r="Z1248" t="n">
        <x:v>2</x:v>
      </x:c>
      <x:c r="AA1248" t="n">
        <x:v>3</x:v>
      </x:c>
      <x:c r="AB1248" t="str">
        <x:v>Pass</x:v>
      </x:c>
      <x:c r="AC1248" t="str"/>
      <x:c r="AD1248" t="str"/>
    </x:row>
    <x:row r="1249">
      <x:c r="A1249" t="str">
        <x:v>REC1248</x:v>
      </x:c>
      <x:c r="B1249" t="n">
        <x:v>1247</x:v>
      </x:c>
      <x:c r="C1249" t="str">
        <x:v>St. Thomas, USVI</x:v>
      </x:c>
      <x:c r="D1249" t="str">
        <x:v>GV</x:v>
      </x:c>
      <x:c r="E1249" t="str">
        <x:v>Ground Validation</x:v>
      </x:c>
      <x:c r="F1249" t="str">
        <x:v>HD Seaviewer Drop Camera</x:v>
      </x:c>
      <x:c r="G1249" t="str">
        <x:v>GV2016_637</x:v>
      </x:c>
      <x:c r="H1249" s="28" t="n">
        <x:v>42609</x:v>
      </x:c>
      <x:c r="I1249" t="str">
        <x:v>13:57:41</x:v>
      </x:c>
      <x:c r="J1249" t="n">
        <x:v>2016</x:v>
      </x:c>
      <x:c r="K1249" t="n">
        <x:v>18.23034342</x:v>
      </x:c>
      <x:c r="L1249" t="n">
        <x:v>-65.03126435</x:v>
      </x:c>
      <x:c r="M1249" t="n">
        <x:v>39.806</x:v>
      </x:c>
      <x:c r="N1249" t="str">
        <x:v>https://nccospublicstor.blob.core.windows.net/biomapper/usviinsularshelf2017/videos/low/GV2016_637.mp4</x:v>
      </x:c>
      <x:c r="O1249" t="n">
        <x:v>0</x:v>
      </x:c>
      <x:c r="P1249" t="n">
        <x:v>0</x:v>
      </x:c>
      <x:c r="Q1249" t="n">
        <x:v>1</x:v>
      </x:c>
      <x:c r="R1249" t="n">
        <x:v>0</x:v>
      </x:c>
      <x:c r="S1249" t="n">
        <x:v>0</x:v>
      </x:c>
      <x:c r="T1249" t="n">
        <x:v>0</x:v>
      </x:c>
      <x:c r="U1249" t="n">
        <x:v>1</x:v>
      </x:c>
      <x:c r="V1249" t="n">
        <x:v>1</x:v>
      </x:c>
      <x:c r="W1249" t="n">
        <x:v>0</x:v>
      </x:c>
      <x:c r="X1249" t="n">
        <x:v>0</x:v>
      </x:c>
      <x:c r="Y1249" t="n">
        <x:v>0</x:v>
      </x:c>
      <x:c r="Z1249" t="n">
        <x:v>1</x:v>
      </x:c>
      <x:c r="AA1249" t="n">
        <x:v>2</x:v>
      </x:c>
      <x:c r="AB1249" t="str">
        <x:v>Pass</x:v>
      </x:c>
      <x:c r="AC1249" t="str"/>
      <x:c r="AD1249" t="str"/>
    </x:row>
    <x:row r="1250">
      <x:c r="A1250" t="str">
        <x:v>REC1249</x:v>
      </x:c>
      <x:c r="B1250" t="n">
        <x:v>1248</x:v>
      </x:c>
      <x:c r="C1250" t="str">
        <x:v>St. Thomas, USVI</x:v>
      </x:c>
      <x:c r="D1250" t="str">
        <x:v>GV</x:v>
      </x:c>
      <x:c r="E1250" t="str">
        <x:v>Ground Validation</x:v>
      </x:c>
      <x:c r="F1250" t="str">
        <x:v>HD Seaviewer Drop Camera</x:v>
      </x:c>
      <x:c r="G1250" t="str">
        <x:v>GV2016_638</x:v>
      </x:c>
      <x:c r="H1250" s="28" t="n">
        <x:v>42610</x:v>
      </x:c>
      <x:c r="I1250" t="str">
        <x:v>14:39:19</x:v>
      </x:c>
      <x:c r="J1250" t="n">
        <x:v>2016</x:v>
      </x:c>
      <x:c r="K1250" t="n">
        <x:v>18.25177917</x:v>
      </x:c>
      <x:c r="L1250" t="n">
        <x:v>-64.89061896</x:v>
      </x:c>
      <x:c r="M1250" t="n">
        <x:v>40.283</x:v>
      </x:c>
      <x:c r="N1250" t="str">
        <x:v>https://nccospublicstor.blob.core.windows.net/biomapper/usviinsularshelf2017/videos/low/GV2016_638.mp4</x:v>
      </x:c>
      <x:c r="O1250" t="n">
        <x:v>0</x:v>
      </x:c>
      <x:c r="P1250" t="n">
        <x:v>0</x:v>
      </x:c>
      <x:c r="Q1250" t="n">
        <x:v>1</x:v>
      </x:c>
      <x:c r="R1250" t="n">
        <x:v>1</x:v>
      </x:c>
      <x:c r="S1250" t="n">
        <x:v>0</x:v>
      </x:c>
      <x:c r="T1250" t="n">
        <x:v>0</x:v>
      </x:c>
      <x:c r="U1250" t="n">
        <x:v>1</x:v>
      </x:c>
      <x:c r="V1250" t="n">
        <x:v>1</x:v>
      </x:c>
      <x:c r="W1250" t="n">
        <x:v>0</x:v>
      </x:c>
      <x:c r="X1250" t="n">
        <x:v>0</x:v>
      </x:c>
      <x:c r="Y1250" t="n">
        <x:v>0</x:v>
      </x:c>
      <x:c r="Z1250" t="n">
        <x:v>2</x:v>
      </x:c>
      <x:c r="AA1250" t="n">
        <x:v>2</x:v>
      </x:c>
      <x:c r="AB1250" t="str">
        <x:v>Pass</x:v>
      </x:c>
      <x:c r="AC1250" t="str"/>
      <x:c r="AD1250" t="str"/>
    </x:row>
    <x:row r="1251">
      <x:c r="A1251" t="str">
        <x:v>REC1250</x:v>
      </x:c>
      <x:c r="B1251" t="n">
        <x:v>1249</x:v>
      </x:c>
      <x:c r="C1251" t="str">
        <x:v>St. Thomas, USVI</x:v>
      </x:c>
      <x:c r="D1251" t="str">
        <x:v>GV</x:v>
      </x:c>
      <x:c r="E1251" t="str">
        <x:v>Ground Validation</x:v>
      </x:c>
      <x:c r="F1251" t="str">
        <x:v>HD Seaviewer Drop Camera</x:v>
      </x:c>
      <x:c r="G1251" t="str">
        <x:v>GV2016_639</x:v>
      </x:c>
      <x:c r="H1251" s="28" t="n">
        <x:v>42612</x:v>
      </x:c>
      <x:c r="I1251" t="str">
        <x:v>11:59:48</x:v>
      </x:c>
      <x:c r="J1251" t="n">
        <x:v>2016</x:v>
      </x:c>
      <x:c r="K1251" t="n">
        <x:v>18.26259187</x:v>
      </x:c>
      <x:c r="L1251" t="n">
        <x:v>-64.93457714</x:v>
      </x:c>
      <x:c r="M1251" t="n">
        <x:v>32.85</x:v>
      </x:c>
      <x:c r="N1251" t="str">
        <x:v>https://nccospublicstor.blob.core.windows.net/biomapper/usviinsularshelf2017/videos/low/GV2016_639.mp4</x:v>
      </x:c>
      <x:c r="O1251" t="n">
        <x:v>0</x:v>
      </x:c>
      <x:c r="P1251" t="n">
        <x:v>1</x:v>
      </x:c>
      <x:c r="Q1251" t="n">
        <x:v>0</x:v>
      </x:c>
      <x:c r="R1251" t="n">
        <x:v>1</x:v>
      </x:c>
      <x:c r="S1251" t="n">
        <x:v>0</x:v>
      </x:c>
      <x:c r="T1251" t="n">
        <x:v>0</x:v>
      </x:c>
      <x:c r="U1251" t="n">
        <x:v>0</x:v>
      </x:c>
      <x:c r="V1251" t="n">
        <x:v>1</x:v>
      </x:c>
      <x:c r="W1251" t="n">
        <x:v>0</x:v>
      </x:c>
      <x:c r="X1251" t="n">
        <x:v>0</x:v>
      </x:c>
      <x:c r="Y1251" t="n">
        <x:v>0</x:v>
      </x:c>
      <x:c r="Z1251" t="n">
        <x:v>2</x:v>
      </x:c>
      <x:c r="AA1251" t="n">
        <x:v>1</x:v>
      </x:c>
      <x:c r="AB1251" t="str">
        <x:v>Pass</x:v>
      </x:c>
      <x:c r="AC1251" t="str"/>
      <x:c r="AD1251" t="str"/>
    </x:row>
    <x:row r="1252">
      <x:c r="A1252" t="str">
        <x:v>REC1251</x:v>
      </x:c>
      <x:c r="B1252" t="n">
        <x:v>1250</x:v>
      </x:c>
      <x:c r="C1252" t="str">
        <x:v>St. John, USVI</x:v>
      </x:c>
      <x:c r="D1252" t="str">
        <x:v>GV</x:v>
      </x:c>
      <x:c r="E1252" t="str">
        <x:v>Ground Validation</x:v>
      </x:c>
      <x:c r="F1252" t="str">
        <x:v>HD Seaviewer Drop Camera</x:v>
      </x:c>
      <x:c r="G1252" t="str">
        <x:v>GV2016_642</x:v>
      </x:c>
      <x:c r="H1252" s="28" t="n">
        <x:v>42624</x:v>
      </x:c>
      <x:c r="I1252" t="str">
        <x:v>09:12:11</x:v>
      </x:c>
      <x:c r="J1252" t="n">
        <x:v>2016</x:v>
      </x:c>
      <x:c r="K1252" t="n">
        <x:v>18.27768402</x:v>
      </x:c>
      <x:c r="L1252" t="n">
        <x:v>-64.70636378</x:v>
      </x:c>
      <x:c r="M1252" t="n">
        <x:v>34.602</x:v>
      </x:c>
      <x:c r="N1252" t="str">
        <x:v>https://nccospublicstor.blob.core.windows.net/biomapper/usviinsularshelf2017/videos/low/GV2016_642.mp4</x:v>
      </x:c>
      <x:c r="O1252" t="n">
        <x:v>0</x:v>
      </x:c>
      <x:c r="P1252" t="n">
        <x:v>0</x:v>
      </x:c>
      <x:c r="Q1252" t="n">
        <x:v>1</x:v>
      </x:c>
      <x:c r="R1252" t="n">
        <x:v>1</x:v>
      </x:c>
      <x:c r="S1252" t="n">
        <x:v>0</x:v>
      </x:c>
      <x:c r="T1252" t="n">
        <x:v>0</x:v>
      </x:c>
      <x:c r="U1252" t="n">
        <x:v>1</x:v>
      </x:c>
      <x:c r="V1252" t="n">
        <x:v>1</x:v>
      </x:c>
      <x:c r="W1252" t="n">
        <x:v>0</x:v>
      </x:c>
      <x:c r="X1252" t="n">
        <x:v>0</x:v>
      </x:c>
      <x:c r="Y1252" t="n">
        <x:v>0</x:v>
      </x:c>
      <x:c r="Z1252" t="n">
        <x:v>2</x:v>
      </x:c>
      <x:c r="AA1252" t="n">
        <x:v>2</x:v>
      </x:c>
      <x:c r="AB1252" t="str">
        <x:v>Pass</x:v>
      </x:c>
      <x:c r="AC1252" t="str"/>
      <x:c r="AD1252" t="str"/>
    </x:row>
    <x:row r="1253">
      <x:c r="A1253" t="str">
        <x:v>REC1252</x:v>
      </x:c>
      <x:c r="B1253" t="n">
        <x:v>1251</x:v>
      </x:c>
      <x:c r="C1253" t="str">
        <x:v>Puerto Rico</x:v>
      </x:c>
      <x:c r="D1253" t="str">
        <x:v>GV</x:v>
      </x:c>
      <x:c r="E1253" t="str">
        <x:v>Ground Validation</x:v>
      </x:c>
      <x:c r="F1253" t="str">
        <x:v>HD Seaviewer Drop Camera</x:v>
      </x:c>
      <x:c r="G1253" t="str">
        <x:v>GV2016_643</x:v>
      </x:c>
      <x:c r="H1253" s="28" t="n">
        <x:v>42603</x:v>
      </x:c>
      <x:c r="I1253" t="str">
        <x:v>08:22:09</x:v>
      </x:c>
      <x:c r="J1253" t="n">
        <x:v>2016</x:v>
      </x:c>
      <x:c r="K1253" t="n">
        <x:v>18.15128559</x:v>
      </x:c>
      <x:c r="L1253" t="n">
        <x:v>-65.20420215</x:v>
      </x:c>
      <x:c r="M1253" t="n">
        <x:v>38.52</x:v>
      </x:c>
      <x:c r="N1253" t="str">
        <x:v>https://nccospublicstor.blob.core.windows.net/biomapper/usviinsularshelf2017/videos/low/GV2016_643.mp4</x:v>
      </x:c>
      <x:c r="O1253" t="n">
        <x:v>1</x:v>
      </x:c>
      <x:c r="P1253" t="n">
        <x:v>0</x:v>
      </x:c>
      <x:c r="Q1253" t="n">
        <x:v>0</x:v>
      </x:c>
      <x:c r="R1253" t="n">
        <x:v>0</x:v>
      </x:c>
      <x:c r="S1253" t="n">
        <x:v>1</x:v>
      </x:c>
      <x:c r="T1253" t="n">
        <x:v>1</x:v>
      </x:c>
      <x:c r="U1253" t="n">
        <x:v>1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1</x:v>
      </x:c>
      <x:c r="AA1253" t="n">
        <x:v>3</x:v>
      </x:c>
      <x:c r="AB1253" t="str">
        <x:v>Pass</x:v>
      </x:c>
      <x:c r="AC1253" t="str"/>
      <x:c r="AD1253" t="str">
        <x:v>Coral Bleaching</x:v>
      </x:c>
    </x:row>
    <x:row r="1254">
      <x:c r="A1254" t="str">
        <x:v>REC1253</x:v>
      </x:c>
      <x:c r="B1254" t="n">
        <x:v>1252</x:v>
      </x:c>
      <x:c r="C1254" t="str">
        <x:v>St. John, USVI</x:v>
      </x:c>
      <x:c r="D1254" t="str">
        <x:v>GV</x:v>
      </x:c>
      <x:c r="E1254" t="str">
        <x:v>Ground Validation</x:v>
      </x:c>
      <x:c r="F1254" t="str">
        <x:v>HD Seaviewer Drop Camera</x:v>
      </x:c>
      <x:c r="G1254" t="str">
        <x:v>GV2016_644</x:v>
      </x:c>
      <x:c r="H1254" s="28" t="n">
        <x:v>42624</x:v>
      </x:c>
      <x:c r="I1254" t="str">
        <x:v>09:28:24</x:v>
      </x:c>
      <x:c r="J1254" t="n">
        <x:v>2016</x:v>
      </x:c>
      <x:c r="K1254" t="n">
        <x:v>18.28552446</x:v>
      </x:c>
      <x:c r="L1254" t="n">
        <x:v>-64.69216784</x:v>
      </x:c>
      <x:c r="M1254" t="n">
        <x:v>33.268</x:v>
      </x:c>
      <x:c r="N1254" t="str">
        <x:v>https://nccospublicstor.blob.core.windows.net/biomapper/usviinsularshelf2017/videos/low/GV2016_644.mp4</x:v>
      </x:c>
      <x:c r="O1254" t="n">
        <x:v>1</x:v>
      </x:c>
      <x:c r="P1254" t="n">
        <x:v>0</x:v>
      </x:c>
      <x:c r="Q1254" t="n">
        <x:v>1</x:v>
      </x:c>
      <x:c r="R1254" t="n">
        <x:v>1</x:v>
      </x:c>
      <x:c r="S1254" t="n">
        <x:v>1</x:v>
      </x:c>
      <x:c r="T1254" t="n">
        <x:v>0</x:v>
      </x:c>
      <x:c r="U1254" t="n">
        <x:v>1</x:v>
      </x:c>
      <x:c r="V1254" t="n">
        <x:v>1</x:v>
      </x:c>
      <x:c r="W1254" t="n">
        <x:v>0</x:v>
      </x:c>
      <x:c r="X1254" t="n">
        <x:v>0</x:v>
      </x:c>
      <x:c r="Y1254" t="n">
        <x:v>0</x:v>
      </x:c>
      <x:c r="Z1254" t="n">
        <x:v>3</x:v>
      </x:c>
      <x:c r="AA1254" t="n">
        <x:v>3</x:v>
      </x:c>
      <x:c r="AB1254" t="str">
        <x:v>Pass</x:v>
      </x:c>
      <x:c r="AC1254" t="str"/>
      <x:c r="AD1254" t="str"/>
    </x:row>
    <x:row r="1255">
      <x:c r="A1255" t="str">
        <x:v>REC1254</x:v>
      </x:c>
      <x:c r="B1255" t="n">
        <x:v>1253</x:v>
      </x:c>
      <x:c r="C1255" t="str">
        <x:v>Puerto Rico</x:v>
      </x:c>
      <x:c r="D1255" t="str">
        <x:v>GV</x:v>
      </x:c>
      <x:c r="E1255" t="str">
        <x:v>Ground Validation</x:v>
      </x:c>
      <x:c r="F1255" t="str">
        <x:v>HD Seaviewer Drop Camera</x:v>
      </x:c>
      <x:c r="G1255" t="str">
        <x:v>GV2016_645</x:v>
      </x:c>
      <x:c r="H1255" s="28" t="n">
        <x:v>42605</x:v>
      </x:c>
      <x:c r="I1255" t="str">
        <x:v>14:24:17</x:v>
      </x:c>
      <x:c r="J1255" t="n">
        <x:v>2016</x:v>
      </x:c>
      <x:c r="K1255" t="n">
        <x:v>18.21711469</x:v>
      </x:c>
      <x:c r="L1255" t="n">
        <x:v>-65.17960303</x:v>
      </x:c>
      <x:c r="M1255" t="n">
        <x:v>32.574</x:v>
      </x:c>
      <x:c r="N1255" t="str">
        <x:v>https://nccospublicstor.blob.core.windows.net/biomapper/usviinsularshelf2017/videos/low/GV2016_645.mp4</x:v>
      </x:c>
      <x:c r="O1255" t="n">
        <x:v>1</x:v>
      </x:c>
      <x:c r="P1255" t="n">
        <x:v>0</x:v>
      </x:c>
      <x:c r="Q1255" t="n">
        <x:v>0</x:v>
      </x:c>
      <x:c r="R1255" t="n">
        <x:v>0</x:v>
      </x:c>
      <x:c r="S1255" t="n">
        <x:v>1</x:v>
      </x:c>
      <x:c r="T1255" t="n">
        <x:v>0</x:v>
      </x:c>
      <x:c r="U1255" t="n">
        <x:v>1</x:v>
      </x:c>
      <x:c r="V1255" t="n">
        <x:v>1</x:v>
      </x:c>
      <x:c r="W1255" t="n">
        <x:v>0</x:v>
      </x:c>
      <x:c r="X1255" t="n">
        <x:v>0</x:v>
      </x:c>
      <x:c r="Y1255" t="n">
        <x:v>0</x:v>
      </x:c>
      <x:c r="Z1255" t="n">
        <x:v>1</x:v>
      </x:c>
      <x:c r="AA1255" t="n">
        <x:v>3</x:v>
      </x:c>
      <x:c r="AB1255" t="str">
        <x:v>Pass</x:v>
      </x:c>
      <x:c r="AC1255" t="str"/>
      <x:c r="AD1255" t="str"/>
    </x:row>
    <x:row r="1256">
      <x:c r="A1256" t="str">
        <x:v>REC1255</x:v>
      </x:c>
      <x:c r="B1256" t="n">
        <x:v>1254</x:v>
      </x:c>
      <x:c r="C1256" t="str">
        <x:v>St. Thomas, USVI</x:v>
      </x:c>
      <x:c r="D1256" t="str">
        <x:v>GV</x:v>
      </x:c>
      <x:c r="E1256" t="str">
        <x:v>Ground Validation</x:v>
      </x:c>
      <x:c r="F1256" t="str">
        <x:v>HD Seaviewer Drop Camera</x:v>
      </x:c>
      <x:c r="G1256" t="str">
        <x:v>GV2016_647</x:v>
      </x:c>
      <x:c r="H1256" s="28" t="n">
        <x:v>42612</x:v>
      </x:c>
      <x:c r="I1256" t="str">
        <x:v>09:23:28</x:v>
      </x:c>
      <x:c r="J1256" t="n">
        <x:v>2016</x:v>
      </x:c>
      <x:c r="K1256" t="n">
        <x:v>18.24785161</x:v>
      </x:c>
      <x:c r="L1256" t="n">
        <x:v>-64.98688665</x:v>
      </x:c>
      <x:c r="M1256" t="n">
        <x:v>40.329</x:v>
      </x:c>
      <x:c r="N1256" t="str">
        <x:v>https://nccospublicstor.blob.core.windows.net/biomapper/usviinsularshelf2017/videos/low/GV2016_647.mp4</x:v>
      </x:c>
      <x:c r="O1256" t="n">
        <x:v>0</x:v>
      </x:c>
      <x:c r="P1256" t="n">
        <x:v>0</x:v>
      </x:c>
      <x:c r="Q1256" t="n">
        <x:v>1</x:v>
      </x:c>
      <x:c r="R1256" t="n">
        <x:v>1</x:v>
      </x:c>
      <x:c r="S1256" t="n">
        <x:v>0</x:v>
      </x:c>
      <x:c r="T1256" t="n">
        <x:v>0</x:v>
      </x:c>
      <x:c r="U1256" t="n">
        <x:v>1</x:v>
      </x:c>
      <x:c r="V1256" t="n">
        <x:v>1</x:v>
      </x:c>
      <x:c r="W1256" t="n">
        <x:v>0</x:v>
      </x:c>
      <x:c r="X1256" t="n">
        <x:v>0</x:v>
      </x:c>
      <x:c r="Y1256" t="n">
        <x:v>0</x:v>
      </x:c>
      <x:c r="Z1256" t="n">
        <x:v>2</x:v>
      </x:c>
      <x:c r="AA1256" t="n">
        <x:v>2</x:v>
      </x:c>
      <x:c r="AB1256" t="str">
        <x:v>Pass</x:v>
      </x:c>
      <x:c r="AC1256" t="str"/>
      <x:c r="AD1256" t="str"/>
    </x:row>
    <x:row r="1257">
      <x:c r="A1257" t="str">
        <x:v>REC1256</x:v>
      </x:c>
      <x:c r="B1257" t="n">
        <x:v>1255</x:v>
      </x:c>
      <x:c r="C1257" t="str">
        <x:v>St. Thomas, USVI</x:v>
      </x:c>
      <x:c r="D1257" t="str">
        <x:v>GV</x:v>
      </x:c>
      <x:c r="E1257" t="str">
        <x:v>Ground Validation</x:v>
      </x:c>
      <x:c r="F1257" t="str">
        <x:v>HD Seaviewer Drop Camera</x:v>
      </x:c>
      <x:c r="G1257" t="str">
        <x:v>GV2016_648</x:v>
      </x:c>
      <x:c r="H1257" s="28" t="n">
        <x:v>42607</x:v>
      </x:c>
      <x:c r="I1257" t="str">
        <x:v>13:59:26</x:v>
      </x:c>
      <x:c r="J1257" t="n">
        <x:v>2016</x:v>
      </x:c>
      <x:c r="K1257" t="n">
        <x:v>18.24077363</x:v>
      </x:c>
      <x:c r="L1257" t="n">
        <x:v>-65.07156225</x:v>
      </x:c>
      <x:c r="M1257" t="n">
        <x:v>30.887</x:v>
      </x:c>
      <x:c r="N1257" t="str">
        <x:v>https://nccospublicstor.blob.core.windows.net/biomapper/usviinsularshelf2017/videos/low/GV2016_648.mp4</x:v>
      </x:c>
      <x:c r="O1257" t="n">
        <x:v>1</x:v>
      </x:c>
      <x:c r="P1257" t="n">
        <x:v>0</x:v>
      </x:c>
      <x:c r="Q1257" t="n">
        <x:v>0</x:v>
      </x:c>
      <x:c r="R1257" t="n">
        <x:v>1</x:v>
      </x:c>
      <x:c r="S1257" t="n">
        <x:v>1</x:v>
      </x:c>
      <x:c r="T1257" t="n">
        <x:v>1</x:v>
      </x:c>
      <x:c r="U1257" t="n">
        <x:v>1</x:v>
      </x:c>
      <x:c r="V1257" t="n">
        <x:v>1</x:v>
      </x:c>
      <x:c r="W1257" t="n">
        <x:v>0</x:v>
      </x:c>
      <x:c r="X1257" t="n">
        <x:v>0</x:v>
      </x:c>
      <x:c r="Y1257" t="n">
        <x:v>0</x:v>
      </x:c>
      <x:c r="Z1257" t="n">
        <x:v>2</x:v>
      </x:c>
      <x:c r="AA1257" t="n">
        <x:v>4</x:v>
      </x:c>
      <x:c r="AB1257" t="str">
        <x:v>Pass</x:v>
      </x:c>
      <x:c r="AC1257" t="str"/>
      <x:c r="AD1257" t="str"/>
    </x:row>
    <x:row r="1258">
      <x:c r="A1258" t="str">
        <x:v>REC1257</x:v>
      </x:c>
      <x:c r="B1258" t="n">
        <x:v>1256</x:v>
      </x:c>
      <x:c r="C1258" t="str">
        <x:v>Puerto Rico</x:v>
      </x:c>
      <x:c r="D1258" t="str">
        <x:v>GV</x:v>
      </x:c>
      <x:c r="E1258" t="str">
        <x:v>Ground Validation</x:v>
      </x:c>
      <x:c r="F1258" t="str">
        <x:v>HD Seaviewer Drop Camera</x:v>
      </x:c>
      <x:c r="G1258" t="str">
        <x:v>GV2016_649</x:v>
      </x:c>
      <x:c r="H1258" s="28" t="n">
        <x:v>42603</x:v>
      </x:c>
      <x:c r="I1258" t="str">
        <x:v>13:39:44</x:v>
      </x:c>
      <x:c r="J1258" t="n">
        <x:v>2016</x:v>
      </x:c>
      <x:c r="K1258" t="n">
        <x:v>18.16302709</x:v>
      </x:c>
      <x:c r="L1258" t="n">
        <x:v>-65.26044996</x:v>
      </x:c>
      <x:c r="M1258" t="n">
        <x:v>27.81</x:v>
      </x:c>
      <x:c r="N1258" t="str">
        <x:v>https://nccospublicstor.blob.core.windows.net/biomapper/usviinsularshelf2017/videos/low/GV2016_649.mp4</x:v>
      </x:c>
      <x:c r="O1258" t="n">
        <x:v>0</x:v>
      </x:c>
      <x:c r="P1258" t="n">
        <x:v>0</x:v>
      </x:c>
      <x:c r="Q1258" t="n">
        <x:v>1</x:v>
      </x:c>
      <x:c r="R1258" t="n">
        <x:v>0</x:v>
      </x:c>
      <x:c r="S1258" t="n">
        <x:v>0</x:v>
      </x:c>
      <x:c r="T1258" t="n">
        <x:v>0</x:v>
      </x:c>
      <x:c r="U1258" t="n">
        <x:v>1</x:v>
      </x:c>
      <x:c r="V1258" t="n">
        <x:v>1</x:v>
      </x:c>
      <x:c r="W1258" t="n">
        <x:v>0</x:v>
      </x:c>
      <x:c r="X1258" t="n">
        <x:v>0</x:v>
      </x:c>
      <x:c r="Y1258" t="n">
        <x:v>0</x:v>
      </x:c>
      <x:c r="Z1258" t="n">
        <x:v>1</x:v>
      </x:c>
      <x:c r="AA1258" t="n">
        <x:v>2</x:v>
      </x:c>
      <x:c r="AB1258" t="str">
        <x:v>Pass</x:v>
      </x:c>
      <x:c r="AC1258" t="str"/>
      <x:c r="AD1258" t="str"/>
    </x:row>
    <x:row r="1259">
      <x:c r="A1259" t="str">
        <x:v>REC1258</x:v>
      </x:c>
      <x:c r="B1259" t="n">
        <x:v>1257</x:v>
      </x:c>
      <x:c r="C1259" t="str">
        <x:v>St. Thomas, USVI</x:v>
      </x:c>
      <x:c r="D1259" t="str">
        <x:v>GV</x:v>
      </x:c>
      <x:c r="E1259" t="str">
        <x:v>Ground Validation</x:v>
      </x:c>
      <x:c r="F1259" t="str">
        <x:v>HD Seaviewer Drop Camera</x:v>
      </x:c>
      <x:c r="G1259" t="str">
        <x:v>GV2016_650</x:v>
      </x:c>
      <x:c r="H1259" s="28" t="n">
        <x:v>42609</x:v>
      </x:c>
      <x:c r="I1259" t="str">
        <x:v>09:15:11</x:v>
      </x:c>
      <x:c r="J1259" t="n">
        <x:v>2016</x:v>
      </x:c>
      <x:c r="K1259" t="n">
        <x:v>18.22451662</x:v>
      </x:c>
      <x:c r="L1259" t="n">
        <x:v>-65.11163207</x:v>
      </x:c>
      <x:c r="M1259" t="n">
        <x:v>32.501</x:v>
      </x:c>
      <x:c r="N1259" t="str">
        <x:v>https://nccospublicstor.blob.core.windows.net/biomapper/usviinsularshelf2017/videos/low/GV2016_650.mp4</x:v>
      </x:c>
      <x:c r="O1259" t="n">
        <x:v>1</x:v>
      </x:c>
      <x:c r="P1259" t="n">
        <x:v>0</x:v>
      </x:c>
      <x:c r="Q1259" t="n">
        <x:v>0</x:v>
      </x:c>
      <x:c r="R1259" t="n">
        <x:v>0</x:v>
      </x:c>
      <x:c r="S1259" t="n">
        <x:v>1</x:v>
      </x:c>
      <x:c r="T1259" t="n">
        <x:v>1</x:v>
      </x:c>
      <x:c r="U1259" t="n">
        <x:v>1</x:v>
      </x:c>
      <x:c r="V1259" t="n">
        <x:v>1</x:v>
      </x:c>
      <x:c r="W1259" t="n">
        <x:v>0</x:v>
      </x:c>
      <x:c r="X1259" t="n">
        <x:v>0</x:v>
      </x:c>
      <x:c r="Y1259" t="n">
        <x:v>0</x:v>
      </x:c>
      <x:c r="Z1259" t="n">
        <x:v>1</x:v>
      </x:c>
      <x:c r="AA1259" t="n">
        <x:v>4</x:v>
      </x:c>
      <x:c r="AB1259" t="str">
        <x:v>Pass</x:v>
      </x:c>
      <x:c r="AC1259" t="str"/>
      <x:c r="AD1259" t="str"/>
    </x:row>
    <x:row r="1260">
      <x:c r="A1260" t="str">
        <x:v>REC1259</x:v>
      </x:c>
      <x:c r="B1260" t="n">
        <x:v>1258</x:v>
      </x:c>
      <x:c r="C1260" t="str">
        <x:v>Puerto Rico</x:v>
      </x:c>
      <x:c r="D1260" t="str">
        <x:v>GV</x:v>
      </x:c>
      <x:c r="E1260" t="str">
        <x:v>Ground Validation</x:v>
      </x:c>
      <x:c r="F1260" t="str">
        <x:v>HD Seaviewer Drop Camera</x:v>
      </x:c>
      <x:c r="G1260" t="str">
        <x:v>GV2016_651</x:v>
      </x:c>
      <x:c r="H1260" s="28" t="n">
        <x:v>42605</x:v>
      </x:c>
      <x:c r="I1260" t="str">
        <x:v>13:05:30</x:v>
      </x:c>
      <x:c r="J1260" t="n">
        <x:v>2016</x:v>
      </x:c>
      <x:c r="K1260" t="n">
        <x:v>18.16990349</x:v>
      </x:c>
      <x:c r="L1260" t="n">
        <x:v>-65.16915042</x:v>
      </x:c>
      <x:c r="M1260" t="n">
        <x:v>46.768</x:v>
      </x:c>
      <x:c r="N1260" t="str">
        <x:v>https://nccospublicstor.blob.core.windows.net/biomapper/usviinsularshelf2017/videos/low/GV2016_651.mp4</x:v>
      </x:c>
      <x:c r="O1260" t="n">
        <x:v>1</x:v>
      </x:c>
      <x:c r="P1260" t="n">
        <x:v>0</x:v>
      </x:c>
      <x:c r="Q1260" t="n">
        <x:v>0</x:v>
      </x:c>
      <x:c r="R1260" t="n">
        <x:v>0</x:v>
      </x:c>
      <x:c r="S1260" t="n">
        <x:v>1</x:v>
      </x:c>
      <x:c r="T1260" t="n">
        <x:v>0</x:v>
      </x:c>
      <x:c r="U1260" t="n">
        <x:v>1</x:v>
      </x:c>
      <x:c r="V1260" t="n">
        <x:v>1</x:v>
      </x:c>
      <x:c r="W1260" t="n">
        <x:v>0</x:v>
      </x:c>
      <x:c r="X1260" t="n">
        <x:v>0</x:v>
      </x:c>
      <x:c r="Y1260" t="n">
        <x:v>0</x:v>
      </x:c>
      <x:c r="Z1260" t="n">
        <x:v>1</x:v>
      </x:c>
      <x:c r="AA1260" t="n">
        <x:v>3</x:v>
      </x:c>
      <x:c r="AB1260" t="str">
        <x:v>Pass</x:v>
      </x:c>
      <x:c r="AC1260" t="str"/>
      <x:c r="AD1260" t="str">
        <x:v>lionfish</x:v>
      </x:c>
    </x:row>
    <x:row r="1261">
      <x:c r="A1261" t="str">
        <x:v>REC1260</x:v>
      </x:c>
      <x:c r="B1261" t="n">
        <x:v>1259</x:v>
      </x:c>
      <x:c r="C1261" t="str">
        <x:v>St. Thomas, USVI</x:v>
      </x:c>
      <x:c r="D1261" t="str">
        <x:v>GV</x:v>
      </x:c>
      <x:c r="E1261" t="str">
        <x:v>Ground Validation</x:v>
      </x:c>
      <x:c r="F1261" t="str">
        <x:v>HD Seaviewer Drop Camera</x:v>
      </x:c>
      <x:c r="G1261" t="str">
        <x:v>GV2016_652</x:v>
      </x:c>
      <x:c r="H1261" s="28" t="n">
        <x:v>42611</x:v>
      </x:c>
      <x:c r="I1261" t="str">
        <x:v>13:33:28</x:v>
      </x:c>
      <x:c r="J1261" t="n">
        <x:v>2016</x:v>
      </x:c>
      <x:c r="K1261" t="n">
        <x:v>18.22603365</x:v>
      </x:c>
      <x:c r="L1261" t="n">
        <x:v>-64.96444286</x:v>
      </x:c>
      <x:c r="M1261" t="n">
        <x:v>42.317</x:v>
      </x:c>
      <x:c r="N1261" t="str">
        <x:v>https://nccospublicstor.blob.core.windows.net/biomapper/usviinsularshelf2017/videos/low/GV2016_652.mp4</x:v>
      </x:c>
      <x:c r="O1261" t="n">
        <x:v>0</x:v>
      </x:c>
      <x:c r="P1261" t="n">
        <x:v>0</x:v>
      </x:c>
      <x:c r="Q1261" t="n">
        <x:v>1</x:v>
      </x:c>
      <x:c r="R1261" t="n">
        <x:v>1</x:v>
      </x:c>
      <x:c r="S1261" t="n">
        <x:v>0</x:v>
      </x:c>
      <x:c r="T1261" t="n">
        <x:v>0</x:v>
      </x:c>
      <x:c r="U1261" t="n">
        <x:v>1</x:v>
      </x:c>
      <x:c r="V1261" t="n">
        <x:v>1</x:v>
      </x:c>
      <x:c r="W1261" t="n">
        <x:v>0</x:v>
      </x:c>
      <x:c r="X1261" t="n">
        <x:v>0</x:v>
      </x:c>
      <x:c r="Y1261" t="n">
        <x:v>0</x:v>
      </x:c>
      <x:c r="Z1261" t="n">
        <x:v>2</x:v>
      </x:c>
      <x:c r="AA1261" t="n">
        <x:v>2</x:v>
      </x:c>
      <x:c r="AB1261" t="str">
        <x:v>Pass</x:v>
      </x:c>
      <x:c r="AC1261" t="str"/>
      <x:c r="AD1261" t="str"/>
    </x:row>
    <x:row r="1262">
      <x:c r="A1262" t="str">
        <x:v>REC1261</x:v>
      </x:c>
      <x:c r="B1262" t="n">
        <x:v>1260</x:v>
      </x:c>
      <x:c r="C1262" t="str">
        <x:v>St. Thomas, USVI</x:v>
      </x:c>
      <x:c r="D1262" t="str">
        <x:v>GV</x:v>
      </x:c>
      <x:c r="E1262" t="str">
        <x:v>Ground Validation</x:v>
      </x:c>
      <x:c r="F1262" t="str">
        <x:v>HD Seaviewer Drop Camera</x:v>
      </x:c>
      <x:c r="G1262" t="str">
        <x:v>GV2016_653</x:v>
      </x:c>
      <x:c r="H1262" s="28" t="n">
        <x:v>42612</x:v>
      </x:c>
      <x:c r="I1262" t="str">
        <x:v>11:53:50</x:v>
      </x:c>
      <x:c r="J1262" t="n">
        <x:v>2016</x:v>
      </x:c>
      <x:c r="K1262" t="n">
        <x:v>18.26763021</x:v>
      </x:c>
      <x:c r="L1262" t="n">
        <x:v>-64.9417848</x:v>
      </x:c>
      <x:c r="M1262" t="n">
        <x:v>33.889</x:v>
      </x:c>
      <x:c r="N1262" t="str">
        <x:v>https://nccospublicstor.blob.core.windows.net/biomapper/usviinsularshelf2017/videos/low/GV2016_653.mp4</x:v>
      </x:c>
      <x:c r="O1262" t="n">
        <x:v>0</x:v>
      </x:c>
      <x:c r="P1262" t="n">
        <x:v>0</x:v>
      </x:c>
      <x:c r="Q1262" t="n">
        <x:v>1</x:v>
      </x:c>
      <x:c r="R1262" t="n">
        <x:v>1</x:v>
      </x:c>
      <x:c r="S1262" t="n">
        <x:v>1</x:v>
      </x:c>
      <x:c r="T1262" t="n">
        <x:v>0</x:v>
      </x:c>
      <x:c r="U1262" t="n">
        <x:v>1</x:v>
      </x:c>
      <x:c r="V1262" t="n">
        <x:v>1</x:v>
      </x:c>
      <x:c r="W1262" t="n">
        <x:v>0</x:v>
      </x:c>
      <x:c r="X1262" t="n">
        <x:v>0</x:v>
      </x:c>
      <x:c r="Y1262" t="n">
        <x:v>0</x:v>
      </x:c>
      <x:c r="Z1262" t="n">
        <x:v>2</x:v>
      </x:c>
      <x:c r="AA1262" t="n">
        <x:v>3</x:v>
      </x:c>
      <x:c r="AB1262" t="str">
        <x:v>Pass</x:v>
      </x:c>
      <x:c r="AC1262" t="str"/>
      <x:c r="AD1262" t="str"/>
    </x:row>
    <x:row r="1263">
      <x:c r="A1263" t="str">
        <x:v>REC1262</x:v>
      </x:c>
      <x:c r="B1263" t="n">
        <x:v>1261</x:v>
      </x:c>
      <x:c r="C1263" t="str">
        <x:v>Puerto Rico</x:v>
      </x:c>
      <x:c r="D1263" t="str">
        <x:v>GV</x:v>
      </x:c>
      <x:c r="E1263" t="str">
        <x:v>Ground Validation</x:v>
      </x:c>
      <x:c r="F1263" t="str">
        <x:v>HD Seaviewer Drop Camera</x:v>
      </x:c>
      <x:c r="G1263" t="str">
        <x:v>GV2016_654</x:v>
      </x:c>
      <x:c r="H1263" s="28" t="n">
        <x:v>42604</x:v>
      </x:c>
      <x:c r="I1263" t="str">
        <x:v>09:07:29</x:v>
      </x:c>
      <x:c r="J1263" t="n">
        <x:v>2016</x:v>
      </x:c>
      <x:c r="K1263" t="n">
        <x:v>18.16781493</x:v>
      </x:c>
      <x:c r="L1263" t="n">
        <x:v>-65.23529817</x:v>
      </x:c>
      <x:c r="M1263" t="n">
        <x:v>36.65</x:v>
      </x:c>
      <x:c r="N1263" t="str">
        <x:v>https://nccospublicstor.blob.core.windows.net/biomapper/usviinsularshelf2017/videos/low/GV2016_654.mp4</x:v>
      </x:c>
      <x:c r="O1263" t="n">
        <x:v>0</x:v>
      </x:c>
      <x:c r="P1263" t="n">
        <x:v>1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1</x:v>
      </x:c>
      <x:c r="V1263" t="n">
        <x:v>1</x:v>
      </x:c>
      <x:c r="W1263" t="n">
        <x:v>0</x:v>
      </x:c>
      <x:c r="X1263" t="n">
        <x:v>0</x:v>
      </x:c>
      <x:c r="Y1263" t="n">
        <x:v>0</x:v>
      </x:c>
      <x:c r="Z1263" t="n">
        <x:v>1</x:v>
      </x:c>
      <x:c r="AA1263" t="n">
        <x:v>2</x:v>
      </x:c>
      <x:c r="AB1263" t="str">
        <x:v>Pass</x:v>
      </x:c>
      <x:c r="AC1263" t="str"/>
      <x:c r="AD1263" t="str"/>
    </x:row>
    <x:row r="1264">
      <x:c r="A1264" t="str">
        <x:v>REC1263</x:v>
      </x:c>
      <x:c r="B1264" t="n">
        <x:v>1262</x:v>
      </x:c>
      <x:c r="C1264" t="str">
        <x:v>St. John, USVI</x:v>
      </x:c>
      <x:c r="D1264" t="str">
        <x:v>GV</x:v>
      </x:c>
      <x:c r="E1264" t="str">
        <x:v>Ground Validation</x:v>
      </x:c>
      <x:c r="F1264" t="str">
        <x:v>HD Seaviewer Drop Camera</x:v>
      </x:c>
      <x:c r="G1264" t="str">
        <x:v>GV2016_655</x:v>
      </x:c>
      <x:c r="H1264" s="28" t="n">
        <x:v>42624</x:v>
      </x:c>
      <x:c r="I1264" t="str">
        <x:v>11:11:07</x:v>
      </x:c>
      <x:c r="J1264" t="n">
        <x:v>2016</x:v>
      </x:c>
      <x:c r="K1264" t="n">
        <x:v>18.26425069</x:v>
      </x:c>
      <x:c r="L1264" t="n">
        <x:v>-64.7394103</x:v>
      </x:c>
      <x:c r="M1264" t="n">
        <x:v>46.829</x:v>
      </x:c>
      <x:c r="N1264" t="str">
        <x:v>https://nccospublicstor.blob.core.windows.net/biomapper/usviinsularshelf2017/videos/low/GV2016_655.mp4</x:v>
      </x:c>
      <x:c r="O1264" t="n">
        <x:v>0</x:v>
      </x:c>
      <x:c r="P1264" t="n">
        <x:v>0</x:v>
      </x:c>
      <x:c r="Q1264" t="n">
        <x:v>0</x:v>
      </x:c>
      <x:c r="R1264" t="n">
        <x:v>1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1</x:v>
      </x:c>
      <x:c r="AA1264" t="n">
        <x:v>0</x:v>
      </x:c>
      <x:c r="AB1264" t="str">
        <x:v>Pass</x:v>
      </x:c>
      <x:c r="AC1264" t="str"/>
      <x:c r="AD1264" t="str"/>
    </x:row>
    <x:row r="1265">
      <x:c r="A1265" t="str">
        <x:v>REC1264</x:v>
      </x:c>
      <x:c r="B1265" t="n">
        <x:v>1263</x:v>
      </x:c>
      <x:c r="C1265" t="str">
        <x:v>St. John, USVI</x:v>
      </x:c>
      <x:c r="D1265" t="str">
        <x:v>GV</x:v>
      </x:c>
      <x:c r="E1265" t="str">
        <x:v>Ground Validation</x:v>
      </x:c>
      <x:c r="F1265" t="str">
        <x:v>HD Seaviewer Drop Camera</x:v>
      </x:c>
      <x:c r="G1265" t="str">
        <x:v>GV2016_656</x:v>
      </x:c>
      <x:c r="H1265" s="28" t="n">
        <x:v>42630</x:v>
      </x:c>
      <x:c r="I1265" t="str">
        <x:v>07:51:14</x:v>
      </x:c>
      <x:c r="J1265" t="n">
        <x:v>2016</x:v>
      </x:c>
      <x:c r="K1265" t="n">
        <x:v>18.25605325</x:v>
      </x:c>
      <x:c r="L1265" t="n">
        <x:v>-64.73690742</x:v>
      </x:c>
      <x:c r="M1265" t="n">
        <x:v>47.929</x:v>
      </x:c>
      <x:c r="N1265" t="str">
        <x:v>https://nccospublicstor.blob.core.windows.net/biomapper/usviinsularshelf2017/videos/low/GV2016_656.mp4</x:v>
      </x:c>
      <x:c r="O1265" t="n">
        <x:v>0</x:v>
      </x:c>
      <x:c r="P1265" t="n">
        <x:v>0</x:v>
      </x:c>
      <x:c r="Q1265" t="n">
        <x:v>1</x:v>
      </x:c>
      <x:c r="R1265" t="n">
        <x:v>0</x:v>
      </x:c>
      <x:c r="S1265" t="n">
        <x:v>0</x:v>
      </x:c>
      <x:c r="T1265" t="n">
        <x:v>0</x:v>
      </x:c>
      <x:c r="U1265" t="n">
        <x:v>1</x:v>
      </x:c>
      <x:c r="V1265" t="n">
        <x:v>1</x:v>
      </x:c>
      <x:c r="W1265" t="n">
        <x:v>0</x:v>
      </x:c>
      <x:c r="X1265" t="n">
        <x:v>0</x:v>
      </x:c>
      <x:c r="Y1265" t="n">
        <x:v>0</x:v>
      </x:c>
      <x:c r="Z1265" t="n">
        <x:v>1</x:v>
      </x:c>
      <x:c r="AA1265" t="n">
        <x:v>2</x:v>
      </x:c>
      <x:c r="AB1265" t="str">
        <x:v>Pass</x:v>
      </x:c>
      <x:c r="AC1265" t="str"/>
      <x:c r="AD1265" t="str"/>
    </x:row>
    <x:row r="1266">
      <x:c r="A1266" t="str">
        <x:v>REC1265</x:v>
      </x:c>
      <x:c r="B1266" t="n">
        <x:v>1264</x:v>
      </x:c>
      <x:c r="C1266" t="str">
        <x:v>St. Thomas, USVI</x:v>
      </x:c>
      <x:c r="D1266" t="str">
        <x:v>GV</x:v>
      </x:c>
      <x:c r="E1266" t="str">
        <x:v>Ground Validation</x:v>
      </x:c>
      <x:c r="F1266" t="str">
        <x:v>HD Seaviewer Drop Camera</x:v>
      </x:c>
      <x:c r="G1266" t="str">
        <x:v>GV2016_657</x:v>
      </x:c>
      <x:c r="H1266" s="28" t="n">
        <x:v>42608</x:v>
      </x:c>
      <x:c r="I1266" t="str">
        <x:v>09:48:00</x:v>
      </x:c>
      <x:c r="J1266" t="n">
        <x:v>2016</x:v>
      </x:c>
      <x:c r="K1266" t="n">
        <x:v>18.2108961</x:v>
      </x:c>
      <x:c r="L1266" t="n">
        <x:v>-64.9643272</x:v>
      </x:c>
      <x:c r="M1266" t="n">
        <x:v>43.268</x:v>
      </x:c>
      <x:c r="N1266" t="str">
        <x:v>https://nccospublicstor.blob.core.windows.net/biomapper/usviinsularshelf2017/videos/low/GV2016_657.mp4</x:v>
      </x:c>
      <x:c r="O1266" t="n">
        <x:v>1</x:v>
      </x:c>
      <x:c r="P1266" t="n">
        <x:v>0</x:v>
      </x:c>
      <x:c r="Q1266" t="n">
        <x:v>0</x:v>
      </x:c>
      <x:c r="R1266" t="n">
        <x:v>0</x:v>
      </x:c>
      <x:c r="S1266" t="n">
        <x:v>1</x:v>
      </x:c>
      <x:c r="T1266" t="n">
        <x:v>1</x:v>
      </x:c>
      <x:c r="U1266" t="n">
        <x:v>1</x:v>
      </x:c>
      <x:c r="V1266" t="n">
        <x:v>1</x:v>
      </x:c>
      <x:c r="W1266" t="n">
        <x:v>0</x:v>
      </x:c>
      <x:c r="X1266" t="n">
        <x:v>0</x:v>
      </x:c>
      <x:c r="Y1266" t="n">
        <x:v>0</x:v>
      </x:c>
      <x:c r="Z1266" t="n">
        <x:v>1</x:v>
      </x:c>
      <x:c r="AA1266" t="n">
        <x:v>4</x:v>
      </x:c>
      <x:c r="AB1266" t="str">
        <x:v>Pass</x:v>
      </x:c>
      <x:c r="AC1266" t="str"/>
      <x:c r="AD1266" t="str">
        <x:v>Very low coral cover &lt;10%</x:v>
      </x:c>
    </x:row>
    <x:row r="1267">
      <x:c r="A1267" t="str">
        <x:v>REC1266</x:v>
      </x:c>
      <x:c r="B1267" t="n">
        <x:v>1265</x:v>
      </x:c>
      <x:c r="C1267" t="str">
        <x:v>St. John, USVI</x:v>
      </x:c>
      <x:c r="D1267" t="str">
        <x:v>GV</x:v>
      </x:c>
      <x:c r="E1267" t="str">
        <x:v>Ground Validation</x:v>
      </x:c>
      <x:c r="F1267" t="str">
        <x:v>HD Seaviewer Drop Camera</x:v>
      </x:c>
      <x:c r="G1267" t="str">
        <x:v>GV2016_658</x:v>
      </x:c>
      <x:c r="H1267" s="28" t="n">
        <x:v>42624</x:v>
      </x:c>
      <x:c r="I1267" t="str">
        <x:v>12:49:35</x:v>
      </x:c>
      <x:c r="J1267" t="n">
        <x:v>2016</x:v>
      </x:c>
      <x:c r="K1267" t="n">
        <x:v>18.30643714</x:v>
      </x:c>
      <x:c r="L1267" t="n">
        <x:v>-64.76375946</x:v>
      </x:c>
      <x:c r="M1267" t="n">
        <x:v>22.317</x:v>
      </x:c>
      <x:c r="N1267" t="str">
        <x:v>https://nccospublicstor.blob.core.windows.net/biomapper/usviinsularshelf2017/videos/low/GV2016_658.mp4</x:v>
      </x:c>
      <x:c r="O1267" t="n">
        <x:v>0</x:v>
      </x:c>
      <x:c r="P1267" t="n">
        <x:v>0</x:v>
      </x:c>
      <x:c r="Q1267" t="n">
        <x:v>1</x:v>
      </x:c>
      <x:c r="R1267" t="n">
        <x:v>1</x:v>
      </x:c>
      <x:c r="S1267" t="n">
        <x:v>0</x:v>
      </x:c>
      <x:c r="T1267" t="n">
        <x:v>0</x:v>
      </x:c>
      <x:c r="U1267" t="n">
        <x:v>1</x:v>
      </x:c>
      <x:c r="V1267" t="n">
        <x:v>1</x:v>
      </x:c>
      <x:c r="W1267" t="n">
        <x:v>0</x:v>
      </x:c>
      <x:c r="X1267" t="n">
        <x:v>0</x:v>
      </x:c>
      <x:c r="Y1267" t="n">
        <x:v>0</x:v>
      </x:c>
      <x:c r="Z1267" t="n">
        <x:v>2</x:v>
      </x:c>
      <x:c r="AA1267" t="n">
        <x:v>2</x:v>
      </x:c>
      <x:c r="AB1267" t="str">
        <x:v>Pass</x:v>
      </x:c>
      <x:c r="AC1267" t="str"/>
      <x:c r="AD1267" t="str"/>
    </x:row>
    <x:row r="1268">
      <x:c r="A1268" t="str">
        <x:v>REC1267</x:v>
      </x:c>
      <x:c r="B1268" t="n">
        <x:v>1266</x:v>
      </x:c>
      <x:c r="C1268" t="str">
        <x:v>St. John, USVI</x:v>
      </x:c>
      <x:c r="D1268" t="str">
        <x:v>GV</x:v>
      </x:c>
      <x:c r="E1268" t="str">
        <x:v>Ground Validation</x:v>
      </x:c>
      <x:c r="F1268" t="str">
        <x:v>HD Seaviewer Drop Camera</x:v>
      </x:c>
      <x:c r="G1268" t="str">
        <x:v>GV2016_659</x:v>
      </x:c>
      <x:c r="H1268" s="28" t="n">
        <x:v>42615</x:v>
      </x:c>
      <x:c r="I1268" t="str">
        <x:v>11:00:21</x:v>
      </x:c>
      <x:c r="J1268" t="n">
        <x:v>2016</x:v>
      </x:c>
      <x:c r="K1268" t="n">
        <x:v>18.30369861</x:v>
      </x:c>
      <x:c r="L1268" t="n">
        <x:v>-64.73510873</x:v>
      </x:c>
      <x:c r="M1268" t="n">
        <x:v>22.867</x:v>
      </x:c>
      <x:c r="N1268" t="str">
        <x:v>https://nccospublicstor.blob.core.windows.net/biomapper/usviinsularshelf2017/videos/low/GV2016_659.mp4</x:v>
      </x:c>
      <x:c r="O1268" t="n">
        <x:v>1</x:v>
      </x:c>
      <x:c r="P1268" t="n">
        <x:v>0</x:v>
      </x:c>
      <x:c r="Q1268" t="n">
        <x:v>0</x:v>
      </x:c>
      <x:c r="R1268" t="n">
        <x:v>0</x:v>
      </x:c>
      <x:c r="S1268" t="n">
        <x:v>1</x:v>
      </x:c>
      <x:c r="T1268" t="n">
        <x:v>1</x:v>
      </x:c>
      <x:c r="U1268" t="n">
        <x:v>1</x:v>
      </x:c>
      <x:c r="V1268" t="n">
        <x:v>1</x:v>
      </x:c>
      <x:c r="W1268" t="n">
        <x:v>0</x:v>
      </x:c>
      <x:c r="X1268" t="n">
        <x:v>0</x:v>
      </x:c>
      <x:c r="Y1268" t="n">
        <x:v>0</x:v>
      </x:c>
      <x:c r="Z1268" t="n">
        <x:v>1</x:v>
      </x:c>
      <x:c r="AA1268" t="n">
        <x:v>4</x:v>
      </x:c>
      <x:c r="AB1268" t="str">
        <x:v>Pass</x:v>
      </x:c>
      <x:c r="AC1268" t="str"/>
      <x:c r="AD1268" t="str"/>
    </x:row>
    <x:row r="1269">
      <x:c r="A1269" t="str">
        <x:v>REC1268</x:v>
      </x:c>
      <x:c r="B1269" t="n">
        <x:v>1267</x:v>
      </x:c>
      <x:c r="C1269" t="str">
        <x:v>St. Thomas, USVI</x:v>
      </x:c>
      <x:c r="D1269" t="str">
        <x:v>GV</x:v>
      </x:c>
      <x:c r="E1269" t="str">
        <x:v>Ground Validation</x:v>
      </x:c>
      <x:c r="F1269" t="str">
        <x:v>HD Seaviewer Drop Camera</x:v>
      </x:c>
      <x:c r="G1269" t="str">
        <x:v>GV2016_660</x:v>
      </x:c>
      <x:c r="H1269" s="28" t="n">
        <x:v>42622</x:v>
      </x:c>
      <x:c r="I1269" t="str">
        <x:v>14:46:25</x:v>
      </x:c>
      <x:c r="J1269" t="n">
        <x:v>2016</x:v>
      </x:c>
      <x:c r="K1269" t="n">
        <x:v>18.2624534</x:v>
      </x:c>
      <x:c r="L1269" t="n">
        <x:v>-64.82359619</x:v>
      </x:c>
      <x:c r="M1269" t="n">
        <x:v>36.104</x:v>
      </x:c>
      <x:c r="N1269" t="str">
        <x:v>https://nccospublicstor.blob.core.windows.net/biomapper/usviinsularshelf2017/videos/low/GV2016_660.mp4</x:v>
      </x:c>
      <x:c r="O1269" t="n">
        <x:v>0</x:v>
      </x:c>
      <x:c r="P1269" t="n">
        <x:v>0</x:v>
      </x:c>
      <x:c r="Q1269" t="n">
        <x:v>1</x:v>
      </x:c>
      <x:c r="R1269" t="n">
        <x:v>0</x:v>
      </x:c>
      <x:c r="S1269" t="n">
        <x:v>0</x:v>
      </x:c>
      <x:c r="T1269" t="n">
        <x:v>0</x:v>
      </x:c>
      <x:c r="U1269" t="n">
        <x:v>1</x:v>
      </x:c>
      <x:c r="V1269" t="n">
        <x:v>1</x:v>
      </x:c>
      <x:c r="W1269" t="n">
        <x:v>0</x:v>
      </x:c>
      <x:c r="X1269" t="n">
        <x:v>0</x:v>
      </x:c>
      <x:c r="Y1269" t="n">
        <x:v>0</x:v>
      </x:c>
      <x:c r="Z1269" t="n">
        <x:v>1</x:v>
      </x:c>
      <x:c r="AA1269" t="n">
        <x:v>2</x:v>
      </x:c>
      <x:c r="AB1269" t="str">
        <x:v>Pass</x:v>
      </x:c>
      <x:c r="AC1269" t="str"/>
      <x:c r="AD1269" t="str"/>
    </x:row>
    <x:row r="1270">
      <x:c r="A1270" t="str">
        <x:v>REC1269</x:v>
      </x:c>
      <x:c r="B1270" t="n">
        <x:v>1268</x:v>
      </x:c>
      <x:c r="C1270" t="str">
        <x:v>St. John, USVI</x:v>
      </x:c>
      <x:c r="D1270" t="str">
        <x:v>GV</x:v>
      </x:c>
      <x:c r="E1270" t="str">
        <x:v>Ground Validation</x:v>
      </x:c>
      <x:c r="F1270" t="str">
        <x:v>HD Seaviewer Drop Camera</x:v>
      </x:c>
      <x:c r="G1270" t="str">
        <x:v>GV2016_661</x:v>
      </x:c>
      <x:c r="H1270" s="28" t="n">
        <x:v>42625</x:v>
      </x:c>
      <x:c r="I1270" t="str">
        <x:v>10:59:57</x:v>
      </x:c>
      <x:c r="J1270" t="n">
        <x:v>2016</x:v>
      </x:c>
      <x:c r="K1270" t="n">
        <x:v>18.22312698</x:v>
      </x:c>
      <x:c r="L1270" t="n">
        <x:v>-64.69405908</x:v>
      </x:c>
      <x:c r="M1270" t="n">
        <x:v>53.977</x:v>
      </x:c>
      <x:c r="N1270" t="str">
        <x:v>https://nccospublicstor.blob.core.windows.net/biomapper/usviinsularshelf2017/videos/low/GV2016_661.mp4</x:v>
      </x:c>
      <x:c r="O1270" t="n">
        <x:v>0</x:v>
      </x:c>
      <x:c r="P1270" t="n">
        <x:v>0</x:v>
      </x:c>
      <x:c r="Q1270" t="n">
        <x:v>1</x:v>
      </x:c>
      <x:c r="R1270" t="n">
        <x:v>0</x:v>
      </x:c>
      <x:c r="S1270" t="n">
        <x:v>0</x:v>
      </x:c>
      <x:c r="T1270" t="n">
        <x:v>0</x:v>
      </x:c>
      <x:c r="U1270" t="n">
        <x:v>1</x:v>
      </x:c>
      <x:c r="V1270" t="n">
        <x:v>1</x:v>
      </x:c>
      <x:c r="W1270" t="n">
        <x:v>0</x:v>
      </x:c>
      <x:c r="X1270" t="n">
        <x:v>0</x:v>
      </x:c>
      <x:c r="Y1270" t="n">
        <x:v>0</x:v>
      </x:c>
      <x:c r="Z1270" t="n">
        <x:v>1</x:v>
      </x:c>
      <x:c r="AA1270" t="n">
        <x:v>2</x:v>
      </x:c>
      <x:c r="AB1270" t="str">
        <x:v>Pass</x:v>
      </x:c>
      <x:c r="AC1270" t="str"/>
      <x:c r="AD1270" t="str"/>
    </x:row>
    <x:row r="1271">
      <x:c r="A1271" t="str">
        <x:v>REC1270</x:v>
      </x:c>
      <x:c r="B1271" t="n">
        <x:v>1269</x:v>
      </x:c>
      <x:c r="C1271" t="str">
        <x:v>St. Thomas, USVI</x:v>
      </x:c>
      <x:c r="D1271" t="str">
        <x:v>GV</x:v>
      </x:c>
      <x:c r="E1271" t="str">
        <x:v>Ground Validation</x:v>
      </x:c>
      <x:c r="F1271" t="str">
        <x:v>HD Seaviewer Drop Camera</x:v>
      </x:c>
      <x:c r="G1271" t="str">
        <x:v>GV2016_662</x:v>
      </x:c>
      <x:c r="H1271" s="28" t="n">
        <x:v>42629</x:v>
      </x:c>
      <x:c r="I1271" t="str">
        <x:v>09:44:29</x:v>
      </x:c>
      <x:c r="J1271" t="n">
        <x:v>2016</x:v>
      </x:c>
      <x:c r="K1271" t="n">
        <x:v>18.20507988</x:v>
      </x:c>
      <x:c r="L1271" t="n">
        <x:v>-64.83146567</x:v>
      </x:c>
      <x:c r="M1271" t="n">
        <x:v>53.834</x:v>
      </x:c>
      <x:c r="N1271" t="str">
        <x:v>https://nccospublicstor.blob.core.windows.net/biomapper/usviinsularshelf2017/videos/low/GV2016_662.mp4</x:v>
      </x:c>
      <x:c r="O1271" t="n">
        <x:v>0</x:v>
      </x:c>
      <x:c r="P1271" t="n">
        <x:v>0</x:v>
      </x:c>
      <x:c r="Q1271" t="n">
        <x:v>1</x:v>
      </x:c>
      <x:c r="R1271" t="n">
        <x:v>0</x:v>
      </x:c>
      <x:c r="S1271" t="n">
        <x:v>0</x:v>
      </x:c>
      <x:c r="T1271" t="n">
        <x:v>0</x:v>
      </x:c>
      <x:c r="U1271" t="n">
        <x:v>1</x:v>
      </x:c>
      <x:c r="V1271" t="n">
        <x:v>1</x:v>
      </x:c>
      <x:c r="W1271" t="n">
        <x:v>0</x:v>
      </x:c>
      <x:c r="X1271" t="n">
        <x:v>0</x:v>
      </x:c>
      <x:c r="Y1271" t="n">
        <x:v>0</x:v>
      </x:c>
      <x:c r="Z1271" t="n">
        <x:v>1</x:v>
      </x:c>
      <x:c r="AA1271" t="n">
        <x:v>2</x:v>
      </x:c>
      <x:c r="AB1271" t="str">
        <x:v>Pass</x:v>
      </x:c>
      <x:c r="AC1271" t="str"/>
      <x:c r="AD1271" t="str"/>
    </x:row>
    <x:row r="1272">
      <x:c r="A1272" t="str">
        <x:v>REC1271</x:v>
      </x:c>
      <x:c r="B1272" t="n">
        <x:v>1270</x:v>
      </x:c>
      <x:c r="C1272" t="str">
        <x:v>St. John, USVI</x:v>
      </x:c>
      <x:c r="D1272" t="str">
        <x:v>GV</x:v>
      </x:c>
      <x:c r="E1272" t="str">
        <x:v>Ground Validation</x:v>
      </x:c>
      <x:c r="F1272" t="str">
        <x:v>HD Seaviewer Drop Camera</x:v>
      </x:c>
      <x:c r="G1272" t="str">
        <x:v>GV2016_663</x:v>
      </x:c>
      <x:c r="H1272" s="28" t="n">
        <x:v>42625</x:v>
      </x:c>
      <x:c r="I1272" t="str">
        <x:v>13:28:04</x:v>
      </x:c>
      <x:c r="J1272" t="n">
        <x:v>2016</x:v>
      </x:c>
      <x:c r="K1272" t="n">
        <x:v>18.24714914</x:v>
      </x:c>
      <x:c r="L1272" t="n">
        <x:v>-64.68306344</x:v>
      </x:c>
      <x:c r="M1272" t="n">
        <x:v>42.343</x:v>
      </x:c>
      <x:c r="N1272" t="str">
        <x:v>https://nccospublicstor.blob.core.windows.net/biomapper/usviinsularshelf2017/videos/low/GV2016_663.mp4</x:v>
      </x:c>
      <x:c r="O1272" t="n">
        <x:v>1</x:v>
      </x:c>
      <x:c r="P1272" t="n">
        <x:v>0</x:v>
      </x:c>
      <x:c r="Q1272" t="n">
        <x:v>0</x:v>
      </x:c>
      <x:c r="R1272" t="n">
        <x:v>1</x:v>
      </x:c>
      <x:c r="S1272" t="n">
        <x:v>1</x:v>
      </x:c>
      <x:c r="T1272" t="n">
        <x:v>1</x:v>
      </x:c>
      <x:c r="U1272" t="n">
        <x:v>1</x:v>
      </x:c>
      <x:c r="V1272" t="n">
        <x:v>1</x:v>
      </x:c>
      <x:c r="W1272" t="n">
        <x:v>0</x:v>
      </x:c>
      <x:c r="X1272" t="n">
        <x:v>0</x:v>
      </x:c>
      <x:c r="Y1272" t="n">
        <x:v>0</x:v>
      </x:c>
      <x:c r="Z1272" t="n">
        <x:v>2</x:v>
      </x:c>
      <x:c r="AA1272" t="n">
        <x:v>4</x:v>
      </x:c>
      <x:c r="AB1272" t="str">
        <x:v>Pass</x:v>
      </x:c>
      <x:c r="AC1272" t="str"/>
      <x:c r="AD1272" t="str"/>
    </x:row>
    <x:row r="1273">
      <x:c r="A1273" t="str">
        <x:v>REC1272</x:v>
      </x:c>
      <x:c r="B1273" t="n">
        <x:v>1271</x:v>
      </x:c>
      <x:c r="C1273" t="str">
        <x:v>St. John, USVI</x:v>
      </x:c>
      <x:c r="D1273" t="str">
        <x:v>GV</x:v>
      </x:c>
      <x:c r="E1273" t="str">
        <x:v>Ground Validation</x:v>
      </x:c>
      <x:c r="F1273" t="str">
        <x:v>HD Seaviewer Drop Camera</x:v>
      </x:c>
      <x:c r="G1273" t="str">
        <x:v>GV2016_664</x:v>
      </x:c>
      <x:c r="H1273" s="28" t="n">
        <x:v>42624</x:v>
      </x:c>
      <x:c r="I1273" t="str">
        <x:v>12:30:20</x:v>
      </x:c>
      <x:c r="J1273" t="n">
        <x:v>2016</x:v>
      </x:c>
      <x:c r="K1273" t="n">
        <x:v>18.29066515</x:v>
      </x:c>
      <x:c r="L1273" t="n">
        <x:v>-64.773572</x:v>
      </x:c>
      <x:c r="M1273" t="n">
        <x:v>30.279</x:v>
      </x:c>
      <x:c r="N1273" t="str">
        <x:v>https://nccospublicstor.blob.core.windows.net/biomapper/usviinsularshelf2017/videos/low/GV2016_664.mp4</x:v>
      </x:c>
      <x:c r="O1273" t="n">
        <x:v>0</x:v>
      </x:c>
      <x:c r="P1273" t="n">
        <x:v>0</x:v>
      </x:c>
      <x:c r="Q1273" t="n">
        <x:v>0</x:v>
      </x:c>
      <x:c r="R1273" t="n">
        <x:v>1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1</x:v>
      </x:c>
      <x:c r="AA1273" t="n">
        <x:v>0</x:v>
      </x:c>
      <x:c r="AB1273" t="str">
        <x:v>Pass</x:v>
      </x:c>
      <x:c r="AC1273" t="str"/>
      <x:c r="AD1273" t="str"/>
    </x:row>
    <x:row r="1274">
      <x:c r="A1274" t="str">
        <x:v>REC1273</x:v>
      </x:c>
      <x:c r="B1274" t="n">
        <x:v>1272</x:v>
      </x:c>
      <x:c r="C1274" t="str">
        <x:v>St. Thomas, USVI</x:v>
      </x:c>
      <x:c r="D1274" t="str">
        <x:v>GV</x:v>
      </x:c>
      <x:c r="E1274" t="str">
        <x:v>Ground Validation</x:v>
      </x:c>
      <x:c r="F1274" t="str">
        <x:v>HD Seaviewer Drop Camera</x:v>
      </x:c>
      <x:c r="G1274" t="str">
        <x:v>GV2016_665</x:v>
      </x:c>
      <x:c r="H1274" s="28" t="n">
        <x:v>42609</x:v>
      </x:c>
      <x:c r="I1274" t="str">
        <x:v>10:08:59</x:v>
      </x:c>
      <x:c r="J1274" t="n">
        <x:v>2016</x:v>
      </x:c>
      <x:c r="K1274" t="n">
        <x:v>18.21659223</x:v>
      </x:c>
      <x:c r="L1274" t="n">
        <x:v>-65.06319046</x:v>
      </x:c>
      <x:c r="M1274" t="n">
        <x:v>42.152</x:v>
      </x:c>
      <x:c r="N1274" t="str">
        <x:v>https://nccospublicstor.blob.core.windows.net/biomapper/usviinsularshelf2017/videos/low/GV2016_665.mp4</x:v>
      </x:c>
      <x:c r="O1274" t="n">
        <x:v>1</x:v>
      </x:c>
      <x:c r="P1274" t="n">
        <x:v>0</x:v>
      </x:c>
      <x:c r="Q1274" t="n">
        <x:v>0</x:v>
      </x:c>
      <x:c r="R1274" t="n">
        <x:v>1</x:v>
      </x:c>
      <x:c r="S1274" t="n">
        <x:v>1</x:v>
      </x:c>
      <x:c r="T1274" t="n">
        <x:v>0</x:v>
      </x:c>
      <x:c r="U1274" t="n">
        <x:v>1</x:v>
      </x:c>
      <x:c r="V1274" t="n">
        <x:v>1</x:v>
      </x:c>
      <x:c r="W1274" t="n">
        <x:v>0</x:v>
      </x:c>
      <x:c r="X1274" t="n">
        <x:v>0</x:v>
      </x:c>
      <x:c r="Y1274" t="n">
        <x:v>0</x:v>
      </x:c>
      <x:c r="Z1274" t="n">
        <x:v>2</x:v>
      </x:c>
      <x:c r="AA1274" t="n">
        <x:v>3</x:v>
      </x:c>
      <x:c r="AB1274" t="str">
        <x:v>Pass</x:v>
      </x:c>
      <x:c r="AC1274" t="str"/>
      <x:c r="AD1274" t="str"/>
    </x:row>
    <x:row r="1275">
      <x:c r="A1275" t="str">
        <x:v>REC1274</x:v>
      </x:c>
      <x:c r="B1275" t="n">
        <x:v>1273</x:v>
      </x:c>
      <x:c r="C1275" t="str">
        <x:v>St. Thomas, USVI</x:v>
      </x:c>
      <x:c r="D1275" t="str">
        <x:v>GV</x:v>
      </x:c>
      <x:c r="E1275" t="str">
        <x:v>Ground Validation</x:v>
      </x:c>
      <x:c r="F1275" t="str">
        <x:v>HD Seaviewer Drop Camera</x:v>
      </x:c>
      <x:c r="G1275" t="str">
        <x:v>GV2016_666</x:v>
      </x:c>
      <x:c r="H1275" s="28" t="n">
        <x:v>42608</x:v>
      </x:c>
      <x:c r="I1275" t="str">
        <x:v>10:33:33</x:v>
      </x:c>
      <x:c r="J1275" t="n">
        <x:v>2016</x:v>
      </x:c>
      <x:c r="K1275" t="n">
        <x:v>18.20329639</x:v>
      </x:c>
      <x:c r="L1275" t="n">
        <x:v>-64.992033</x:v>
      </x:c>
      <x:c r="M1275" t="n">
        <x:v>50.097</x:v>
      </x:c>
      <x:c r="N1275" t="str">
        <x:v>https://nccospublicstor.blob.core.windows.net/biomapper/usviinsularshelf2017/videos/low/GV2016_666.mp4</x:v>
      </x:c>
      <x:c r="O1275" t="n">
        <x:v>0</x:v>
      </x:c>
      <x:c r="P1275" t="n">
        <x:v>0</x:v>
      </x:c>
      <x:c r="Q1275" t="n">
        <x:v>1</x:v>
      </x:c>
      <x:c r="R1275" t="n">
        <x:v>1</x:v>
      </x:c>
      <x:c r="S1275" t="n">
        <x:v>0</x:v>
      </x:c>
      <x:c r="T1275" t="n">
        <x:v>0</x:v>
      </x:c>
      <x:c r="U1275" t="n">
        <x:v>1</x:v>
      </x:c>
      <x:c r="V1275" t="n">
        <x:v>1</x:v>
      </x:c>
      <x:c r="W1275" t="n">
        <x:v>0</x:v>
      </x:c>
      <x:c r="X1275" t="n">
        <x:v>0</x:v>
      </x:c>
      <x:c r="Y1275" t="n">
        <x:v>0</x:v>
      </x:c>
      <x:c r="Z1275" t="n">
        <x:v>2</x:v>
      </x:c>
      <x:c r="AA1275" t="n">
        <x:v>2</x:v>
      </x:c>
      <x:c r="AB1275" t="str">
        <x:v>Pass</x:v>
      </x:c>
      <x:c r="AC1275" t="str"/>
      <x:c r="AD1275" t="str"/>
    </x:row>
    <x:row r="1276">
      <x:c r="A1276" t="str">
        <x:v>REC1275</x:v>
      </x:c>
      <x:c r="B1276" t="n">
        <x:v>1274</x:v>
      </x:c>
      <x:c r="C1276" t="str">
        <x:v>St. John, USVI</x:v>
      </x:c>
      <x:c r="D1276" t="str">
        <x:v>GV</x:v>
      </x:c>
      <x:c r="E1276" t="str">
        <x:v>Ground Validation</x:v>
      </x:c>
      <x:c r="F1276" t="str">
        <x:v>HD Seaviewer Drop Camera</x:v>
      </x:c>
      <x:c r="G1276" t="str">
        <x:v>GV2016_667</x:v>
      </x:c>
      <x:c r="H1276" s="28" t="n">
        <x:v>42624</x:v>
      </x:c>
      <x:c r="I1276" t="str">
        <x:v>10:35:08</x:v>
      </x:c>
      <x:c r="J1276" t="n">
        <x:v>2016</x:v>
      </x:c>
      <x:c r="K1276" t="n">
        <x:v>18.29267578</x:v>
      </x:c>
      <x:c r="L1276" t="n">
        <x:v>-64.70164849</x:v>
      </x:c>
      <x:c r="M1276" t="n">
        <x:v>34.115</x:v>
      </x:c>
      <x:c r="N1276" t="str">
        <x:v>https://nccospublicstor.blob.core.windows.net/biomapper/usviinsularshelf2017/videos/low/GV2016_667.mp4</x:v>
      </x:c>
      <x:c r="O1276" t="n">
        <x:v>0</x:v>
      </x:c>
      <x:c r="P1276" t="n">
        <x:v>0</x:v>
      </x:c>
      <x:c r="Q1276" t="n">
        <x:v>1</x:v>
      </x:c>
      <x:c r="R1276" t="n">
        <x:v>1</x:v>
      </x:c>
      <x:c r="S1276" t="n">
        <x:v>0</x:v>
      </x:c>
      <x:c r="T1276" t="n">
        <x:v>0</x:v>
      </x:c>
      <x:c r="U1276" t="n">
        <x:v>1</x:v>
      </x:c>
      <x:c r="V1276" t="n">
        <x:v>1</x:v>
      </x:c>
      <x:c r="W1276" t="n">
        <x:v>0</x:v>
      </x:c>
      <x:c r="X1276" t="n">
        <x:v>0</x:v>
      </x:c>
      <x:c r="Y1276" t="n">
        <x:v>0</x:v>
      </x:c>
      <x:c r="Z1276" t="n">
        <x:v>2</x:v>
      </x:c>
      <x:c r="AA1276" t="n">
        <x:v>2</x:v>
      </x:c>
      <x:c r="AB1276" t="str">
        <x:v>Pass</x:v>
      </x:c>
      <x:c r="AC1276" t="str"/>
      <x:c r="AD1276" t="str"/>
    </x:row>
    <x:row r="1277">
      <x:c r="A1277" t="str">
        <x:v>REC1276</x:v>
      </x:c>
      <x:c r="B1277" t="n">
        <x:v>1275</x:v>
      </x:c>
      <x:c r="C1277" t="str">
        <x:v>St. Thomas, USVI</x:v>
      </x:c>
      <x:c r="D1277" t="str">
        <x:v>GV</x:v>
      </x:c>
      <x:c r="E1277" t="str">
        <x:v>Ground Validation</x:v>
      </x:c>
      <x:c r="F1277" t="str">
        <x:v>HD Seaviewer Drop Camera</x:v>
      </x:c>
      <x:c r="G1277" t="str">
        <x:v>GV2016_668</x:v>
      </x:c>
      <x:c r="H1277" s="28" t="n">
        <x:v>42610</x:v>
      </x:c>
      <x:c r="I1277" t="str">
        <x:v>14:07:20</x:v>
      </x:c>
      <x:c r="J1277" t="n">
        <x:v>2016</x:v>
      </x:c>
      <x:c r="K1277" t="n">
        <x:v>18.26218543</x:v>
      </x:c>
      <x:c r="L1277" t="n">
        <x:v>-64.91874133</x:v>
      </x:c>
      <x:c r="M1277" t="n">
        <x:v>34.108</x:v>
      </x:c>
      <x:c r="N1277" t="str">
        <x:v>https://nccospublicstor.blob.core.windows.net/biomapper/usviinsularshelf2017/videos/low/GV2016_668.mp4</x:v>
      </x:c>
      <x:c r="O1277" t="n">
        <x:v>0</x:v>
      </x:c>
      <x:c r="P1277" t="n">
        <x:v>0</x:v>
      </x:c>
      <x:c r="Q1277" t="n">
        <x:v>1</x:v>
      </x:c>
      <x:c r="R1277" t="n">
        <x:v>0</x:v>
      </x:c>
      <x:c r="S1277" t="n">
        <x:v>0</x:v>
      </x:c>
      <x:c r="T1277" t="n">
        <x:v>0</x:v>
      </x:c>
      <x:c r="U1277" t="n">
        <x:v>1</x:v>
      </x:c>
      <x:c r="V1277" t="n">
        <x:v>1</x:v>
      </x:c>
      <x:c r="W1277" t="n">
        <x:v>0</x:v>
      </x:c>
      <x:c r="X1277" t="n">
        <x:v>0</x:v>
      </x:c>
      <x:c r="Y1277" t="n">
        <x:v>0</x:v>
      </x:c>
      <x:c r="Z1277" t="n">
        <x:v>1</x:v>
      </x:c>
      <x:c r="AA1277" t="n">
        <x:v>2</x:v>
      </x:c>
      <x:c r="AB1277" t="str">
        <x:v>Pass</x:v>
      </x:c>
      <x:c r="AC1277" t="str"/>
      <x:c r="AD1277" t="str"/>
    </x:row>
    <x:row r="1278">
      <x:c r="A1278" t="str">
        <x:v>REC1277</x:v>
      </x:c>
      <x:c r="B1278" t="n">
        <x:v>1276</x:v>
      </x:c>
      <x:c r="C1278" t="str">
        <x:v>St. John, USVI</x:v>
      </x:c>
      <x:c r="D1278" t="str">
        <x:v>GV</x:v>
      </x:c>
      <x:c r="E1278" t="str">
        <x:v>Ground Validation</x:v>
      </x:c>
      <x:c r="F1278" t="str">
        <x:v>HD Seaviewer Drop Camera</x:v>
      </x:c>
      <x:c r="G1278" t="str">
        <x:v>GV2016_669</x:v>
      </x:c>
      <x:c r="H1278" s="28" t="n">
        <x:v>42630</x:v>
      </x:c>
      <x:c r="I1278" t="str">
        <x:v>08:50:24</x:v>
      </x:c>
      <x:c r="J1278" t="n">
        <x:v>2016</x:v>
      </x:c>
      <x:c r="K1278" t="n">
        <x:v>18.25596392</x:v>
      </x:c>
      <x:c r="L1278" t="n">
        <x:v>-64.69696481</x:v>
      </x:c>
      <x:c r="M1278" t="n">
        <x:v>48.744</x:v>
      </x:c>
      <x:c r="N1278" t="str">
        <x:v>https://nccospublicstor.blob.core.windows.net/biomapper/usviinsularshelf2017/videos/low/GV2016_669.mp4</x:v>
      </x:c>
      <x:c r="O1278" t="n">
        <x:v>0</x:v>
      </x:c>
      <x:c r="P1278" t="n">
        <x:v>0</x:v>
      </x:c>
      <x:c r="Q1278" t="n">
        <x:v>1</x:v>
      </x:c>
      <x:c r="R1278" t="n">
        <x:v>0</x:v>
      </x:c>
      <x:c r="S1278" t="n">
        <x:v>0</x:v>
      </x:c>
      <x:c r="T1278" t="n">
        <x:v>0</x:v>
      </x:c>
      <x:c r="U1278" t="n">
        <x:v>1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1</x:v>
      </x:c>
      <x:c r="AA1278" t="n">
        <x:v>1</x:v>
      </x:c>
      <x:c r="AB1278" t="str">
        <x:v>Pass</x:v>
      </x:c>
      <x:c r="AC1278" t="str"/>
      <x:c r="AD1278" t="str"/>
    </x:row>
    <x:row r="1279">
      <x:c r="A1279" t="str">
        <x:v>REC1278</x:v>
      </x:c>
      <x:c r="B1279" t="n">
        <x:v>1277</x:v>
      </x:c>
      <x:c r="C1279" t="str">
        <x:v>St. Thomas, USVI</x:v>
      </x:c>
      <x:c r="D1279" t="str">
        <x:v>GV</x:v>
      </x:c>
      <x:c r="E1279" t="str">
        <x:v>Ground Validation</x:v>
      </x:c>
      <x:c r="F1279" t="str">
        <x:v>HD Seaviewer Drop Camera</x:v>
      </x:c>
      <x:c r="G1279" t="str">
        <x:v>GV2016_670</x:v>
      </x:c>
      <x:c r="H1279" s="28" t="n">
        <x:v>42610</x:v>
      </x:c>
      <x:c r="I1279" t="str">
        <x:v>08:58:12</x:v>
      </x:c>
      <x:c r="J1279" t="n">
        <x:v>2016</x:v>
      </x:c>
      <x:c r="K1279" t="n">
        <x:v>18.19292912</x:v>
      </x:c>
      <x:c r="L1279" t="n">
        <x:v>-64.86681699</x:v>
      </x:c>
      <x:c r="M1279" t="n">
        <x:v>43.381</x:v>
      </x:c>
      <x:c r="N1279" t="str">
        <x:v>https://nccospublicstor.blob.core.windows.net/biomapper/usviinsularshelf2017/videos/low/GV2016_670.mp4</x:v>
      </x:c>
      <x:c r="O1279" t="n">
        <x:v>0</x:v>
      </x:c>
      <x:c r="P1279" t="n">
        <x:v>0</x:v>
      </x:c>
      <x:c r="Q1279" t="n">
        <x:v>0</x:v>
      </x:c>
      <x:c r="R1279" t="n">
        <x:v>1</x:v>
      </x:c>
      <x:c r="S1279" t="n">
        <x:v>0</x:v>
      </x:c>
      <x:c r="T1279" t="n">
        <x:v>0</x:v>
      </x:c>
      <x:c r="U1279" t="n">
        <x:v>1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1</x:v>
      </x:c>
      <x:c r="AA1279" t="n">
        <x:v>1</x:v>
      </x:c>
      <x:c r="AB1279" t="str">
        <x:v>Pass</x:v>
      </x:c>
      <x:c r="AC1279" t="str"/>
      <x:c r="AD1279" t="str"/>
    </x:row>
    <x:row r="1280">
      <x:c r="A1280" t="str">
        <x:v>REC1279</x:v>
      </x:c>
      <x:c r="B1280" t="n">
        <x:v>1278</x:v>
      </x:c>
      <x:c r="C1280" t="str">
        <x:v>St. Thomas, USVI</x:v>
      </x:c>
      <x:c r="D1280" t="str">
        <x:v>GV</x:v>
      </x:c>
      <x:c r="E1280" t="str">
        <x:v>Ground Validation</x:v>
      </x:c>
      <x:c r="F1280" t="str">
        <x:v>HD Seaviewer Drop Camera</x:v>
      </x:c>
      <x:c r="G1280" t="str">
        <x:v>GV2016_671</x:v>
      </x:c>
      <x:c r="H1280" s="28" t="n">
        <x:v>42610</x:v>
      </x:c>
      <x:c r="I1280" t="str">
        <x:v>13:46:53</x:v>
      </x:c>
      <x:c r="J1280" t="n">
        <x:v>2016</x:v>
      </x:c>
      <x:c r="K1280" t="n">
        <x:v>18.24062508</x:v>
      </x:c>
      <x:c r="L1280" t="n">
        <x:v>-64.91834073</x:v>
      </x:c>
      <x:c r="M1280" t="n">
        <x:v>41.332</x:v>
      </x:c>
      <x:c r="N1280" t="str">
        <x:v>https://nccospublicstor.blob.core.windows.net/biomapper/usviinsularshelf2017/videos/low/GV2016_671.mp4</x:v>
      </x:c>
      <x:c r="O1280" t="n">
        <x:v>0</x:v>
      </x:c>
      <x:c r="P1280" t="n">
        <x:v>0</x:v>
      </x:c>
      <x:c r="Q1280" t="n">
        <x:v>1</x:v>
      </x:c>
      <x:c r="R1280" t="n">
        <x:v>1</x:v>
      </x:c>
      <x:c r="S1280" t="n">
        <x:v>0</x:v>
      </x:c>
      <x:c r="T1280" t="n">
        <x:v>0</x:v>
      </x:c>
      <x:c r="U1280" t="n">
        <x:v>1</x:v>
      </x:c>
      <x:c r="V1280" t="n">
        <x:v>1</x:v>
      </x:c>
      <x:c r="W1280" t="n">
        <x:v>0</x:v>
      </x:c>
      <x:c r="X1280" t="n">
        <x:v>0</x:v>
      </x:c>
      <x:c r="Y1280" t="n">
        <x:v>0</x:v>
      </x:c>
      <x:c r="Z1280" t="n">
        <x:v>2</x:v>
      </x:c>
      <x:c r="AA1280" t="n">
        <x:v>2</x:v>
      </x:c>
      <x:c r="AB1280" t="str">
        <x:v>Pass</x:v>
      </x:c>
      <x:c r="AC1280" t="str"/>
      <x:c r="AD1280" t="str"/>
    </x:row>
    <x:row r="1281">
      <x:c r="A1281" t="str">
        <x:v>REC1280</x:v>
      </x:c>
      <x:c r="B1281" t="n">
        <x:v>1279</x:v>
      </x:c>
      <x:c r="C1281" t="str">
        <x:v>St. Thomas, USVI</x:v>
      </x:c>
      <x:c r="D1281" t="str">
        <x:v>GV</x:v>
      </x:c>
      <x:c r="E1281" t="str">
        <x:v>Ground Validation</x:v>
      </x:c>
      <x:c r="F1281" t="str">
        <x:v>HD Seaviewer Drop Camera</x:v>
      </x:c>
      <x:c r="G1281" t="str">
        <x:v>GV2016_672</x:v>
      </x:c>
      <x:c r="H1281" s="28" t="n">
        <x:v>42626</x:v>
      </x:c>
      <x:c r="I1281" t="str">
        <x:v>12:51:38</x:v>
      </x:c>
      <x:c r="J1281" t="n">
        <x:v>2016</x:v>
      </x:c>
      <x:c r="K1281" t="n">
        <x:v>18.22579666</x:v>
      </x:c>
      <x:c r="L1281" t="n">
        <x:v>-64.81669154</x:v>
      </x:c>
      <x:c r="M1281" t="n">
        <x:v>52.401</x:v>
      </x:c>
      <x:c r="N1281" t="str">
        <x:v>https://nccospublicstor.blob.core.windows.net/biomapper/usviinsularshelf2017/videos/low/GV2016_672.mp4</x:v>
      </x:c>
      <x:c r="O1281" t="n">
        <x:v>0</x:v>
      </x:c>
      <x:c r="P1281" t="n">
        <x:v>0</x:v>
      </x:c>
      <x:c r="Q1281" t="n">
        <x:v>1</x:v>
      </x:c>
      <x:c r="R1281" t="n">
        <x:v>0</x:v>
      </x:c>
      <x:c r="S1281" t="n">
        <x:v>0</x:v>
      </x:c>
      <x:c r="T1281" t="n">
        <x:v>0</x:v>
      </x:c>
      <x:c r="U1281" t="n">
        <x:v>1</x:v>
      </x:c>
      <x:c r="V1281" t="n">
        <x:v>1</x:v>
      </x:c>
      <x:c r="W1281" t="n">
        <x:v>0</x:v>
      </x:c>
      <x:c r="X1281" t="n">
        <x:v>0</x:v>
      </x:c>
      <x:c r="Y1281" t="n">
        <x:v>0</x:v>
      </x:c>
      <x:c r="Z1281" t="n">
        <x:v>1</x:v>
      </x:c>
      <x:c r="AA1281" t="n">
        <x:v>2</x:v>
      </x:c>
      <x:c r="AB1281" t="str">
        <x:v>Pass</x:v>
      </x:c>
      <x:c r="AC1281" t="str"/>
      <x:c r="AD1281" t="str"/>
    </x:row>
    <x:row r="1282">
      <x:c r="A1282" t="str">
        <x:v>REC1281</x:v>
      </x:c>
      <x:c r="B1282" t="n">
        <x:v>1280</x:v>
      </x:c>
      <x:c r="C1282" t="str">
        <x:v>St. Thomas, USVI</x:v>
      </x:c>
      <x:c r="D1282" t="str">
        <x:v>GV</x:v>
      </x:c>
      <x:c r="E1282" t="str">
        <x:v>Ground Validation</x:v>
      </x:c>
      <x:c r="F1282" t="str">
        <x:v>HD Seaviewer Drop Camera</x:v>
      </x:c>
      <x:c r="G1282" t="str">
        <x:v>GV2016_673</x:v>
      </x:c>
      <x:c r="H1282" s="28" t="n">
        <x:v>42608</x:v>
      </x:c>
      <x:c r="I1282" t="str">
        <x:v>12:18:36</x:v>
      </x:c>
      <x:c r="J1282" t="n">
        <x:v>2016</x:v>
      </x:c>
      <x:c r="K1282" t="n">
        <x:v>18.22606871</x:v>
      </x:c>
      <x:c r="L1282" t="n">
        <x:v>-65.03777739</x:v>
      </x:c>
      <x:c r="M1282" t="n">
        <x:v>40.398</x:v>
      </x:c>
      <x:c r="N1282" t="str">
        <x:v>https://nccospublicstor.blob.core.windows.net/biomapper/usviinsularshelf2017/videos/low/GV2016_673.mp4</x:v>
      </x:c>
      <x:c r="O1282" t="n">
        <x:v>0</x:v>
      </x:c>
      <x:c r="P1282" t="n">
        <x:v>0</x:v>
      </x:c>
      <x:c r="Q1282" t="n">
        <x:v>1</x:v>
      </x:c>
      <x:c r="R1282" t="n">
        <x:v>1</x:v>
      </x:c>
      <x:c r="S1282" t="n">
        <x:v>0</x:v>
      </x:c>
      <x:c r="T1282" t="n">
        <x:v>0</x:v>
      </x:c>
      <x:c r="U1282" t="n">
        <x:v>1</x:v>
      </x:c>
      <x:c r="V1282" t="n">
        <x:v>1</x:v>
      </x:c>
      <x:c r="W1282" t="n">
        <x:v>0</x:v>
      </x:c>
      <x:c r="X1282" t="n">
        <x:v>0</x:v>
      </x:c>
      <x:c r="Y1282" t="n">
        <x:v>0</x:v>
      </x:c>
      <x:c r="Z1282" t="n">
        <x:v>2</x:v>
      </x:c>
      <x:c r="AA1282" t="n">
        <x:v>2</x:v>
      </x:c>
      <x:c r="AB1282" t="str">
        <x:v>Pass</x:v>
      </x:c>
      <x:c r="AC1282" t="str"/>
      <x:c r="AD1282" t="str"/>
    </x:row>
    <x:row r="1283">
      <x:c r="A1283" t="str">
        <x:v>REC1282</x:v>
      </x:c>
      <x:c r="B1283" t="n">
        <x:v>1281</x:v>
      </x:c>
      <x:c r="C1283" t="str">
        <x:v>St. Thomas, USVI</x:v>
      </x:c>
      <x:c r="D1283" t="str">
        <x:v>GV</x:v>
      </x:c>
      <x:c r="E1283" t="str">
        <x:v>Ground Validation</x:v>
      </x:c>
      <x:c r="F1283" t="str">
        <x:v>HD Seaviewer Drop Camera</x:v>
      </x:c>
      <x:c r="G1283" t="str">
        <x:v>GV2016_674</x:v>
      </x:c>
      <x:c r="H1283" s="28" t="n">
        <x:v>42610</x:v>
      </x:c>
      <x:c r="I1283" t="str">
        <x:v>14:52:31</x:v>
      </x:c>
      <x:c r="J1283" t="n">
        <x:v>2016</x:v>
      </x:c>
      <x:c r="K1283" t="n">
        <x:v>18.25982785</x:v>
      </x:c>
      <x:c r="L1283" t="n">
        <x:v>-64.89070285</x:v>
      </x:c>
      <x:c r="M1283" t="n">
        <x:v>36.99</x:v>
      </x:c>
      <x:c r="N1283" t="str">
        <x:v>https://nccospublicstor.blob.core.windows.net/biomapper/usviinsularshelf2017/videos/low/GV2016_674.mp4</x:v>
      </x:c>
      <x:c r="O1283" t="n">
        <x:v>0</x:v>
      </x:c>
      <x:c r="P1283" t="n">
        <x:v>0</x:v>
      </x:c>
      <x:c r="Q1283" t="n">
        <x:v>1</x:v>
      </x:c>
      <x:c r="R1283" t="n">
        <x:v>0</x:v>
      </x:c>
      <x:c r="S1283" t="n">
        <x:v>0</x:v>
      </x:c>
      <x:c r="T1283" t="n">
        <x:v>0</x:v>
      </x:c>
      <x:c r="U1283" t="n">
        <x:v>1</x:v>
      </x:c>
      <x:c r="V1283" t="n">
        <x:v>1</x:v>
      </x:c>
      <x:c r="W1283" t="n">
        <x:v>0</x:v>
      </x:c>
      <x:c r="X1283" t="n">
        <x:v>0</x:v>
      </x:c>
      <x:c r="Y1283" t="n">
        <x:v>0</x:v>
      </x:c>
      <x:c r="Z1283" t="n">
        <x:v>1</x:v>
      </x:c>
      <x:c r="AA1283" t="n">
        <x:v>2</x:v>
      </x:c>
      <x:c r="AB1283" t="str">
        <x:v>Pass</x:v>
      </x:c>
      <x:c r="AC1283" t="str"/>
      <x:c r="AD1283" t="str"/>
    </x:row>
    <x:row r="1284">
      <x:c r="A1284" t="str">
        <x:v>REC1283</x:v>
      </x:c>
      <x:c r="B1284" t="n">
        <x:v>1282</x:v>
      </x:c>
      <x:c r="C1284" t="str">
        <x:v>St. Thomas, USVI</x:v>
      </x:c>
      <x:c r="D1284" t="str">
        <x:v>GV</x:v>
      </x:c>
      <x:c r="E1284" t="str">
        <x:v>Ground Validation</x:v>
      </x:c>
      <x:c r="F1284" t="str">
        <x:v>HD Seaviewer Drop Camera</x:v>
      </x:c>
      <x:c r="G1284" t="str">
        <x:v>GV2016_675</x:v>
      </x:c>
      <x:c r="H1284" s="28" t="n">
        <x:v>42622</x:v>
      </x:c>
      <x:c r="I1284" t="str">
        <x:v>12:40:00</x:v>
      </x:c>
      <x:c r="J1284" t="n">
        <x:v>2016</x:v>
      </x:c>
      <x:c r="K1284" t="n">
        <x:v>18.23137952</x:v>
      </x:c>
      <x:c r="L1284" t="n">
        <x:v>-64.84232666</x:v>
      </x:c>
      <x:c r="M1284" t="n">
        <x:v>46.929</x:v>
      </x:c>
      <x:c r="N1284" t="str">
        <x:v>https://nccospublicstor.blob.core.windows.net/biomapper/usviinsularshelf2017/videos/low/GV2016_675.mp4</x:v>
      </x:c>
      <x:c r="O1284" t="n">
        <x:v>0</x:v>
      </x:c>
      <x:c r="P1284" t="n">
        <x:v>0</x:v>
      </x:c>
      <x:c r="Q1284" t="n">
        <x:v>1</x:v>
      </x:c>
      <x:c r="R1284" t="n">
        <x:v>0</x:v>
      </x:c>
      <x:c r="S1284" t="n">
        <x:v>0</x:v>
      </x:c>
      <x:c r="T1284" t="n">
        <x:v>0</x:v>
      </x:c>
      <x:c r="U1284" t="n">
        <x:v>1</x:v>
      </x:c>
      <x:c r="V1284" t="n">
        <x:v>1</x:v>
      </x:c>
      <x:c r="W1284" t="n">
        <x:v>0</x:v>
      </x:c>
      <x:c r="X1284" t="n">
        <x:v>0</x:v>
      </x:c>
      <x:c r="Y1284" t="n">
        <x:v>0</x:v>
      </x:c>
      <x:c r="Z1284" t="n">
        <x:v>1</x:v>
      </x:c>
      <x:c r="AA1284" t="n">
        <x:v>2</x:v>
      </x:c>
      <x:c r="AB1284" t="str">
        <x:v>Pass</x:v>
      </x:c>
      <x:c r="AC1284" t="str"/>
      <x:c r="AD1284" t="str"/>
    </x:row>
    <x:row r="1285">
      <x:c r="A1285" t="str">
        <x:v>REC1284</x:v>
      </x:c>
      <x:c r="B1285" t="n">
        <x:v>1283</x:v>
      </x:c>
      <x:c r="C1285" t="str">
        <x:v>St. Thomas, USVI</x:v>
      </x:c>
      <x:c r="D1285" t="str">
        <x:v>GV</x:v>
      </x:c>
      <x:c r="E1285" t="str">
        <x:v>Ground Validation</x:v>
      </x:c>
      <x:c r="F1285" t="str">
        <x:v>HD Seaviewer Drop Camera</x:v>
      </x:c>
      <x:c r="G1285" t="str">
        <x:v>GV2016_676</x:v>
      </x:c>
      <x:c r="H1285" s="28" t="n">
        <x:v>42609</x:v>
      </x:c>
      <x:c r="I1285" t="str">
        <x:v>09:33:13</x:v>
      </x:c>
      <x:c r="J1285" t="n">
        <x:v>2016</x:v>
      </x:c>
      <x:c r="K1285" t="n">
        <x:v>18.2335743</x:v>
      </x:c>
      <x:c r="L1285" t="n">
        <x:v>-65.10954025</x:v>
      </x:c>
      <x:c r="M1285" t="n">
        <x:v>28.767</x:v>
      </x:c>
      <x:c r="N1285" t="str">
        <x:v>https://nccospublicstor.blob.core.windows.net/biomapper/usviinsularshelf2017/videos/low/GV2016_676.mp4</x:v>
      </x:c>
      <x:c r="O1285" t="n">
        <x:v>1</x:v>
      </x:c>
      <x:c r="P1285" t="n">
        <x:v>0</x:v>
      </x:c>
      <x:c r="Q1285" t="n">
        <x:v>0</x:v>
      </x:c>
      <x:c r="R1285" t="n">
        <x:v>0</x:v>
      </x:c>
      <x:c r="S1285" t="n">
        <x:v>1</x:v>
      </x:c>
      <x:c r="T1285" t="n">
        <x:v>1</x:v>
      </x:c>
      <x:c r="U1285" t="n">
        <x:v>1</x:v>
      </x:c>
      <x:c r="V1285" t="n">
        <x:v>1</x:v>
      </x:c>
      <x:c r="W1285" t="n">
        <x:v>0</x:v>
      </x:c>
      <x:c r="X1285" t="n">
        <x:v>0</x:v>
      </x:c>
      <x:c r="Y1285" t="n">
        <x:v>0</x:v>
      </x:c>
      <x:c r="Z1285" t="n">
        <x:v>1</x:v>
      </x:c>
      <x:c r="AA1285" t="n">
        <x:v>4</x:v>
      </x:c>
      <x:c r="AB1285" t="str">
        <x:v>Pass</x:v>
      </x:c>
      <x:c r="AC1285" t="str"/>
      <x:c r="AD1285" t="str">
        <x:v>Blackband disease at 00:40</x:v>
      </x:c>
    </x:row>
    <x:row r="1286">
      <x:c r="A1286" t="str">
        <x:v>REC1285</x:v>
      </x:c>
      <x:c r="B1286" t="n">
        <x:v>1284</x:v>
      </x:c>
      <x:c r="C1286" t="str">
        <x:v>St. Thomas, USVI</x:v>
      </x:c>
      <x:c r="D1286" t="str">
        <x:v>GV</x:v>
      </x:c>
      <x:c r="E1286" t="str">
        <x:v>Ground Validation</x:v>
      </x:c>
      <x:c r="F1286" t="str">
        <x:v>HD Seaviewer Drop Camera</x:v>
      </x:c>
      <x:c r="G1286" t="str">
        <x:v>GV2016_677</x:v>
      </x:c>
      <x:c r="H1286" s="28" t="n">
        <x:v>42612</x:v>
      </x:c>
      <x:c r="I1286" t="str">
        <x:v>10:42:13</x:v>
      </x:c>
      <x:c r="J1286" t="n">
        <x:v>2016</x:v>
      </x:c>
      <x:c r="K1286" t="n">
        <x:v>18.23889528</x:v>
      </x:c>
      <x:c r="L1286" t="n">
        <x:v>-64.95232202</x:v>
      </x:c>
      <x:c r="M1286" t="n">
        <x:v>41.711</x:v>
      </x:c>
      <x:c r="N1286" t="str">
        <x:v>https://nccospublicstor.blob.core.windows.net/biomapper/usviinsularshelf2017/videos/low/GV2016_677.mp4</x:v>
      </x:c>
      <x:c r="O1286" t="n">
        <x:v>0</x:v>
      </x:c>
      <x:c r="P1286" t="n">
        <x:v>0</x:v>
      </x:c>
      <x:c r="Q1286" t="n">
        <x:v>1</x:v>
      </x:c>
      <x:c r="R1286" t="n">
        <x:v>1</x:v>
      </x:c>
      <x:c r="S1286" t="n">
        <x:v>0</x:v>
      </x:c>
      <x:c r="T1286" t="n">
        <x:v>0</x:v>
      </x:c>
      <x:c r="U1286" t="n">
        <x:v>1</x:v>
      </x:c>
      <x:c r="V1286" t="n">
        <x:v>1</x:v>
      </x:c>
      <x:c r="W1286" t="n">
        <x:v>0</x:v>
      </x:c>
      <x:c r="X1286" t="n">
        <x:v>0</x:v>
      </x:c>
      <x:c r="Y1286" t="n">
        <x:v>0</x:v>
      </x:c>
      <x:c r="Z1286" t="n">
        <x:v>2</x:v>
      </x:c>
      <x:c r="AA1286" t="n">
        <x:v>2</x:v>
      </x:c>
      <x:c r="AB1286" t="str">
        <x:v>Pass</x:v>
      </x:c>
      <x:c r="AC1286" t="str"/>
      <x:c r="AD1286" t="str"/>
    </x:row>
    <x:row r="1287">
      <x:c r="A1287" t="str">
        <x:v>REC1286</x:v>
      </x:c>
      <x:c r="B1287" t="n">
        <x:v>1285</x:v>
      </x:c>
      <x:c r="C1287" t="str">
        <x:v>Puerto Rico</x:v>
      </x:c>
      <x:c r="D1287" t="str">
        <x:v>GV</x:v>
      </x:c>
      <x:c r="E1287" t="str">
        <x:v>Ground Validation</x:v>
      </x:c>
      <x:c r="F1287" t="str">
        <x:v>HD Seaviewer Drop Camera</x:v>
      </x:c>
      <x:c r="G1287" t="str">
        <x:v>GV2016_678</x:v>
      </x:c>
      <x:c r="H1287" s="28" t="n">
        <x:v>42603</x:v>
      </x:c>
      <x:c r="I1287" t="str">
        <x:v>10:02:01</x:v>
      </x:c>
      <x:c r="J1287" t="n">
        <x:v>2016</x:v>
      </x:c>
      <x:c r="K1287" t="n">
        <x:v>18.13284804</x:v>
      </x:c>
      <x:c r="L1287" t="n">
        <x:v>-65.1946261</x:v>
      </x:c>
      <x:c r="M1287" t="n">
        <x:v>35.29</x:v>
      </x:c>
      <x:c r="N1287" t="str">
        <x:v>https://nccospublicstor.blob.core.windows.net/biomapper/usviinsularshelf2017/videos/low/GV2016_678.mp4</x:v>
      </x:c>
      <x:c r="O1287" t="n">
        <x:v>1</x:v>
      </x:c>
      <x:c r="P1287" t="n">
        <x:v>0</x:v>
      </x:c>
      <x:c r="Q1287" t="n">
        <x:v>0</x:v>
      </x:c>
      <x:c r="R1287" t="n">
        <x:v>0</x:v>
      </x:c>
      <x:c r="S1287" t="n">
        <x:v>1</x:v>
      </x:c>
      <x:c r="T1287" t="n">
        <x:v>1</x:v>
      </x:c>
      <x:c r="U1287" t="n">
        <x:v>1</x:v>
      </x:c>
      <x:c r="V1287" t="n">
        <x:v>1</x:v>
      </x:c>
      <x:c r="W1287" t="n">
        <x:v>0</x:v>
      </x:c>
      <x:c r="X1287" t="n">
        <x:v>0</x:v>
      </x:c>
      <x:c r="Y1287" t="n">
        <x:v>0</x:v>
      </x:c>
      <x:c r="Z1287" t="n">
        <x:v>1</x:v>
      </x:c>
      <x:c r="AA1287" t="n">
        <x:v>4</x:v>
      </x:c>
      <x:c r="AB1287" t="str">
        <x:v>Pass</x:v>
      </x:c>
      <x:c r="AC1287" t="str"/>
      <x:c r="AD1287" t="str">
        <x:v>amazing coral cover!, Coral Bleaching</x:v>
      </x:c>
    </x:row>
    <x:row r="1288">
      <x:c r="A1288" t="str">
        <x:v>REC1287</x:v>
      </x:c>
      <x:c r="B1288" t="n">
        <x:v>1286</x:v>
      </x:c>
      <x:c r="C1288" t="str">
        <x:v>St. John, USVI</x:v>
      </x:c>
      <x:c r="D1288" t="str">
        <x:v>GV</x:v>
      </x:c>
      <x:c r="E1288" t="str">
        <x:v>Ground Validation</x:v>
      </x:c>
      <x:c r="F1288" t="str">
        <x:v>HD Seaviewer Drop Camera</x:v>
      </x:c>
      <x:c r="G1288" t="str">
        <x:v>GV2016_679</x:v>
      </x:c>
      <x:c r="H1288" s="28" t="n">
        <x:v>42613</x:v>
      </x:c>
      <x:c r="I1288" t="str">
        <x:v>10:03:02</x:v>
      </x:c>
      <x:c r="J1288" t="n">
        <x:v>2016</x:v>
      </x:c>
      <x:c r="K1288" t="n">
        <x:v>18.29667567</x:v>
      </x:c>
      <x:c r="L1288" t="n">
        <x:v>-64.78114958</x:v>
      </x:c>
      <x:c r="M1288" t="n">
        <x:v>28.668</x:v>
      </x:c>
      <x:c r="N1288" t="str">
        <x:v>https://nccospublicstor.blob.core.windows.net/biomapper/usviinsularshelf2017/videos/low/GV2016_679.mp4</x:v>
      </x:c>
      <x:c r="O1288" t="n">
        <x:v>0</x:v>
      </x:c>
      <x:c r="P1288" t="n">
        <x:v>0</x:v>
      </x:c>
      <x:c r="Q1288" t="n">
        <x:v>1</x:v>
      </x:c>
      <x:c r="R1288" t="n">
        <x:v>1</x:v>
      </x:c>
      <x:c r="S1288" t="n">
        <x:v>0</x:v>
      </x:c>
      <x:c r="T1288" t="n">
        <x:v>0</x:v>
      </x:c>
      <x:c r="U1288" t="n">
        <x:v>0</x:v>
      </x:c>
      <x:c r="V1288" t="n">
        <x:v>1</x:v>
      </x:c>
      <x:c r="W1288" t="n">
        <x:v>1</x:v>
      </x:c>
      <x:c r="X1288" t="n">
        <x:v>0</x:v>
      </x:c>
      <x:c r="Y1288" t="n">
        <x:v>0</x:v>
      </x:c>
      <x:c r="Z1288" t="n">
        <x:v>2</x:v>
      </x:c>
      <x:c r="AA1288" t="n">
        <x:v>1</x:v>
      </x:c>
      <x:c r="AB1288" t="str">
        <x:v>Pass</x:v>
      </x:c>
      <x:c r="AC1288" t="str"/>
      <x:c r="AD1288" t="str"/>
    </x:row>
    <x:row r="1289">
      <x:c r="A1289" t="str">
        <x:v>REC1288</x:v>
      </x:c>
      <x:c r="B1289" t="n">
        <x:v>1287</x:v>
      </x:c>
      <x:c r="C1289" t="str">
        <x:v>St. Thomas, USVI</x:v>
      </x:c>
      <x:c r="D1289" t="str">
        <x:v>GV</x:v>
      </x:c>
      <x:c r="E1289" t="str">
        <x:v>Ground Validation</x:v>
      </x:c>
      <x:c r="F1289" t="str">
        <x:v>HD Seaviewer Drop Camera</x:v>
      </x:c>
      <x:c r="G1289" t="str">
        <x:v>GV2016_680</x:v>
      </x:c>
      <x:c r="H1289" s="28" t="n">
        <x:v>42607</x:v>
      </x:c>
      <x:c r="I1289" t="str">
        <x:v>13:34:30</x:v>
      </x:c>
      <x:c r="J1289" t="n">
        <x:v>2016</x:v>
      </x:c>
      <x:c r="K1289" t="n">
        <x:v>18.24505264</x:v>
      </x:c>
      <x:c r="L1289" t="n">
        <x:v>-65.08895321</x:v>
      </x:c>
      <x:c r="M1289" t="n">
        <x:v>27.156</x:v>
      </x:c>
      <x:c r="N1289" t="str">
        <x:v>https://nccospublicstor.blob.core.windows.net/biomapper/usviinsularshelf2017/videos/low/GV2016_680.mp4</x:v>
      </x:c>
      <x:c r="O1289" t="n">
        <x:v>1</x:v>
      </x:c>
      <x:c r="P1289" t="n">
        <x:v>0</x:v>
      </x:c>
      <x:c r="Q1289" t="n">
        <x:v>0</x:v>
      </x:c>
      <x:c r="R1289" t="n">
        <x:v>0</x:v>
      </x:c>
      <x:c r="S1289" t="n">
        <x:v>1</x:v>
      </x:c>
      <x:c r="T1289" t="n">
        <x:v>1</x:v>
      </x:c>
      <x:c r="U1289" t="n">
        <x:v>1</x:v>
      </x:c>
      <x:c r="V1289" t="n">
        <x:v>1</x:v>
      </x:c>
      <x:c r="W1289" t="n">
        <x:v>0</x:v>
      </x:c>
      <x:c r="X1289" t="n">
        <x:v>0</x:v>
      </x:c>
      <x:c r="Y1289" t="n">
        <x:v>0</x:v>
      </x:c>
      <x:c r="Z1289" t="n">
        <x:v>1</x:v>
      </x:c>
      <x:c r="AA1289" t="n">
        <x:v>4</x:v>
      </x:c>
      <x:c r="AB1289" t="str">
        <x:v>Pass</x:v>
      </x:c>
      <x:c r="AC1289" t="str"/>
      <x:c r="AD1289" t="str"/>
    </x:row>
    <x:row r="1290">
      <x:c r="A1290" t="str">
        <x:v>REC1289</x:v>
      </x:c>
      <x:c r="B1290" t="n">
        <x:v>1288</x:v>
      </x:c>
      <x:c r="C1290" t="str">
        <x:v>St. John, USVI</x:v>
      </x:c>
      <x:c r="D1290" t="str">
        <x:v>GV</x:v>
      </x:c>
      <x:c r="E1290" t="str">
        <x:v>Ground Validation</x:v>
      </x:c>
      <x:c r="F1290" t="str">
        <x:v>HD Seaviewer Drop Camera</x:v>
      </x:c>
      <x:c r="G1290" t="str">
        <x:v>GV2016_681</x:v>
      </x:c>
      <x:c r="H1290" s="28" t="n">
        <x:v>42626</x:v>
      </x:c>
      <x:c r="I1290" t="str">
        <x:v>13:26:35</x:v>
      </x:c>
      <x:c r="J1290" t="n">
        <x:v>2016</x:v>
      </x:c>
      <x:c r="K1290" t="n">
        <x:v>18.23365971</x:v>
      </x:c>
      <x:c r="L1290" t="n">
        <x:v>-64.80284736</x:v>
      </x:c>
      <x:c r="M1290" t="n">
        <x:v>52.079</x:v>
      </x:c>
      <x:c r="N1290" t="str">
        <x:v>https://nccospublicstor.blob.core.windows.net/biomapper/usviinsularshelf2017/videos/low/GV2016_681.mp4</x:v>
      </x:c>
      <x:c r="O1290" t="n">
        <x:v>0</x:v>
      </x:c>
      <x:c r="P1290" t="n">
        <x:v>0</x:v>
      </x:c>
      <x:c r="Q1290" t="n">
        <x:v>1</x:v>
      </x:c>
      <x:c r="R1290" t="n">
        <x:v>1</x:v>
      </x:c>
      <x:c r="S1290" t="n">
        <x:v>0</x:v>
      </x:c>
      <x:c r="T1290" t="n">
        <x:v>0</x:v>
      </x:c>
      <x:c r="U1290" t="n">
        <x:v>1</x:v>
      </x:c>
      <x:c r="V1290" t="n">
        <x:v>1</x:v>
      </x:c>
      <x:c r="W1290" t="n">
        <x:v>0</x:v>
      </x:c>
      <x:c r="X1290" t="n">
        <x:v>0</x:v>
      </x:c>
      <x:c r="Y1290" t="n">
        <x:v>0</x:v>
      </x:c>
      <x:c r="Z1290" t="n">
        <x:v>2</x:v>
      </x:c>
      <x:c r="AA1290" t="n">
        <x:v>2</x:v>
      </x:c>
      <x:c r="AB1290" t="str">
        <x:v>Pass</x:v>
      </x:c>
      <x:c r="AC1290" t="str"/>
      <x:c r="AD1290" t="str"/>
    </x:row>
    <x:row r="1291">
      <x:c r="A1291" t="str">
        <x:v>REC1290</x:v>
      </x:c>
      <x:c r="B1291" t="n">
        <x:v>1289</x:v>
      </x:c>
      <x:c r="C1291" t="str">
        <x:v>Puerto Rico</x:v>
      </x:c>
      <x:c r="D1291" t="str">
        <x:v>GV</x:v>
      </x:c>
      <x:c r="E1291" t="str">
        <x:v>Ground Validation</x:v>
      </x:c>
      <x:c r="F1291" t="str">
        <x:v>HD Seaviewer Drop Camera</x:v>
      </x:c>
      <x:c r="G1291" t="str">
        <x:v>GV2016_682</x:v>
      </x:c>
      <x:c r="H1291" s="28" t="n">
        <x:v>42605</x:v>
      </x:c>
      <x:c r="I1291" t="str">
        <x:v>13:52:23</x:v>
      </x:c>
      <x:c r="J1291" t="n">
        <x:v>2016</x:v>
      </x:c>
      <x:c r="K1291" t="n">
        <x:v>18.16860255</x:v>
      </x:c>
      <x:c r="L1291" t="n">
        <x:v>-65.18075279</x:v>
      </x:c>
      <x:c r="M1291" t="n">
        <x:v>41.419</x:v>
      </x:c>
      <x:c r="N1291" t="str">
        <x:v>https://nccospublicstor.blob.core.windows.net/biomapper/usviinsularshelf2017/videos/low/GV2016_682.mp4</x:v>
      </x:c>
      <x:c r="O1291" t="n">
        <x:v>1</x:v>
      </x:c>
      <x:c r="P1291" t="n">
        <x:v>0</x:v>
      </x:c>
      <x:c r="Q1291" t="n">
        <x:v>0</x:v>
      </x:c>
      <x:c r="R1291" t="n">
        <x:v>0</x:v>
      </x:c>
      <x:c r="S1291" t="n">
        <x:v>1</x:v>
      </x:c>
      <x:c r="T1291" t="n">
        <x:v>0</x:v>
      </x:c>
      <x:c r="U1291" t="n">
        <x:v>1</x:v>
      </x:c>
      <x:c r="V1291" t="n">
        <x:v>1</x:v>
      </x:c>
      <x:c r="W1291" t="n">
        <x:v>0</x:v>
      </x:c>
      <x:c r="X1291" t="n">
        <x:v>0</x:v>
      </x:c>
      <x:c r="Y1291" t="n">
        <x:v>0</x:v>
      </x:c>
      <x:c r="Z1291" t="n">
        <x:v>1</x:v>
      </x:c>
      <x:c r="AA1291" t="n">
        <x:v>3</x:v>
      </x:c>
      <x:c r="AB1291" t="str">
        <x:v>Pass</x:v>
      </x:c>
      <x:c r="AC1291" t="str"/>
      <x:c r="AD1291" t="str"/>
    </x:row>
    <x:row r="1292">
      <x:c r="A1292" t="str">
        <x:v>REC1291</x:v>
      </x:c>
      <x:c r="B1292" t="n">
        <x:v>1290</x:v>
      </x:c>
      <x:c r="C1292" t="str">
        <x:v>Puerto Rico</x:v>
      </x:c>
      <x:c r="D1292" t="str">
        <x:v>GV</x:v>
      </x:c>
      <x:c r="E1292" t="str">
        <x:v>Ground Validation</x:v>
      </x:c>
      <x:c r="F1292" t="str">
        <x:v>HD Seaviewer Drop Camera</x:v>
      </x:c>
      <x:c r="G1292" t="str">
        <x:v>GV2016_683</x:v>
      </x:c>
      <x:c r="H1292" s="28" t="n">
        <x:v>42603</x:v>
      </x:c>
      <x:c r="I1292" t="str">
        <x:v>12:34:57</x:v>
      </x:c>
      <x:c r="J1292" t="n">
        <x:v>2016</x:v>
      </x:c>
      <x:c r="K1292" t="n">
        <x:v>18.15228678</x:v>
      </x:c>
      <x:c r="L1292" t="n">
        <x:v>-65.22630404</x:v>
      </x:c>
      <x:c r="M1292" t="n">
        <x:v>38.443</x:v>
      </x:c>
      <x:c r="N1292" t="str">
        <x:v>https://nccospublicstor.blob.core.windows.net/biomapper/usviinsularshelf2017/videos/low/GV2016_683.mp4</x:v>
      </x:c>
      <x:c r="O1292" t="n">
        <x:v>1</x:v>
      </x:c>
      <x:c r="P1292" t="n">
        <x:v>0</x:v>
      </x:c>
      <x:c r="Q1292" t="n">
        <x:v>0</x:v>
      </x:c>
      <x:c r="R1292" t="n">
        <x:v>1</x:v>
      </x:c>
      <x:c r="S1292" t="n">
        <x:v>1</x:v>
      </x:c>
      <x:c r="T1292" t="n">
        <x:v>0</x:v>
      </x:c>
      <x:c r="U1292" t="n">
        <x:v>0</x:v>
      </x:c>
      <x:c r="V1292" t="n">
        <x:v>1</x:v>
      </x:c>
      <x:c r="W1292" t="n">
        <x:v>0</x:v>
      </x:c>
      <x:c r="X1292" t="n">
        <x:v>0</x:v>
      </x:c>
      <x:c r="Y1292" t="n">
        <x:v>0</x:v>
      </x:c>
      <x:c r="Z1292" t="n">
        <x:v>2</x:v>
      </x:c>
      <x:c r="AA1292" t="n">
        <x:v>2</x:v>
      </x:c>
      <x:c r="AB1292" t="str">
        <x:v>Pass</x:v>
      </x:c>
      <x:c r="AC1292" t="str"/>
      <x:c r="AD1292" t="str"/>
    </x:row>
    <x:row r="1293">
      <x:c r="A1293" t="str">
        <x:v>REC1292</x:v>
      </x:c>
      <x:c r="B1293" t="n">
        <x:v>1291</x:v>
      </x:c>
      <x:c r="C1293" t="str">
        <x:v>Puerto Rico</x:v>
      </x:c>
      <x:c r="D1293" t="str">
        <x:v>GV</x:v>
      </x:c>
      <x:c r="E1293" t="str">
        <x:v>Ground Validation</x:v>
      </x:c>
      <x:c r="F1293" t="str">
        <x:v>HD Seaviewer Drop Camera</x:v>
      </x:c>
      <x:c r="G1293" t="str">
        <x:v>GV2016_684</x:v>
      </x:c>
      <x:c r="H1293" s="28" t="n">
        <x:v>42607</x:v>
      </x:c>
      <x:c r="I1293" t="str">
        <x:v>10:04:33</x:v>
      </x:c>
      <x:c r="J1293" t="n">
        <x:v>2016</x:v>
      </x:c>
      <x:c r="K1293" t="n">
        <x:v>18.22962784</x:v>
      </x:c>
      <x:c r="L1293" t="n">
        <x:v>-65.19528244</x:v>
      </x:c>
      <x:c r="M1293" t="n">
        <x:v>24.863</x:v>
      </x:c>
      <x:c r="N1293" t="str">
        <x:v>https://nccospublicstor.blob.core.windows.net/biomapper/usviinsularshelf2017/videos/low/GV2016_684.mp4</x:v>
      </x:c>
      <x:c r="O1293" t="n">
        <x:v>1</x:v>
      </x:c>
      <x:c r="P1293" t="n">
        <x:v>0</x:v>
      </x:c>
      <x:c r="Q1293" t="n">
        <x:v>0</x:v>
      </x:c>
      <x:c r="R1293" t="n">
        <x:v>0</x:v>
      </x:c>
      <x:c r="S1293" t="n">
        <x:v>1</x:v>
      </x:c>
      <x:c r="T1293" t="n">
        <x:v>1</x:v>
      </x:c>
      <x:c r="U1293" t="n">
        <x:v>1</x:v>
      </x:c>
      <x:c r="V1293" t="n">
        <x:v>1</x:v>
      </x:c>
      <x:c r="W1293" t="n">
        <x:v>0</x:v>
      </x:c>
      <x:c r="X1293" t="n">
        <x:v>0</x:v>
      </x:c>
      <x:c r="Y1293" t="n">
        <x:v>0</x:v>
      </x:c>
      <x:c r="Z1293" t="n">
        <x:v>1</x:v>
      </x:c>
      <x:c r="AA1293" t="n">
        <x:v>4</x:v>
      </x:c>
      <x:c r="AB1293" t="str">
        <x:v>Pass</x:v>
      </x:c>
      <x:c r="AC1293" t="str"/>
      <x:c r="AD1293" t="str"/>
    </x:row>
    <x:row r="1294">
      <x:c r="A1294" t="str">
        <x:v>REC1293</x:v>
      </x:c>
      <x:c r="B1294" t="n">
        <x:v>1292</x:v>
      </x:c>
      <x:c r="C1294" t="str">
        <x:v>St. John, USVI</x:v>
      </x:c>
      <x:c r="D1294" t="str">
        <x:v>GV</x:v>
      </x:c>
      <x:c r="E1294" t="str">
        <x:v>Ground Validation</x:v>
      </x:c>
      <x:c r="F1294" t="str">
        <x:v>HD Seaviewer Drop Camera</x:v>
      </x:c>
      <x:c r="G1294" t="str">
        <x:v>GV2016_685</x:v>
      </x:c>
      <x:c r="H1294" s="28" t="n">
        <x:v>42630</x:v>
      </x:c>
      <x:c r="I1294" t="str">
        <x:v>13:53:50</x:v>
      </x:c>
      <x:c r="J1294" t="n">
        <x:v>2016</x:v>
      </x:c>
      <x:c r="K1294" t="n">
        <x:v>18.2398096</x:v>
      </x:c>
      <x:c r="L1294" t="n">
        <x:v>-64.73782809</x:v>
      </x:c>
      <x:c r="M1294" t="n">
        <x:v>51.258</x:v>
      </x:c>
      <x:c r="N1294" t="str">
        <x:v>https://nccospublicstor.blob.core.windows.net/biomapper/usviinsularshelf2017/videos/low/GV2016_685.mp4</x:v>
      </x:c>
      <x:c r="O1294" t="n">
        <x:v>0</x:v>
      </x:c>
      <x:c r="P1294" t="n">
        <x:v>1</x:v>
      </x:c>
      <x:c r="Q1294" t="n">
        <x:v>1</x:v>
      </x:c>
      <x:c r="R1294" t="n">
        <x:v>0</x:v>
      </x:c>
      <x:c r="S1294" t="n">
        <x:v>0</x:v>
      </x:c>
      <x:c r="T1294" t="n">
        <x:v>0</x:v>
      </x:c>
      <x:c r="U1294" t="n">
        <x:v>1</x:v>
      </x:c>
      <x:c r="V1294" t="n">
        <x:v>1</x:v>
      </x:c>
      <x:c r="W1294" t="n">
        <x:v>0</x:v>
      </x:c>
      <x:c r="X1294" t="n">
        <x:v>0</x:v>
      </x:c>
      <x:c r="Y1294" t="n">
        <x:v>0</x:v>
      </x:c>
      <x:c r="Z1294" t="n">
        <x:v>2</x:v>
      </x:c>
      <x:c r="AA1294" t="n">
        <x:v>2</x:v>
      </x:c>
      <x:c r="AB1294" t="str">
        <x:v>Pass</x:v>
      </x:c>
      <x:c r="AC1294" t="str"/>
      <x:c r="AD1294" t="str"/>
    </x:row>
    <x:row r="1295">
      <x:c r="A1295" t="str">
        <x:v>REC1294</x:v>
      </x:c>
      <x:c r="B1295" t="n">
        <x:v>1293</x:v>
      </x:c>
      <x:c r="C1295" t="str">
        <x:v>St. Thomas, USVI</x:v>
      </x:c>
      <x:c r="D1295" t="str">
        <x:v>GV</x:v>
      </x:c>
      <x:c r="E1295" t="str">
        <x:v>Ground Validation</x:v>
      </x:c>
      <x:c r="F1295" t="str">
        <x:v>HD Seaviewer Drop Camera</x:v>
      </x:c>
      <x:c r="G1295" t="str">
        <x:v>GV2016_686</x:v>
      </x:c>
      <x:c r="H1295" s="28" t="n">
        <x:v>42610</x:v>
      </x:c>
      <x:c r="I1295" t="str">
        <x:v>12:30:51</x:v>
      </x:c>
      <x:c r="J1295" t="n">
        <x:v>2016</x:v>
      </x:c>
      <x:c r="K1295" t="n">
        <x:v>18.2059291</x:v>
      </x:c>
      <x:c r="L1295" t="n">
        <x:v>-64.88149253</x:v>
      </x:c>
      <x:c r="M1295" t="n">
        <x:v>47.253</x:v>
      </x:c>
      <x:c r="N1295" t="str">
        <x:v>https://nccospublicstor.blob.core.windows.net/biomapper/usviinsularshelf2017/videos/low/GV2016_686.mp4</x:v>
      </x:c>
      <x:c r="O1295" t="n">
        <x:v>0</x:v>
      </x:c>
      <x:c r="P1295" t="n">
        <x:v>0</x:v>
      </x:c>
      <x:c r="Q1295" t="n">
        <x:v>1</x:v>
      </x:c>
      <x:c r="R1295" t="n">
        <x:v>0</x:v>
      </x:c>
      <x:c r="S1295" t="n">
        <x:v>0</x:v>
      </x:c>
      <x:c r="T1295" t="n">
        <x:v>0</x:v>
      </x:c>
      <x:c r="U1295" t="n">
        <x:v>1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1</x:v>
      </x:c>
      <x:c r="AA1295" t="n">
        <x:v>1</x:v>
      </x:c>
      <x:c r="AB1295" t="str">
        <x:v>Pass</x:v>
      </x:c>
      <x:c r="AC1295" t="str"/>
      <x:c r="AD1295" t="str"/>
    </x:row>
    <x:row r="1296">
      <x:c r="A1296" t="str">
        <x:v>REC1295</x:v>
      </x:c>
      <x:c r="B1296" t="n">
        <x:v>1294</x:v>
      </x:c>
      <x:c r="C1296" t="str">
        <x:v>Puerto Rico</x:v>
      </x:c>
      <x:c r="D1296" t="str">
        <x:v>GV</x:v>
      </x:c>
      <x:c r="E1296" t="str">
        <x:v>Ground Validation</x:v>
      </x:c>
      <x:c r="F1296" t="str">
        <x:v>HD Seaviewer Drop Camera</x:v>
      </x:c>
      <x:c r="G1296" t="str">
        <x:v>GV2016_687</x:v>
      </x:c>
      <x:c r="H1296" s="28" t="n">
        <x:v>42604</x:v>
      </x:c>
      <x:c r="I1296" t="str">
        <x:v>10:47:53</x:v>
      </x:c>
      <x:c r="J1296" t="n">
        <x:v>2016</x:v>
      </x:c>
      <x:c r="K1296" t="n">
        <x:v>18.19851653</x:v>
      </x:c>
      <x:c r="L1296" t="n">
        <x:v>-65.21555938</x:v>
      </x:c>
      <x:c r="M1296" t="n">
        <x:v>34.534</x:v>
      </x:c>
      <x:c r="N1296" t="str">
        <x:v>https://nccospublicstor.blob.core.windows.net/biomapper/usviinsularshelf2017/videos/low/GV2016_687.mp4</x:v>
      </x:c>
      <x:c r="O1296" t="n">
        <x:v>1</x:v>
      </x:c>
      <x:c r="P1296" t="n">
        <x:v>0</x:v>
      </x:c>
      <x:c r="Q1296" t="n">
        <x:v>0</x:v>
      </x:c>
      <x:c r="R1296" t="n">
        <x:v>0</x:v>
      </x:c>
      <x:c r="S1296" t="n">
        <x:v>1</x:v>
      </x:c>
      <x:c r="T1296" t="n">
        <x:v>0</x:v>
      </x:c>
      <x:c r="U1296" t="n">
        <x:v>1</x:v>
      </x:c>
      <x:c r="V1296" t="n">
        <x:v>1</x:v>
      </x:c>
      <x:c r="W1296" t="n">
        <x:v>0</x:v>
      </x:c>
      <x:c r="X1296" t="n">
        <x:v>0</x:v>
      </x:c>
      <x:c r="Y1296" t="n">
        <x:v>0</x:v>
      </x:c>
      <x:c r="Z1296" t="n">
        <x:v>1</x:v>
      </x:c>
      <x:c r="AA1296" t="n">
        <x:v>3</x:v>
      </x:c>
      <x:c r="AB1296" t="str">
        <x:v>Pass</x:v>
      </x:c>
      <x:c r="AC1296" t="str"/>
      <x:c r="AD1296" t="str">
        <x:v>sand channels</x:v>
      </x:c>
    </x:row>
    <x:row r="1297">
      <x:c r="A1297" t="str">
        <x:v>REC1296</x:v>
      </x:c>
      <x:c r="B1297" t="n">
        <x:v>1295</x:v>
      </x:c>
      <x:c r="C1297" t="str">
        <x:v>Puerto Rico</x:v>
      </x:c>
      <x:c r="D1297" t="str">
        <x:v>GV</x:v>
      </x:c>
      <x:c r="E1297" t="str">
        <x:v>Ground Validation</x:v>
      </x:c>
      <x:c r="F1297" t="str">
        <x:v>HD Seaviewer Drop Camera</x:v>
      </x:c>
      <x:c r="G1297" t="str">
        <x:v>GV2016_689</x:v>
      </x:c>
      <x:c r="H1297" s="28" t="n">
        <x:v>42607</x:v>
      </x:c>
      <x:c r="I1297" t="str">
        <x:v>12:25:45</x:v>
      </x:c>
      <x:c r="J1297" t="n">
        <x:v>2016</x:v>
      </x:c>
      <x:c r="K1297" t="n">
        <x:v>18.23704793</x:v>
      </x:c>
      <x:c r="L1297" t="n">
        <x:v>-65.13975379</x:v>
      </x:c>
      <x:c r="M1297" t="n">
        <x:v>29.847</x:v>
      </x:c>
      <x:c r="N1297" t="str">
        <x:v>https://nccospublicstor.blob.core.windows.net/biomapper/usviinsularshelf2017/videos/low/GV2016_689.mp4</x:v>
      </x:c>
      <x:c r="O1297" t="n">
        <x:v>1</x:v>
      </x:c>
      <x:c r="P1297" t="n">
        <x:v>0</x:v>
      </x:c>
      <x:c r="Q1297" t="n">
        <x:v>0</x:v>
      </x:c>
      <x:c r="R1297" t="n">
        <x:v>0</x:v>
      </x:c>
      <x:c r="S1297" t="n">
        <x:v>1</x:v>
      </x:c>
      <x:c r="T1297" t="n">
        <x:v>1</x:v>
      </x:c>
      <x:c r="U1297" t="n">
        <x:v>1</x:v>
      </x:c>
      <x:c r="V1297" t="n">
        <x:v>1</x:v>
      </x:c>
      <x:c r="W1297" t="n">
        <x:v>0</x:v>
      </x:c>
      <x:c r="X1297" t="n">
        <x:v>0</x:v>
      </x:c>
      <x:c r="Y1297" t="n">
        <x:v>0</x:v>
      </x:c>
      <x:c r="Z1297" t="n">
        <x:v>1</x:v>
      </x:c>
      <x:c r="AA1297" t="n">
        <x:v>4</x:v>
      </x:c>
      <x:c r="AB1297" t="str">
        <x:v>Pass</x:v>
      </x:c>
      <x:c r="AC1297" t="str"/>
      <x:c r="AD1297" t="str"/>
    </x:row>
    <x:row r="1298">
      <x:c r="A1298" t="str">
        <x:v>REC1297</x:v>
      </x:c>
      <x:c r="B1298" t="n">
        <x:v>1296</x:v>
      </x:c>
      <x:c r="C1298" t="str">
        <x:v>St. Thomas, USVI</x:v>
      </x:c>
      <x:c r="D1298" t="str">
        <x:v>GV</x:v>
      </x:c>
      <x:c r="E1298" t="str">
        <x:v>Ground Validation</x:v>
      </x:c>
      <x:c r="F1298" t="str">
        <x:v>HD Seaviewer Drop Camera</x:v>
      </x:c>
      <x:c r="G1298" t="str">
        <x:v>GV2016_690</x:v>
      </x:c>
      <x:c r="H1298" s="28" t="n">
        <x:v>42608</x:v>
      </x:c>
      <x:c r="I1298" t="str">
        <x:v>09:36:33</x:v>
      </x:c>
      <x:c r="J1298" t="n">
        <x:v>2016</x:v>
      </x:c>
      <x:c r="K1298" t="n">
        <x:v>18.1966778</x:v>
      </x:c>
      <x:c r="L1298" t="n">
        <x:v>-64.95236695</x:v>
      </x:c>
      <x:c r="M1298" t="n">
        <x:v>38.204</x:v>
      </x:c>
      <x:c r="N1298" t="str">
        <x:v>https://nccospublicstor.blob.core.windows.net/biomapper/usviinsularshelf2017/videos/low/GV2016_690.mp4</x:v>
      </x:c>
      <x:c r="O1298" t="n">
        <x:v>1</x:v>
      </x:c>
      <x:c r="P1298" t="n">
        <x:v>0</x:v>
      </x:c>
      <x:c r="Q1298" t="n">
        <x:v>0</x:v>
      </x:c>
      <x:c r="R1298" t="n">
        <x:v>0</x:v>
      </x:c>
      <x:c r="S1298" t="n">
        <x:v>1</x:v>
      </x:c>
      <x:c r="T1298" t="n">
        <x:v>0</x:v>
      </x:c>
      <x:c r="U1298" t="n">
        <x:v>1</x:v>
      </x:c>
      <x:c r="V1298" t="n">
        <x:v>1</x:v>
      </x:c>
      <x:c r="W1298" t="n">
        <x:v>0</x:v>
      </x:c>
      <x:c r="X1298" t="n">
        <x:v>0</x:v>
      </x:c>
      <x:c r="Y1298" t="n">
        <x:v>0</x:v>
      </x:c>
      <x:c r="Z1298" t="n">
        <x:v>1</x:v>
      </x:c>
      <x:c r="AA1298" t="n">
        <x:v>3</x:v>
      </x:c>
      <x:c r="AB1298" t="str">
        <x:v>Pass</x:v>
      </x:c>
      <x:c r="AC1298" t="str"/>
      <x:c r="AD1298" t="str">
        <x:v>High Coral cover &gt;70%</x:v>
      </x:c>
    </x:row>
    <x:row r="1299">
      <x:c r="A1299" t="str">
        <x:v>REC1298</x:v>
      </x:c>
      <x:c r="B1299" t="n">
        <x:v>1297</x:v>
      </x:c>
      <x:c r="C1299" t="str">
        <x:v>St. Thomas, USVI</x:v>
      </x:c>
      <x:c r="D1299" t="str">
        <x:v>GV</x:v>
      </x:c>
      <x:c r="E1299" t="str">
        <x:v>Ground Validation</x:v>
      </x:c>
      <x:c r="F1299" t="str">
        <x:v>HD Seaviewer Drop Camera</x:v>
      </x:c>
      <x:c r="G1299" t="str">
        <x:v>GV2016_691</x:v>
      </x:c>
      <x:c r="H1299" s="28" t="n">
        <x:v>42608</x:v>
      </x:c>
      <x:c r="I1299" t="str">
        <x:v>13:59:44</x:v>
      </x:c>
      <x:c r="J1299" t="n">
        <x:v>2016</x:v>
      </x:c>
      <x:c r="K1299" t="n">
        <x:v>18.18653784</x:v>
      </x:c>
      <x:c r="L1299" t="n">
        <x:v>-65.11346236</x:v>
      </x:c>
      <x:c r="M1299" t="n">
        <x:v>43.752</x:v>
      </x:c>
      <x:c r="N1299" t="str">
        <x:v>https://nccospublicstor.blob.core.windows.net/biomapper/usviinsularshelf2017/videos/low/GV2016_691.mp4</x:v>
      </x:c>
      <x:c r="O1299" t="n">
        <x:v>1</x:v>
      </x:c>
      <x:c r="P1299" t="n">
        <x:v>0</x:v>
      </x:c>
      <x:c r="Q1299" t="n">
        <x:v>0</x:v>
      </x:c>
      <x:c r="R1299" t="n">
        <x:v>1</x:v>
      </x:c>
      <x:c r="S1299" t="n">
        <x:v>1</x:v>
      </x:c>
      <x:c r="T1299" t="n">
        <x:v>0</x:v>
      </x:c>
      <x:c r="U1299" t="n">
        <x:v>1</x:v>
      </x:c>
      <x:c r="V1299" t="n">
        <x:v>1</x:v>
      </x:c>
      <x:c r="W1299" t="n">
        <x:v>0</x:v>
      </x:c>
      <x:c r="X1299" t="n">
        <x:v>0</x:v>
      </x:c>
      <x:c r="Y1299" t="n">
        <x:v>0</x:v>
      </x:c>
      <x:c r="Z1299" t="n">
        <x:v>2</x:v>
      </x:c>
      <x:c r="AA1299" t="n">
        <x:v>3</x:v>
      </x:c>
      <x:c r="AB1299" t="str">
        <x:v>Pass</x:v>
      </x:c>
      <x:c r="AC1299" t="str"/>
      <x:c r="AD1299" t="str"/>
    </x:row>
    <x:row r="1300">
      <x:c r="A1300" t="str">
        <x:v>REC1299</x:v>
      </x:c>
      <x:c r="B1300" t="n">
        <x:v>1298</x:v>
      </x:c>
      <x:c r="C1300" t="str">
        <x:v>St. Thomas, USVI</x:v>
      </x:c>
      <x:c r="D1300" t="str">
        <x:v>GV</x:v>
      </x:c>
      <x:c r="E1300" t="str">
        <x:v>Ground Validation</x:v>
      </x:c>
      <x:c r="F1300" t="str">
        <x:v>HD Seaviewer Drop Camera</x:v>
      </x:c>
      <x:c r="G1300" t="str">
        <x:v>GV2016_692</x:v>
      </x:c>
      <x:c r="H1300" s="28" t="n">
        <x:v>42611</x:v>
      </x:c>
      <x:c r="I1300" t="str">
        <x:v>10:24:02</x:v>
      </x:c>
      <x:c r="J1300" t="n">
        <x:v>2016</x:v>
      </x:c>
      <x:c r="K1300" t="n">
        <x:v>18.24628211</x:v>
      </x:c>
      <x:c r="L1300" t="n">
        <x:v>-64.87814662</x:v>
      </x:c>
      <x:c r="M1300" t="n">
        <x:v>41.615</x:v>
      </x:c>
      <x:c r="N1300" t="str">
        <x:v>https://nccospublicstor.blob.core.windows.net/biomapper/usviinsularshelf2017/videos/low/GV2016_692.mp4</x:v>
      </x:c>
      <x:c r="O1300" t="n">
        <x:v>0</x:v>
      </x:c>
      <x:c r="P1300" t="n">
        <x:v>0</x:v>
      </x:c>
      <x:c r="Q1300" t="n">
        <x:v>1</x:v>
      </x:c>
      <x:c r="R1300" t="n">
        <x:v>1</x:v>
      </x:c>
      <x:c r="S1300" t="n">
        <x:v>0</x:v>
      </x:c>
      <x:c r="T1300" t="n">
        <x:v>0</x:v>
      </x:c>
      <x:c r="U1300" t="n">
        <x:v>1</x:v>
      </x:c>
      <x:c r="V1300" t="n">
        <x:v>1</x:v>
      </x:c>
      <x:c r="W1300" t="n">
        <x:v>0</x:v>
      </x:c>
      <x:c r="X1300" t="n">
        <x:v>0</x:v>
      </x:c>
      <x:c r="Y1300" t="n">
        <x:v>0</x:v>
      </x:c>
      <x:c r="Z1300" t="n">
        <x:v>2</x:v>
      </x:c>
      <x:c r="AA1300" t="n">
        <x:v>2</x:v>
      </x:c>
      <x:c r="AB1300" t="str">
        <x:v>Pass</x:v>
      </x:c>
      <x:c r="AC1300" t="str"/>
      <x:c r="AD1300" t="str"/>
    </x:row>
    <x:row r="1301">
      <x:c r="A1301" t="str">
        <x:v>REC1300</x:v>
      </x:c>
      <x:c r="B1301" t="n">
        <x:v>1299</x:v>
      </x:c>
      <x:c r="C1301" t="str">
        <x:v>St. Thomas, USVI</x:v>
      </x:c>
      <x:c r="D1301" t="str">
        <x:v>GV</x:v>
      </x:c>
      <x:c r="E1301" t="str">
        <x:v>Ground Validation</x:v>
      </x:c>
      <x:c r="F1301" t="str">
        <x:v>HD Seaviewer Drop Camera</x:v>
      </x:c>
      <x:c r="G1301" t="str">
        <x:v>GV2016_693</x:v>
      </x:c>
      <x:c r="H1301" s="28" t="n">
        <x:v>42608</x:v>
      </x:c>
      <x:c r="I1301" t="str">
        <x:v>08:56:21</x:v>
      </x:c>
      <x:c r="J1301" t="n">
        <x:v>2016</x:v>
      </x:c>
      <x:c r="K1301" t="n">
        <x:v>18.19661738</x:v>
      </x:c>
      <x:c r="L1301" t="n">
        <x:v>-64.93263582</x:v>
      </x:c>
      <x:c r="M1301" t="n">
        <x:v>54.913</x:v>
      </x:c>
      <x:c r="N1301" t="str">
        <x:v>https://nccospublicstor.blob.core.windows.net/biomapper/usviinsularshelf2017/videos/low/GV2016_693.mp4</x:v>
      </x:c>
      <x:c r="O1301" t="n">
        <x:v>0</x:v>
      </x:c>
      <x:c r="P1301" t="n">
        <x:v>0</x:v>
      </x:c>
      <x:c r="Q1301" t="n">
        <x:v>1</x:v>
      </x:c>
      <x:c r="R1301" t="n">
        <x:v>1</x:v>
      </x:c>
      <x:c r="S1301" t="n">
        <x:v>0</x:v>
      </x:c>
      <x:c r="T1301" t="n">
        <x:v>0</x:v>
      </x:c>
      <x:c r="U1301" t="n">
        <x:v>1</x:v>
      </x:c>
      <x:c r="V1301" t="n">
        <x:v>1</x:v>
      </x:c>
      <x:c r="W1301" t="n">
        <x:v>0</x:v>
      </x:c>
      <x:c r="X1301" t="n">
        <x:v>0</x:v>
      </x:c>
      <x:c r="Y1301" t="n">
        <x:v>0</x:v>
      </x:c>
      <x:c r="Z1301" t="n">
        <x:v>2</x:v>
      </x:c>
      <x:c r="AA1301" t="n">
        <x:v>2</x:v>
      </x:c>
      <x:c r="AB1301" t="str">
        <x:v>Pass</x:v>
      </x:c>
      <x:c r="AC1301" t="str"/>
      <x:c r="AD1301" t="str"/>
    </x:row>
    <x:row r="1302">
      <x:c r="A1302" t="str">
        <x:v>REC1301</x:v>
      </x:c>
      <x:c r="B1302" t="n">
        <x:v>1300</x:v>
      </x:c>
      <x:c r="C1302" t="str">
        <x:v>St. Thomas, USVI</x:v>
      </x:c>
      <x:c r="D1302" t="str">
        <x:v>GV</x:v>
      </x:c>
      <x:c r="E1302" t="str">
        <x:v>Ground Validation</x:v>
      </x:c>
      <x:c r="F1302" t="str">
        <x:v>HD Seaviewer Drop Camera</x:v>
      </x:c>
      <x:c r="G1302" t="str">
        <x:v>GV2016_694</x:v>
      </x:c>
      <x:c r="H1302" s="28" t="n">
        <x:v>42608</x:v>
      </x:c>
      <x:c r="I1302" t="str">
        <x:v>12:38:07</x:v>
      </x:c>
      <x:c r="J1302" t="n">
        <x:v>2016</x:v>
      </x:c>
      <x:c r="K1302" t="n">
        <x:v>18.21367067</x:v>
      </x:c>
      <x:c r="L1302" t="n">
        <x:v>-65.05900806</x:v>
      </x:c>
      <x:c r="M1302" t="n">
        <x:v>38.177</x:v>
      </x:c>
      <x:c r="N1302" t="str">
        <x:v>https://nccospublicstor.blob.core.windows.net/biomapper/usviinsularshelf2017/videos/low/GV2016_694.mp4</x:v>
      </x:c>
      <x:c r="O1302" t="n">
        <x:v>1</x:v>
      </x:c>
      <x:c r="P1302" t="n">
        <x:v>0</x:v>
      </x:c>
      <x:c r="Q1302" t="n">
        <x:v>0</x:v>
      </x:c>
      <x:c r="R1302" t="n">
        <x:v>0</x:v>
      </x:c>
      <x:c r="S1302" t="n">
        <x:v>1</x:v>
      </x:c>
      <x:c r="T1302" t="n">
        <x:v>0</x:v>
      </x:c>
      <x:c r="U1302" t="n">
        <x:v>1</x:v>
      </x:c>
      <x:c r="V1302" t="n">
        <x:v>1</x:v>
      </x:c>
      <x:c r="W1302" t="n">
        <x:v>0</x:v>
      </x:c>
      <x:c r="X1302" t="n">
        <x:v>0</x:v>
      </x:c>
      <x:c r="Y1302" t="n">
        <x:v>0</x:v>
      </x:c>
      <x:c r="Z1302" t="n">
        <x:v>1</x:v>
      </x:c>
      <x:c r="AA1302" t="n">
        <x:v>3</x:v>
      </x:c>
      <x:c r="AB1302" t="str">
        <x:v>Pass</x:v>
      </x:c>
      <x:c r="AC1302" t="str"/>
      <x:c r="AD1302" t="str">
        <x:v>High Coral cover &gt;70%</x:v>
      </x:c>
    </x:row>
    <x:row r="1303">
      <x:c r="A1303" t="str">
        <x:v>REC1302</x:v>
      </x:c>
      <x:c r="B1303" t="n">
        <x:v>1301</x:v>
      </x:c>
      <x:c r="C1303" t="str">
        <x:v>Puerto Rico</x:v>
      </x:c>
      <x:c r="D1303" t="str">
        <x:v>GV</x:v>
      </x:c>
      <x:c r="E1303" t="str">
        <x:v>Ground Validation</x:v>
      </x:c>
      <x:c r="F1303" t="str">
        <x:v>HD Seaviewer Drop Camera</x:v>
      </x:c>
      <x:c r="G1303" t="str">
        <x:v>GV2016_695</x:v>
      </x:c>
      <x:c r="H1303" s="28" t="n">
        <x:v>42605</x:v>
      </x:c>
      <x:c r="I1303" t="str">
        <x:v>09:33:26</x:v>
      </x:c>
      <x:c r="J1303" t="n">
        <x:v>2016</x:v>
      </x:c>
      <x:c r="K1303" t="n">
        <x:v>18.19354098</x:v>
      </x:c>
      <x:c r="L1303" t="n">
        <x:v>-65.18415239</x:v>
      </x:c>
      <x:c r="M1303" t="n">
        <x:v>39.235</x:v>
      </x:c>
      <x:c r="N1303" t="str">
        <x:v>https://nccospublicstor.blob.core.windows.net/biomapper/usviinsularshelf2017/videos/low/GV2016_695.mp4</x:v>
      </x:c>
      <x:c r="O1303" t="n">
        <x:v>1</x:v>
      </x:c>
      <x:c r="P1303" t="n">
        <x:v>0</x:v>
      </x:c>
      <x:c r="Q1303" t="n">
        <x:v>0</x:v>
      </x:c>
      <x:c r="R1303" t="n">
        <x:v>1</x:v>
      </x:c>
      <x:c r="S1303" t="n">
        <x:v>1</x:v>
      </x:c>
      <x:c r="T1303" t="n">
        <x:v>1</x:v>
      </x:c>
      <x:c r="U1303" t="n">
        <x:v>1</x:v>
      </x:c>
      <x:c r="V1303" t="n">
        <x:v>1</x:v>
      </x:c>
      <x:c r="W1303" t="n">
        <x:v>0</x:v>
      </x:c>
      <x:c r="X1303" t="n">
        <x:v>0</x:v>
      </x:c>
      <x:c r="Y1303" t="n">
        <x:v>0</x:v>
      </x:c>
      <x:c r="Z1303" t="n">
        <x:v>2</x:v>
      </x:c>
      <x:c r="AA1303" t="n">
        <x:v>4</x:v>
      </x:c>
      <x:c r="AB1303" t="str">
        <x:v>Pass</x:v>
      </x:c>
      <x:c r="AC1303" t="str"/>
      <x:c r="AD1303" t="str"/>
    </x:row>
    <x:row r="1304">
      <x:c r="A1304" t="str">
        <x:v>REC1303</x:v>
      </x:c>
      <x:c r="B1304" t="n">
        <x:v>1302</x:v>
      </x:c>
      <x:c r="C1304" t="str">
        <x:v>St. Thomas, USVI</x:v>
      </x:c>
      <x:c r="D1304" t="str">
        <x:v>GV</x:v>
      </x:c>
      <x:c r="E1304" t="str">
        <x:v>Ground Validation</x:v>
      </x:c>
      <x:c r="F1304" t="str">
        <x:v>HD Seaviewer Drop Camera</x:v>
      </x:c>
      <x:c r="G1304" t="str">
        <x:v>GV2016_696</x:v>
      </x:c>
      <x:c r="H1304" s="28" t="n">
        <x:v>42611</x:v>
      </x:c>
      <x:c r="I1304" t="str">
        <x:v>13:11:10</x:v>
      </x:c>
      <x:c r="J1304" t="n">
        <x:v>2016</x:v>
      </x:c>
      <x:c r="K1304" t="n">
        <x:v>18.22761518</x:v>
      </x:c>
      <x:c r="L1304" t="n">
        <x:v>-64.94740538</x:v>
      </x:c>
      <x:c r="M1304" t="n">
        <x:v>42.85</x:v>
      </x:c>
      <x:c r="N1304" t="str">
        <x:v>https://nccospublicstor.blob.core.windows.net/biomapper/usviinsularshelf2017/videos/low/GV2016_696.mp4</x:v>
      </x:c>
      <x:c r="O1304" t="n">
        <x:v>0</x:v>
      </x:c>
      <x:c r="P1304" t="n">
        <x:v>0</x:v>
      </x:c>
      <x:c r="Q1304" t="n">
        <x:v>1</x:v>
      </x:c>
      <x:c r="R1304" t="n">
        <x:v>1</x:v>
      </x:c>
      <x:c r="S1304" t="n">
        <x:v>0</x:v>
      </x:c>
      <x:c r="T1304" t="n">
        <x:v>0</x:v>
      </x:c>
      <x:c r="U1304" t="n">
        <x:v>1</x:v>
      </x:c>
      <x:c r="V1304" t="n">
        <x:v>1</x:v>
      </x:c>
      <x:c r="W1304" t="n">
        <x:v>0</x:v>
      </x:c>
      <x:c r="X1304" t="n">
        <x:v>0</x:v>
      </x:c>
      <x:c r="Y1304" t="n">
        <x:v>0</x:v>
      </x:c>
      <x:c r="Z1304" t="n">
        <x:v>2</x:v>
      </x:c>
      <x:c r="AA1304" t="n">
        <x:v>2</x:v>
      </x:c>
      <x:c r="AB1304" t="str">
        <x:v>Pass</x:v>
      </x:c>
      <x:c r="AC1304" t="str"/>
      <x:c r="AD1304" t="str"/>
    </x:row>
    <x:row r="1305">
      <x:c r="A1305" t="str">
        <x:v>REC1304</x:v>
      </x:c>
      <x:c r="B1305" t="n">
        <x:v>1303</x:v>
      </x:c>
      <x:c r="C1305" t="str">
        <x:v>St. John, USVI</x:v>
      </x:c>
      <x:c r="D1305" t="str">
        <x:v>GV</x:v>
      </x:c>
      <x:c r="E1305" t="str">
        <x:v>Ground Validation</x:v>
      </x:c>
      <x:c r="F1305" t="str">
        <x:v>HD Seaviewer Drop Camera</x:v>
      </x:c>
      <x:c r="G1305" t="str">
        <x:v>GV2016_698</x:v>
      </x:c>
      <x:c r="H1305" s="28" t="n">
        <x:v>42625</x:v>
      </x:c>
      <x:c r="I1305" t="str">
        <x:v>11:09:26</x:v>
      </x:c>
      <x:c r="J1305" t="n">
        <x:v>2016</x:v>
      </x:c>
      <x:c r="K1305" t="n">
        <x:v>18.21677511</x:v>
      </x:c>
      <x:c r="L1305" t="n">
        <x:v>-64.69631407</x:v>
      </x:c>
      <x:c r="M1305" t="n">
        <x:v>53.733</x:v>
      </x:c>
      <x:c r="N1305" t="str">
        <x:v>https://nccospublicstor.blob.core.windows.net/biomapper/usviinsularshelf2017/videos/low/GV2016_698.mp4</x:v>
      </x:c>
      <x:c r="O1305" t="n">
        <x:v>0</x:v>
      </x:c>
      <x:c r="P1305" t="n">
        <x:v>1</x:v>
      </x:c>
      <x:c r="Q1305" t="n">
        <x:v>1</x:v>
      </x:c>
      <x:c r="R1305" t="n">
        <x:v>0</x:v>
      </x:c>
      <x:c r="S1305" t="n">
        <x:v>1</x:v>
      </x:c>
      <x:c r="T1305" t="n">
        <x:v>0</x:v>
      </x:c>
      <x:c r="U1305" t="n">
        <x:v>1</x:v>
      </x:c>
      <x:c r="V1305" t="n">
        <x:v>1</x:v>
      </x:c>
      <x:c r="W1305" t="n">
        <x:v>0</x:v>
      </x:c>
      <x:c r="X1305" t="n">
        <x:v>0</x:v>
      </x:c>
      <x:c r="Y1305" t="n">
        <x:v>0</x:v>
      </x:c>
      <x:c r="Z1305" t="n">
        <x:v>2</x:v>
      </x:c>
      <x:c r="AA1305" t="n">
        <x:v>3</x:v>
      </x:c>
      <x:c r="AB1305" t="str">
        <x:v>Pass</x:v>
      </x:c>
      <x:c r="AC1305" t="str"/>
      <x:c r="AD1305" t="str"/>
    </x:row>
    <x:row r="1306">
      <x:c r="A1306" t="str">
        <x:v>REC1305</x:v>
      </x:c>
      <x:c r="B1306" t="n">
        <x:v>1304</x:v>
      </x:c>
      <x:c r="C1306" t="str">
        <x:v>Puerto Rico</x:v>
      </x:c>
      <x:c r="D1306" t="str">
        <x:v>GV</x:v>
      </x:c>
      <x:c r="E1306" t="str">
        <x:v>Ground Validation</x:v>
      </x:c>
      <x:c r="F1306" t="str">
        <x:v>HD Seaviewer Drop Camera</x:v>
      </x:c>
      <x:c r="G1306" t="str">
        <x:v>GV2016_699</x:v>
      </x:c>
      <x:c r="H1306" s="28" t="n">
        <x:v>42605</x:v>
      </x:c>
      <x:c r="I1306" t="str">
        <x:v>11:25:14</x:v>
      </x:c>
      <x:c r="J1306" t="n">
        <x:v>2016</x:v>
      </x:c>
      <x:c r="K1306" t="n">
        <x:v>18.17908502</x:v>
      </x:c>
      <x:c r="L1306" t="n">
        <x:v>-65.14135116</x:v>
      </x:c>
      <x:c r="M1306" t="n">
        <x:v>44.047</x:v>
      </x:c>
      <x:c r="N1306" t="str">
        <x:v>https://nccospublicstor.blob.core.windows.net/biomapper/usviinsularshelf2017/videos/low/GV2016_699.mp4</x:v>
      </x:c>
      <x:c r="O1306" t="n">
        <x:v>1</x:v>
      </x:c>
      <x:c r="P1306" t="n">
        <x:v>0</x:v>
      </x:c>
      <x:c r="Q1306" t="n">
        <x:v>0</x:v>
      </x:c>
      <x:c r="R1306" t="n">
        <x:v>1</x:v>
      </x:c>
      <x:c r="S1306" t="n">
        <x:v>1</x:v>
      </x:c>
      <x:c r="T1306" t="n">
        <x:v>0</x:v>
      </x:c>
      <x:c r="U1306" t="n">
        <x:v>1</x:v>
      </x:c>
      <x:c r="V1306" t="n">
        <x:v>1</x:v>
      </x:c>
      <x:c r="W1306" t="n">
        <x:v>0</x:v>
      </x:c>
      <x:c r="X1306" t="n">
        <x:v>0</x:v>
      </x:c>
      <x:c r="Y1306" t="n">
        <x:v>0</x:v>
      </x:c>
      <x:c r="Z1306" t="n">
        <x:v>2</x:v>
      </x:c>
      <x:c r="AA1306" t="n">
        <x:v>3</x:v>
      </x:c>
      <x:c r="AB1306" t="str">
        <x:v>Pass</x:v>
      </x:c>
      <x:c r="AC1306" t="str"/>
      <x:c r="AD1306" t="str"/>
    </x:row>
    <x:row r="1307">
      <x:c r="A1307" t="str">
        <x:v>REC1306</x:v>
      </x:c>
      <x:c r="B1307" t="n">
        <x:v>1305</x:v>
      </x:c>
      <x:c r="C1307" t="str">
        <x:v>St. Thomas, USVI</x:v>
      </x:c>
      <x:c r="D1307" t="str">
        <x:v>GV</x:v>
      </x:c>
      <x:c r="E1307" t="str">
        <x:v>Ground Validation</x:v>
      </x:c>
      <x:c r="F1307" t="str">
        <x:v>HD Seaviewer Drop Camera</x:v>
      </x:c>
      <x:c r="G1307" t="str">
        <x:v>GV2016_700</x:v>
      </x:c>
      <x:c r="H1307" s="28" t="n">
        <x:v>42609</x:v>
      </x:c>
      <x:c r="I1307" t="str">
        <x:v>11:43:27</x:v>
      </x:c>
      <x:c r="J1307" t="n">
        <x:v>2016</x:v>
      </x:c>
      <x:c r="K1307" t="n">
        <x:v>18.26857023</x:v>
      </x:c>
      <x:c r="L1307" t="n">
        <x:v>-65.0318786</x:v>
      </x:c>
      <x:c r="M1307" t="n">
        <x:v>33.354</x:v>
      </x:c>
      <x:c r="N1307" t="str">
        <x:v>https://nccospublicstor.blob.core.windows.net/biomapper/usviinsularshelf2017/videos/low/GV2016_700.mp4</x:v>
      </x:c>
      <x:c r="O1307" t="n">
        <x:v>0</x:v>
      </x:c>
      <x:c r="P1307" t="n">
        <x:v>0</x:v>
      </x:c>
      <x:c r="Q1307" t="n">
        <x:v>1</x:v>
      </x:c>
      <x:c r="R1307" t="n">
        <x:v>0</x:v>
      </x:c>
      <x:c r="S1307" t="n">
        <x:v>0</x:v>
      </x:c>
      <x:c r="T1307" t="n">
        <x:v>0</x:v>
      </x:c>
      <x:c r="U1307" t="n">
        <x:v>1</x:v>
      </x:c>
      <x:c r="V1307" t="n">
        <x:v>1</x:v>
      </x:c>
      <x:c r="W1307" t="n">
        <x:v>0</x:v>
      </x:c>
      <x:c r="X1307" t="n">
        <x:v>0</x:v>
      </x:c>
      <x:c r="Y1307" t="n">
        <x:v>0</x:v>
      </x:c>
      <x:c r="Z1307" t="n">
        <x:v>1</x:v>
      </x:c>
      <x:c r="AA1307" t="n">
        <x:v>2</x:v>
      </x:c>
      <x:c r="AB1307" t="str">
        <x:v>Pass</x:v>
      </x:c>
      <x:c r="AC1307" t="str"/>
      <x:c r="AD1307" t="str"/>
    </x:row>
    <x:row r="1308">
      <x:c r="A1308" t="str">
        <x:v>REC1307</x:v>
      </x:c>
      <x:c r="B1308" t="n">
        <x:v>1306</x:v>
      </x:c>
      <x:c r="C1308" t="str">
        <x:v>Puerto Rico</x:v>
      </x:c>
      <x:c r="D1308" t="str">
        <x:v>GV</x:v>
      </x:c>
      <x:c r="E1308" t="str">
        <x:v>Ground Validation</x:v>
      </x:c>
      <x:c r="F1308" t="str">
        <x:v>HD Seaviewer Drop Camera</x:v>
      </x:c>
      <x:c r="G1308" t="str">
        <x:v>GV2016_701</x:v>
      </x:c>
      <x:c r="H1308" s="28" t="n">
        <x:v>42603</x:v>
      </x:c>
      <x:c r="I1308" t="str">
        <x:v>09:05:16</x:v>
      </x:c>
      <x:c r="J1308" t="n">
        <x:v>2016</x:v>
      </x:c>
      <x:c r="K1308" t="n">
        <x:v>18.14079977</x:v>
      </x:c>
      <x:c r="L1308" t="n">
        <x:v>-65.2133647</x:v>
      </x:c>
      <x:c r="M1308" t="n">
        <x:v>37.704</x:v>
      </x:c>
      <x:c r="N1308" t="str">
        <x:v>https://nccospublicstor.blob.core.windows.net/biomapper/usviinsularshelf2017/videos/low/GV2016_701.mp4</x:v>
      </x:c>
      <x:c r="O1308" t="n">
        <x:v>1</x:v>
      </x:c>
      <x:c r="P1308" t="n">
        <x:v>0</x:v>
      </x:c>
      <x:c r="Q1308" t="n">
        <x:v>0</x:v>
      </x:c>
      <x:c r="R1308" t="n">
        <x:v>0</x:v>
      </x:c>
      <x:c r="S1308" t="n">
        <x:v>1</x:v>
      </x:c>
      <x:c r="T1308" t="n">
        <x:v>0</x:v>
      </x:c>
      <x:c r="U1308" t="n">
        <x:v>1</x:v>
      </x:c>
      <x:c r="V1308" t="n">
        <x:v>1</x:v>
      </x:c>
      <x:c r="W1308" t="n">
        <x:v>0</x:v>
      </x:c>
      <x:c r="X1308" t="n">
        <x:v>0</x:v>
      </x:c>
      <x:c r="Y1308" t="n">
        <x:v>0</x:v>
      </x:c>
      <x:c r="Z1308" t="n">
        <x:v>1</x:v>
      </x:c>
      <x:c r="AA1308" t="n">
        <x:v>3</x:v>
      </x:c>
      <x:c r="AB1308" t="str">
        <x:v>Pass</x:v>
      </x:c>
      <x:c r="AC1308" t="str"/>
      <x:c r="AD1308" t="str">
        <x:v>Coral Bleaching</x:v>
      </x:c>
    </x:row>
    <x:row r="1309">
      <x:c r="A1309" t="str">
        <x:v>REC1308</x:v>
      </x:c>
      <x:c r="B1309" t="n">
        <x:v>1307</x:v>
      </x:c>
      <x:c r="C1309" t="str">
        <x:v>St. John, USVI</x:v>
      </x:c>
      <x:c r="D1309" t="str">
        <x:v>GV</x:v>
      </x:c>
      <x:c r="E1309" t="str">
        <x:v>Ground Validation</x:v>
      </x:c>
      <x:c r="F1309" t="str">
        <x:v>HD Seaviewer Drop Camera</x:v>
      </x:c>
      <x:c r="G1309" t="str">
        <x:v>GV2016_702</x:v>
      </x:c>
      <x:c r="H1309" s="28" t="n">
        <x:v>42624</x:v>
      </x:c>
      <x:c r="I1309" t="str">
        <x:v>11:48:29</x:v>
      </x:c>
      <x:c r="J1309" t="n">
        <x:v>2016</x:v>
      </x:c>
      <x:c r="K1309" t="n">
        <x:v>18.26634038</x:v>
      </x:c>
      <x:c r="L1309" t="n">
        <x:v>-64.75040803</x:v>
      </x:c>
      <x:c r="M1309" t="n">
        <x:v>46.283</x:v>
      </x:c>
      <x:c r="N1309" t="str">
        <x:v>https://nccospublicstor.blob.core.windows.net/biomapper/usviinsularshelf2017/videos/low/GV2016_702.mp4</x:v>
      </x:c>
      <x:c r="O1309" t="n">
        <x:v>0</x:v>
      </x:c>
      <x:c r="P1309" t="n">
        <x:v>0</x:v>
      </x:c>
      <x:c r="Q1309" t="n">
        <x:v>1</x:v>
      </x:c>
      <x:c r="R1309" t="n">
        <x:v>1</x:v>
      </x:c>
      <x:c r="S1309" t="n">
        <x:v>0</x:v>
      </x:c>
      <x:c r="T1309" t="n">
        <x:v>0</x:v>
      </x:c>
      <x:c r="U1309" t="n">
        <x:v>1</x:v>
      </x:c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2</x:v>
      </x:c>
      <x:c r="AA1309" t="n">
        <x:v>1</x:v>
      </x:c>
      <x:c r="AB1309" t="str">
        <x:v>Pass</x:v>
      </x:c>
      <x:c r="AC1309" t="str"/>
      <x:c r="AD1309" t="str"/>
    </x:row>
    <x:row r="1310">
      <x:c r="A1310" t="str">
        <x:v>REC1309</x:v>
      </x:c>
      <x:c r="B1310" t="n">
        <x:v>1308</x:v>
      </x:c>
      <x:c r="C1310" t="str">
        <x:v>St. John, USVI</x:v>
      </x:c>
      <x:c r="D1310" t="str">
        <x:v>GV</x:v>
      </x:c>
      <x:c r="E1310" t="str">
        <x:v>Ground Validation</x:v>
      </x:c>
      <x:c r="F1310" t="str">
        <x:v>HD Seaviewer Drop Camera</x:v>
      </x:c>
      <x:c r="G1310" t="str">
        <x:v>GV2016_703</x:v>
      </x:c>
      <x:c r="H1310" s="28" t="n">
        <x:v>42624</x:v>
      </x:c>
      <x:c r="I1310" t="str">
        <x:v>07:50:51</x:v>
      </x:c>
      <x:c r="J1310" t="n">
        <x:v>2016</x:v>
      </x:c>
      <x:c r="K1310" t="n">
        <x:v>18.2797359</x:v>
      </x:c>
      <x:c r="L1310" t="n">
        <x:v>-64.77894071</x:v>
      </x:c>
      <x:c r="M1310" t="n">
        <x:v>27.596</x:v>
      </x:c>
      <x:c r="N1310" t="str">
        <x:v>https://nccospublicstor.blob.core.windows.net/biomapper/usviinsularshelf2017/videos/low/GV2016_703.mp4</x:v>
      </x:c>
      <x:c r="O1310" t="n">
        <x:v>1</x:v>
      </x:c>
      <x:c r="P1310" t="n">
        <x:v>0</x:v>
      </x:c>
      <x:c r="Q1310" t="n">
        <x:v>0</x:v>
      </x:c>
      <x:c r="R1310" t="n">
        <x:v>1</x:v>
      </x:c>
      <x:c r="S1310" t="n">
        <x:v>1</x:v>
      </x:c>
      <x:c r="T1310" t="n">
        <x:v>1</x:v>
      </x:c>
      <x:c r="U1310" t="n">
        <x:v>1</x:v>
      </x:c>
      <x:c r="V1310" t="n">
        <x:v>1</x:v>
      </x:c>
      <x:c r="W1310" t="n">
        <x:v>0</x:v>
      </x:c>
      <x:c r="X1310" t="n">
        <x:v>1</x:v>
      </x:c>
      <x:c r="Y1310" t="n">
        <x:v>0</x:v>
      </x:c>
      <x:c r="Z1310" t="n">
        <x:v>2</x:v>
      </x:c>
      <x:c r="AA1310" t="n">
        <x:v>4</x:v>
      </x:c>
      <x:c r="AB1310" t="str">
        <x:v>Pass</x:v>
      </x:c>
      <x:c r="AC1310" t="str"/>
      <x:c r="AD1310" t="str">
        <x:v>Fish Trap, nice school of fish</x:v>
      </x:c>
    </x:row>
    <x:row r="1311">
      <x:c r="A1311" t="str">
        <x:v>REC1310</x:v>
      </x:c>
      <x:c r="B1311" t="n">
        <x:v>1309</x:v>
      </x:c>
      <x:c r="C1311" t="str">
        <x:v>Puerto Rico</x:v>
      </x:c>
      <x:c r="D1311" t="str">
        <x:v>GV</x:v>
      </x:c>
      <x:c r="E1311" t="str">
        <x:v>Ground Validation</x:v>
      </x:c>
      <x:c r="F1311" t="str">
        <x:v>HD Seaviewer Drop Camera</x:v>
      </x:c>
      <x:c r="G1311" t="str">
        <x:v>GV2016_704</x:v>
      </x:c>
      <x:c r="H1311" s="28" t="n">
        <x:v>42603</x:v>
      </x:c>
      <x:c r="I1311" t="str">
        <x:v>11:16:09</x:v>
      </x:c>
      <x:c r="J1311" t="n">
        <x:v>2016</x:v>
      </x:c>
      <x:c r="K1311" t="n">
        <x:v>18.12401205</x:v>
      </x:c>
      <x:c r="L1311" t="n">
        <x:v>-65.19579075</x:v>
      </x:c>
      <x:c r="M1311" t="n">
        <x:v>42.383</x:v>
      </x:c>
      <x:c r="N1311" t="str">
        <x:v>https://nccospublicstor.blob.core.windows.net/biomapper/usviinsularshelf2017/videos/low/GV2016_704.mp4</x:v>
      </x:c>
      <x:c r="O1311" t="n">
        <x:v>0</x:v>
      </x:c>
      <x:c r="P1311" t="n">
        <x:v>0</x:v>
      </x:c>
      <x:c r="Q1311" t="n">
        <x:v>1</x:v>
      </x:c>
      <x:c r="R1311" t="n">
        <x:v>0</x:v>
      </x:c>
      <x:c r="S1311" t="n">
        <x:v>0</x:v>
      </x:c>
      <x:c r="T1311" t="n">
        <x:v>0</x:v>
      </x:c>
      <x:c r="U1311" t="n">
        <x:v>1</x:v>
      </x:c>
      <x:c r="V1311" t="n">
        <x:v>1</x:v>
      </x:c>
      <x:c r="W1311" t="n">
        <x:v>0</x:v>
      </x:c>
      <x:c r="X1311" t="n">
        <x:v>0</x:v>
      </x:c>
      <x:c r="Y1311" t="n">
        <x:v>0</x:v>
      </x:c>
      <x:c r="Z1311" t="n">
        <x:v>1</x:v>
      </x:c>
      <x:c r="AA1311" t="n">
        <x:v>2</x:v>
      </x:c>
      <x:c r="AB1311" t="str">
        <x:v>Pass</x:v>
      </x:c>
      <x:c r="AC1311" t="str"/>
      <x:c r="AD1311" t="str"/>
    </x:row>
    <x:row r="1312">
      <x:c r="A1312" t="str">
        <x:v>REC1311</x:v>
      </x:c>
      <x:c r="B1312" t="n">
        <x:v>1310</x:v>
      </x:c>
      <x:c r="C1312" t="str">
        <x:v>Puerto Rico</x:v>
      </x:c>
      <x:c r="D1312" t="str">
        <x:v>GV</x:v>
      </x:c>
      <x:c r="E1312" t="str">
        <x:v>Ground Validation</x:v>
      </x:c>
      <x:c r="F1312" t="str">
        <x:v>HD Seaviewer Drop Camera</x:v>
      </x:c>
      <x:c r="G1312" t="str">
        <x:v>GV2016_705</x:v>
      </x:c>
      <x:c r="H1312" s="28" t="n">
        <x:v>42604</x:v>
      </x:c>
      <x:c r="I1312" t="str">
        <x:v>11:24:17</x:v>
      </x:c>
      <x:c r="J1312" t="n">
        <x:v>2016</x:v>
      </x:c>
      <x:c r="K1312" t="n">
        <x:v>18.20804584</x:v>
      </x:c>
      <x:c r="L1312" t="n">
        <x:v>-65.20179264</x:v>
      </x:c>
      <x:c r="M1312" t="n">
        <x:v>31.724</x:v>
      </x:c>
      <x:c r="N1312" t="str">
        <x:v>https://nccospublicstor.blob.core.windows.net/biomapper/usviinsularshelf2017/videos/low/GV2016_705.mp4</x:v>
      </x:c>
      <x:c r="O1312" t="n">
        <x:v>1</x:v>
      </x:c>
      <x:c r="P1312" t="n">
        <x:v>0</x:v>
      </x:c>
      <x:c r="Q1312" t="n">
        <x:v>0</x:v>
      </x:c>
      <x:c r="R1312" t="n">
        <x:v>0</x:v>
      </x:c>
      <x:c r="S1312" t="n">
        <x:v>1</x:v>
      </x:c>
      <x:c r="T1312" t="n">
        <x:v>1</x:v>
      </x:c>
      <x:c r="U1312" t="n">
        <x:v>1</x:v>
      </x:c>
      <x:c r="V1312" t="n">
        <x:v>1</x:v>
      </x:c>
      <x:c r="W1312" t="n">
        <x:v>0</x:v>
      </x:c>
      <x:c r="X1312" t="n">
        <x:v>0</x:v>
      </x:c>
      <x:c r="Y1312" t="n">
        <x:v>0</x:v>
      </x:c>
      <x:c r="Z1312" t="n">
        <x:v>1</x:v>
      </x:c>
      <x:c r="AA1312" t="n">
        <x:v>4</x:v>
      </x:c>
      <x:c r="AB1312" t="str">
        <x:v>Pass</x:v>
      </x:c>
      <x:c r="AC1312" t="str"/>
      <x:c r="AD1312" t="str">
        <x:v>Some coral colonies with coral bleaching</x:v>
      </x:c>
    </x:row>
    <x:row r="1313">
      <x:c r="A1313" t="str">
        <x:v>REC1312</x:v>
      </x:c>
      <x:c r="B1313" t="n">
        <x:v>1311</x:v>
      </x:c>
      <x:c r="C1313" t="str">
        <x:v>St. John, USVI</x:v>
      </x:c>
      <x:c r="D1313" t="str">
        <x:v>GV</x:v>
      </x:c>
      <x:c r="E1313" t="str">
        <x:v>Ground Validation</x:v>
      </x:c>
      <x:c r="F1313" t="str">
        <x:v>HD Seaviewer Drop Camera</x:v>
      </x:c>
      <x:c r="G1313" t="str">
        <x:v>GV2016_706</x:v>
      </x:c>
      <x:c r="H1313" s="28" t="n">
        <x:v>42624</x:v>
      </x:c>
      <x:c r="I1313" t="str">
        <x:v>11:18:28</x:v>
      </x:c>
      <x:c r="J1313" t="n">
        <x:v>2016</x:v>
      </x:c>
      <x:c r="K1313" t="n">
        <x:v>18.262111</x:v>
      </x:c>
      <x:c r="L1313" t="n">
        <x:v>-64.74374933</x:v>
      </x:c>
      <x:c r="M1313" t="n">
        <x:v>47.79</x:v>
      </x:c>
      <x:c r="N1313" t="str">
        <x:v>https://nccospublicstor.blob.core.windows.net/biomapper/usviinsularshelf2017/videos/low/GV2016_706.mp4</x:v>
      </x:c>
      <x:c r="O1313" t="n">
        <x:v>0</x:v>
      </x:c>
      <x:c r="P1313" t="n">
        <x:v>0</x:v>
      </x:c>
      <x:c r="Q1313" t="n">
        <x:v>1</x:v>
      </x:c>
      <x:c r="R1313" t="n">
        <x:v>0</x:v>
      </x:c>
      <x:c r="S1313" t="n">
        <x:v>0</x:v>
      </x:c>
      <x:c r="T1313" t="n">
        <x:v>0</x:v>
      </x:c>
      <x:c r="U1313" t="n">
        <x:v>1</x:v>
      </x:c>
      <x:c r="V1313" t="n">
        <x:v>1</x:v>
      </x:c>
      <x:c r="W1313" t="n">
        <x:v>0</x:v>
      </x:c>
      <x:c r="X1313" t="n">
        <x:v>0</x:v>
      </x:c>
      <x:c r="Y1313" t="n">
        <x:v>0</x:v>
      </x:c>
      <x:c r="Z1313" t="n">
        <x:v>1</x:v>
      </x:c>
      <x:c r="AA1313" t="n">
        <x:v>2</x:v>
      </x:c>
      <x:c r="AB1313" t="str">
        <x:v>Pass</x:v>
      </x:c>
      <x:c r="AC1313" t="str"/>
      <x:c r="AD1313" t="str"/>
    </x:row>
    <x:row r="1314">
      <x:c r="A1314" t="str">
        <x:v>REC1313</x:v>
      </x:c>
      <x:c r="B1314" t="n">
        <x:v>1312</x:v>
      </x:c>
      <x:c r="C1314" t="str">
        <x:v>St. John, USVI</x:v>
      </x:c>
      <x:c r="D1314" t="str">
        <x:v>GV</x:v>
      </x:c>
      <x:c r="E1314" t="str">
        <x:v>Ground Validation</x:v>
      </x:c>
      <x:c r="F1314" t="str">
        <x:v>HD Seaviewer Drop Camera</x:v>
      </x:c>
      <x:c r="G1314" t="str">
        <x:v>GV2016_707</x:v>
      </x:c>
      <x:c r="H1314" s="28" t="n">
        <x:v>42629</x:v>
      </x:c>
      <x:c r="I1314" t="str">
        <x:v>12:18:36</x:v>
      </x:c>
      <x:c r="J1314" t="n">
        <x:v>2016</x:v>
      </x:c>
      <x:c r="K1314" t="n">
        <x:v>18.20641872</x:v>
      </x:c>
      <x:c r="L1314" t="n">
        <x:v>-64.79646356</x:v>
      </x:c>
      <x:c r="M1314" t="n">
        <x:v>51.409</x:v>
      </x:c>
      <x:c r="N1314" t="str">
        <x:v>https://nccospublicstor.blob.core.windows.net/biomapper/usviinsularshelf2017/videos/low/GV2016_707.mp4</x:v>
      </x:c>
      <x:c r="O1314" t="n">
        <x:v>0</x:v>
      </x:c>
      <x:c r="P1314" t="n">
        <x:v>0</x:v>
      </x:c>
      <x:c r="Q1314" t="n">
        <x:v>1</x:v>
      </x:c>
      <x:c r="R1314" t="n">
        <x:v>0</x:v>
      </x:c>
      <x:c r="S1314" t="n">
        <x:v>0</x:v>
      </x:c>
      <x:c r="T1314" t="n">
        <x:v>0</x:v>
      </x:c>
      <x:c r="U1314" t="n">
        <x:v>1</x:v>
      </x:c>
      <x:c r="V1314" t="n">
        <x:v>1</x:v>
      </x:c>
      <x:c r="W1314" t="n">
        <x:v>0</x:v>
      </x:c>
      <x:c r="X1314" t="n">
        <x:v>0</x:v>
      </x:c>
      <x:c r="Y1314" t="n">
        <x:v>0</x:v>
      </x:c>
      <x:c r="Z1314" t="n">
        <x:v>1</x:v>
      </x:c>
      <x:c r="AA1314" t="n">
        <x:v>2</x:v>
      </x:c>
      <x:c r="AB1314" t="str">
        <x:v>Pass</x:v>
      </x:c>
      <x:c r="AC1314" t="str"/>
      <x:c r="AD1314" t="str"/>
    </x:row>
    <x:row r="1315">
      <x:c r="A1315" t="str">
        <x:v>REC1314</x:v>
      </x:c>
      <x:c r="B1315" t="n">
        <x:v>1313</x:v>
      </x:c>
      <x:c r="C1315" t="str">
        <x:v>Puerto Rico</x:v>
      </x:c>
      <x:c r="D1315" t="str">
        <x:v>GV</x:v>
      </x:c>
      <x:c r="E1315" t="str">
        <x:v>Ground Validation</x:v>
      </x:c>
      <x:c r="F1315" t="str">
        <x:v>HD Seaviewer Drop Camera</x:v>
      </x:c>
      <x:c r="G1315" t="str">
        <x:v>GV2016_708</x:v>
      </x:c>
      <x:c r="H1315" s="28" t="n">
        <x:v>42605</x:v>
      </x:c>
      <x:c r="I1315" t="str">
        <x:v>14:49:53</x:v>
      </x:c>
      <x:c r="J1315" t="n">
        <x:v>2016</x:v>
      </x:c>
      <x:c r="K1315" t="n">
        <x:v>18.22936456</x:v>
      </x:c>
      <x:c r="L1315" t="n">
        <x:v>-65.18700914</x:v>
      </x:c>
      <x:c r="M1315" t="n">
        <x:v>32.364</x:v>
      </x:c>
      <x:c r="N1315" t="str">
        <x:v>https://nccospublicstor.blob.core.windows.net/biomapper/usviinsularshelf2017/videos/low/GV2016_708.mp4</x:v>
      </x:c>
      <x:c r="O1315" t="n">
        <x:v>1</x:v>
      </x:c>
      <x:c r="P1315" t="n">
        <x:v>0</x:v>
      </x:c>
      <x:c r="Q1315" t="n">
        <x:v>0</x:v>
      </x:c>
      <x:c r="R1315" t="n">
        <x:v>1</x:v>
      </x:c>
      <x:c r="S1315" t="n">
        <x:v>1</x:v>
      </x:c>
      <x:c r="T1315" t="n">
        <x:v>1</x:v>
      </x:c>
      <x:c r="U1315" t="n">
        <x:v>1</x:v>
      </x:c>
      <x:c r="V1315" t="n">
        <x:v>1</x:v>
      </x:c>
      <x:c r="W1315" t="n">
        <x:v>0</x:v>
      </x:c>
      <x:c r="X1315" t="n">
        <x:v>0</x:v>
      </x:c>
      <x:c r="Y1315" t="n">
        <x:v>0</x:v>
      </x:c>
      <x:c r="Z1315" t="n">
        <x:v>2</x:v>
      </x:c>
      <x:c r="AA1315" t="n">
        <x:v>4</x:v>
      </x:c>
      <x:c r="AB1315" t="str">
        <x:v>Pass</x:v>
      </x:c>
      <x:c r="AC1315" t="str"/>
      <x:c r="AD1315" t="str"/>
    </x:row>
    <x:row r="1316">
      <x:c r="A1316" t="str">
        <x:v>REC1315</x:v>
      </x:c>
      <x:c r="B1316" t="n">
        <x:v>1314</x:v>
      </x:c>
      <x:c r="C1316" t="str">
        <x:v>St. Thomas, USVI</x:v>
      </x:c>
      <x:c r="D1316" t="str">
        <x:v>GV</x:v>
      </x:c>
      <x:c r="E1316" t="str">
        <x:v>Ground Validation</x:v>
      </x:c>
      <x:c r="F1316" t="str">
        <x:v>HD Seaviewer Drop Camera</x:v>
      </x:c>
      <x:c r="G1316" t="str">
        <x:v>GV2016_709</x:v>
      </x:c>
      <x:c r="H1316" s="28" t="n">
        <x:v>42605</x:v>
      </x:c>
      <x:c r="I1316" t="str">
        <x:v>11:17:12</x:v>
      </x:c>
      <x:c r="J1316" t="n">
        <x:v>2016</x:v>
      </x:c>
      <x:c r="K1316" t="n">
        <x:v>18.18346416</x:v>
      </x:c>
      <x:c r="L1316" t="n">
        <x:v>-65.13051597</x:v>
      </x:c>
      <x:c r="M1316" t="n">
        <x:v>41.054</x:v>
      </x:c>
      <x:c r="N1316" t="str">
        <x:v>https://nccospublicstor.blob.core.windows.net/biomapper/usviinsularshelf2017/videos/low/GV2016_709.mp4</x:v>
      </x:c>
      <x:c r="O1316" t="n">
        <x:v>1</x:v>
      </x:c>
      <x:c r="P1316" t="n">
        <x:v>0</x:v>
      </x:c>
      <x:c r="Q1316" t="n">
        <x:v>0</x:v>
      </x:c>
      <x:c r="R1316" t="n">
        <x:v>1</x:v>
      </x:c>
      <x:c r="S1316" t="n">
        <x:v>1</x:v>
      </x:c>
      <x:c r="T1316" t="n">
        <x:v>0</x:v>
      </x:c>
      <x:c r="U1316" t="n">
        <x:v>1</x:v>
      </x:c>
      <x:c r="V1316" t="n">
        <x:v>1</x:v>
      </x:c>
      <x:c r="W1316" t="n">
        <x:v>0</x:v>
      </x:c>
      <x:c r="X1316" t="n">
        <x:v>0</x:v>
      </x:c>
      <x:c r="Y1316" t="n">
        <x:v>0</x:v>
      </x:c>
      <x:c r="Z1316" t="n">
        <x:v>2</x:v>
      </x:c>
      <x:c r="AA1316" t="n">
        <x:v>3</x:v>
      </x:c>
      <x:c r="AB1316" t="str">
        <x:v>Pass</x:v>
      </x:c>
      <x:c r="AC1316" t="str"/>
      <x:c r="AD1316" t="str">
        <x:v>high coral cover</x:v>
      </x:c>
    </x:row>
    <x:row r="1317">
      <x:c r="A1317" t="str">
        <x:v>REC1316</x:v>
      </x:c>
      <x:c r="B1317" t="n">
        <x:v>1315</x:v>
      </x:c>
      <x:c r="C1317" t="str">
        <x:v>St. John, USVI</x:v>
      </x:c>
      <x:c r="D1317" t="str">
        <x:v>GV</x:v>
      </x:c>
      <x:c r="E1317" t="str">
        <x:v>Ground Validation</x:v>
      </x:c>
      <x:c r="F1317" t="str">
        <x:v>HD Seaviewer Drop Camera</x:v>
      </x:c>
      <x:c r="G1317" t="str">
        <x:v>GV2016_710</x:v>
      </x:c>
      <x:c r="H1317" s="28" t="n">
        <x:v>42625</x:v>
      </x:c>
      <x:c r="I1317" t="str">
        <x:v>14:02:02</x:v>
      </x:c>
      <x:c r="J1317" t="n">
        <x:v>2016</x:v>
      </x:c>
      <x:c r="K1317" t="n">
        <x:v>18.26139377</x:v>
      </x:c>
      <x:c r="L1317" t="n">
        <x:v>-64.68232326</x:v>
      </x:c>
      <x:c r="M1317" t="n">
        <x:v>46.115</x:v>
      </x:c>
      <x:c r="N1317" t="str">
        <x:v>https://nccospublicstor.blob.core.windows.net/biomapper/usviinsularshelf2017/videos/low/GV2016_710.mp4</x:v>
      </x:c>
      <x:c r="O1317" t="n">
        <x:v>0</x:v>
      </x:c>
      <x:c r="P1317" t="n">
        <x:v>1</x:v>
      </x:c>
      <x:c r="Q1317" t="n">
        <x:v>1</x:v>
      </x:c>
      <x:c r="R1317" t="n">
        <x:v>0</x:v>
      </x:c>
      <x:c r="S1317" t="n">
        <x:v>1</x:v>
      </x:c>
      <x:c r="T1317" t="n">
        <x:v>0</x:v>
      </x:c>
      <x:c r="U1317" t="n">
        <x:v>1</x:v>
      </x:c>
      <x:c r="V1317" t="n">
        <x:v>1</x:v>
      </x:c>
      <x:c r="W1317" t="n">
        <x:v>0</x:v>
      </x:c>
      <x:c r="X1317" t="n">
        <x:v>0</x:v>
      </x:c>
      <x:c r="Y1317" t="n">
        <x:v>0</x:v>
      </x:c>
      <x:c r="Z1317" t="n">
        <x:v>2</x:v>
      </x:c>
      <x:c r="AA1317" t="n">
        <x:v>3</x:v>
      </x:c>
      <x:c r="AB1317" t="str">
        <x:v>Pass</x:v>
      </x:c>
      <x:c r="AC1317" t="str"/>
      <x:c r="AD1317" t="str"/>
    </x:row>
    <x:row r="1318">
      <x:c r="A1318" t="str">
        <x:v>REC1317</x:v>
      </x:c>
      <x:c r="B1318" t="n">
        <x:v>1316</x:v>
      </x:c>
      <x:c r="C1318" t="str">
        <x:v>St. Thomas, USVI</x:v>
      </x:c>
      <x:c r="D1318" t="str">
        <x:v>GV</x:v>
      </x:c>
      <x:c r="E1318" t="str">
        <x:v>Ground Validation</x:v>
      </x:c>
      <x:c r="F1318" t="str">
        <x:v>HD Seaviewer Drop Camera</x:v>
      </x:c>
      <x:c r="G1318" t="str">
        <x:v>GV2016_711_1</x:v>
      </x:c>
      <x:c r="H1318" s="28" t="n">
        <x:v>42608</x:v>
      </x:c>
      <x:c r="I1318" t="str">
        <x:v>14:51:51</x:v>
      </x:c>
      <x:c r="J1318" t="n">
        <x:v>2016</x:v>
      </x:c>
      <x:c r="K1318" t="n">
        <x:v>18.21218214</x:v>
      </x:c>
      <x:c r="L1318" t="n">
        <x:v>-65.11655442</x:v>
      </x:c>
      <x:c r="M1318" t="n">
        <x:v>33.88</x:v>
      </x:c>
      <x:c r="N1318" t="str">
        <x:v>https://nccospublicstor.blob.core.windows.net/biomapper/usviinsularshelf2017/videos/low/GV2016_711_1.mp4</x:v>
      </x:c>
      <x:c r="O1318" t="n">
        <x:v>0</x:v>
      </x:c>
      <x:c r="P1318" t="n">
        <x:v>1</x:v>
      </x:c>
      <x:c r="Q1318" t="n">
        <x:v>1</x:v>
      </x:c>
      <x:c r="R1318" t="n">
        <x:v>0</x:v>
      </x:c>
      <x:c r="S1318" t="n">
        <x:v>1</x:v>
      </x:c>
      <x:c r="T1318" t="n">
        <x:v>0</x:v>
      </x:c>
      <x:c r="U1318" t="n">
        <x:v>1</x:v>
      </x:c>
      <x:c r="V1318" t="n">
        <x:v>1</x:v>
      </x:c>
      <x:c r="W1318" t="n">
        <x:v>0</x:v>
      </x:c>
      <x:c r="X1318" t="n">
        <x:v>0</x:v>
      </x:c>
      <x:c r="Y1318" t="n">
        <x:v>0</x:v>
      </x:c>
      <x:c r="Z1318" t="n">
        <x:v>2</x:v>
      </x:c>
      <x:c r="AA1318" t="n">
        <x:v>3</x:v>
      </x:c>
      <x:c r="AB1318" t="str">
        <x:v>Pass</x:v>
      </x:c>
      <x:c r="AC1318" t="str"/>
      <x:c r="AD1318" t="str"/>
    </x:row>
    <x:row r="1319">
      <x:c r="A1319" t="str">
        <x:v>REC1318</x:v>
      </x:c>
      <x:c r="B1319" t="n">
        <x:v>1317</x:v>
      </x:c>
      <x:c r="C1319" t="str">
        <x:v>St. John, USVI</x:v>
      </x:c>
      <x:c r="D1319" t="str">
        <x:v>GV</x:v>
      </x:c>
      <x:c r="E1319" t="str">
        <x:v>Ground Validation</x:v>
      </x:c>
      <x:c r="F1319" t="str">
        <x:v>HD Seaviewer Drop Camera</x:v>
      </x:c>
      <x:c r="G1319" t="str">
        <x:v>GV2016_711_2</x:v>
      </x:c>
      <x:c r="H1319" s="28" t="n">
        <x:v>42630</x:v>
      </x:c>
      <x:c r="I1319" t="str">
        <x:v>08:09:24</x:v>
      </x:c>
      <x:c r="J1319" t="n">
        <x:v>2016</x:v>
      </x:c>
      <x:c r="K1319" t="n">
        <x:v>18.2514977</x:v>
      </x:c>
      <x:c r="L1319" t="n">
        <x:v>-64.71716618</x:v>
      </x:c>
      <x:c r="M1319" t="n">
        <x:v>47.102</x:v>
      </x:c>
      <x:c r="N1319" t="str">
        <x:v>https://nccospublicstor.blob.core.windows.net/biomapper/usviinsularshelf2017/videos/low/GV2016_711_2.mp4</x:v>
      </x:c>
      <x:c r="O1319" t="n">
        <x:v>0</x:v>
      </x:c>
      <x:c r="P1319" t="n">
        <x:v>1</x:v>
      </x:c>
      <x:c r="Q1319" t="n">
        <x:v>1</x:v>
      </x:c>
      <x:c r="R1319" t="n">
        <x:v>0</x:v>
      </x:c>
      <x:c r="S1319" t="n">
        <x:v>1</x:v>
      </x:c>
      <x:c r="T1319" t="n">
        <x:v>0</x:v>
      </x:c>
      <x:c r="U1319" t="n">
        <x:v>1</x:v>
      </x:c>
      <x:c r="V1319" t="n">
        <x:v>1</x:v>
      </x:c>
      <x:c r="W1319" t="n">
        <x:v>0</x:v>
      </x:c>
      <x:c r="X1319" t="n">
        <x:v>0</x:v>
      </x:c>
      <x:c r="Y1319" t="n">
        <x:v>0</x:v>
      </x:c>
      <x:c r="Z1319" t="n">
        <x:v>2</x:v>
      </x:c>
      <x:c r="AA1319" t="n">
        <x:v>3</x:v>
      </x:c>
      <x:c r="AB1319" t="str">
        <x:v>Pass</x:v>
      </x:c>
      <x:c r="AC1319" t="str"/>
      <x:c r="AD1319" t="str"/>
    </x:row>
    <x:row r="1320">
      <x:c r="A1320" t="str">
        <x:v>REC1319</x:v>
      </x:c>
      <x:c r="B1320" t="n">
        <x:v>1318</x:v>
      </x:c>
      <x:c r="C1320" t="str">
        <x:v>St. John, USVI</x:v>
      </x:c>
      <x:c r="D1320" t="str">
        <x:v>GV</x:v>
      </x:c>
      <x:c r="E1320" t="str">
        <x:v>Ground Validation</x:v>
      </x:c>
      <x:c r="F1320" t="str">
        <x:v>HD Seaviewer Drop Camera</x:v>
      </x:c>
      <x:c r="G1320" t="str">
        <x:v>GV2016_712</x:v>
      </x:c>
      <x:c r="H1320" s="28" t="n">
        <x:v>42626</x:v>
      </x:c>
      <x:c r="I1320" t="str">
        <x:v>10:36:07</x:v>
      </x:c>
      <x:c r="J1320" t="n">
        <x:v>2016</x:v>
      </x:c>
      <x:c r="K1320" t="n">
        <x:v>18.23905685</x:v>
      </x:c>
      <x:c r="L1320" t="n">
        <x:v>-64.78701952</x:v>
      </x:c>
      <x:c r="M1320" t="n">
        <x:v>48.757</x:v>
      </x:c>
      <x:c r="N1320" t="str">
        <x:v>https://nccospublicstor.blob.core.windows.net/biomapper/usviinsularshelf2017/videos/low/GV2016_712.mp4</x:v>
      </x:c>
      <x:c r="O1320" t="n">
        <x:v>0</x:v>
      </x:c>
      <x:c r="P1320" t="n">
        <x:v>0</x:v>
      </x:c>
      <x:c r="Q1320" t="n">
        <x:v>1</x:v>
      </x:c>
      <x:c r="R1320" t="n">
        <x:v>1</x:v>
      </x:c>
      <x:c r="S1320" t="n">
        <x:v>0</x:v>
      </x:c>
      <x:c r="T1320" t="n">
        <x:v>0</x:v>
      </x:c>
      <x:c r="U1320" t="n">
        <x:v>1</x:v>
      </x:c>
      <x:c r="V1320" t="n">
        <x:v>1</x:v>
      </x:c>
      <x:c r="W1320" t="n">
        <x:v>0</x:v>
      </x:c>
      <x:c r="X1320" t="n">
        <x:v>0</x:v>
      </x:c>
      <x:c r="Y1320" t="n">
        <x:v>0</x:v>
      </x:c>
      <x:c r="Z1320" t="n">
        <x:v>2</x:v>
      </x:c>
      <x:c r="AA1320" t="n">
        <x:v>2</x:v>
      </x:c>
      <x:c r="AB1320" t="str">
        <x:v>Pass</x:v>
      </x:c>
      <x:c r="AC1320" t="str"/>
      <x:c r="AD1320" t="str"/>
    </x:row>
    <x:row r="1321">
      <x:c r="A1321" t="str">
        <x:v>REC1320</x:v>
      </x:c>
      <x:c r="B1321" t="n">
        <x:v>1319</x:v>
      </x:c>
      <x:c r="C1321" t="str">
        <x:v>St. Thomas, USVI</x:v>
      </x:c>
      <x:c r="D1321" t="str">
        <x:v>GV</x:v>
      </x:c>
      <x:c r="E1321" t="str">
        <x:v>Ground Validation</x:v>
      </x:c>
      <x:c r="F1321" t="str">
        <x:v>HD Seaviewer Drop Camera</x:v>
      </x:c>
      <x:c r="G1321" t="str">
        <x:v>GV2016_716</x:v>
      </x:c>
      <x:c r="H1321" s="28" t="n">
        <x:v>42610</x:v>
      </x:c>
      <x:c r="I1321" t="str">
        <x:v>10:52:46</x:v>
      </x:c>
      <x:c r="J1321" t="n">
        <x:v>2016</x:v>
      </x:c>
      <x:c r="K1321" t="n">
        <x:v>18.21243339</x:v>
      </x:c>
      <x:c r="L1321" t="n">
        <x:v>-64.9102903</x:v>
      </x:c>
      <x:c r="M1321" t="n">
        <x:v>45.123</x:v>
      </x:c>
      <x:c r="N1321" t="str">
        <x:v>https://nccospublicstor.blob.core.windows.net/biomapper/usviinsularshelf2017/videos/low/GV2016_716.mp4</x:v>
      </x:c>
      <x:c r="O1321" t="n">
        <x:v>1</x:v>
      </x:c>
      <x:c r="P1321" t="n">
        <x:v>0</x:v>
      </x:c>
      <x:c r="Q1321" t="n">
        <x:v>0</x:v>
      </x:c>
      <x:c r="R1321" t="n">
        <x:v>0</x:v>
      </x:c>
      <x:c r="S1321" t="n">
        <x:v>1</x:v>
      </x:c>
      <x:c r="T1321" t="n">
        <x:v>0</x:v>
      </x:c>
      <x:c r="U1321" t="n">
        <x:v>1</x:v>
      </x:c>
      <x:c r="V1321" t="n">
        <x:v>1</x:v>
      </x:c>
      <x:c r="W1321" t="n">
        <x:v>0</x:v>
      </x:c>
      <x:c r="X1321" t="n">
        <x:v>0</x:v>
      </x:c>
      <x:c r="Y1321" t="n">
        <x:v>0</x:v>
      </x:c>
      <x:c r="Z1321" t="n">
        <x:v>1</x:v>
      </x:c>
      <x:c r="AA1321" t="n">
        <x:v>3</x:v>
      </x:c>
      <x:c r="AB1321" t="str">
        <x:v>Pass</x:v>
      </x:c>
      <x:c r="AC1321" t="str"/>
      <x:c r="AD1321" t="str"/>
    </x:row>
    <x:row r="1322">
      <x:c r="A1322" t="str">
        <x:v>REC1321</x:v>
      </x:c>
      <x:c r="B1322" t="n">
        <x:v>1320</x:v>
      </x:c>
      <x:c r="C1322" t="str">
        <x:v>Puerto Rico</x:v>
      </x:c>
      <x:c r="D1322" t="str">
        <x:v>GV</x:v>
      </x:c>
      <x:c r="E1322" t="str">
        <x:v>Ground Validation</x:v>
      </x:c>
      <x:c r="F1322" t="str">
        <x:v>HD Seaviewer Drop Camera</x:v>
      </x:c>
      <x:c r="G1322" t="str">
        <x:v>GV2016_717</x:v>
      </x:c>
      <x:c r="H1322" s="28" t="n">
        <x:v>42605</x:v>
      </x:c>
      <x:c r="I1322" t="str">
        <x:v>09:27:22</x:v>
      </x:c>
      <x:c r="J1322" t="n">
        <x:v>2016</x:v>
      </x:c>
      <x:c r="K1322" t="n">
        <x:v>18.18878623</x:v>
      </x:c>
      <x:c r="L1322" t="n">
        <x:v>-65.18733046</x:v>
      </x:c>
      <x:c r="M1322" t="n">
        <x:v>36.354</x:v>
      </x:c>
      <x:c r="N1322" t="str">
        <x:v>https://nccospublicstor.blob.core.windows.net/biomapper/usviinsularshelf2017/videos/low/GV2016_717.mp4</x:v>
      </x:c>
      <x:c r="O1322" t="n">
        <x:v>1</x:v>
      </x:c>
      <x:c r="P1322" t="n">
        <x:v>0</x:v>
      </x:c>
      <x:c r="Q1322" t="n">
        <x:v>0</x:v>
      </x:c>
      <x:c r="R1322" t="n">
        <x:v>0</x:v>
      </x:c>
      <x:c r="S1322" t="n">
        <x:v>1</x:v>
      </x:c>
      <x:c r="T1322" t="n">
        <x:v>1</x:v>
      </x:c>
      <x:c r="U1322" t="n">
        <x:v>1</x:v>
      </x:c>
      <x:c r="V1322" t="n">
        <x:v>1</x:v>
      </x:c>
      <x:c r="W1322" t="n">
        <x:v>0</x:v>
      </x:c>
      <x:c r="X1322" t="n">
        <x:v>0</x:v>
      </x:c>
      <x:c r="Y1322" t="n">
        <x:v>0</x:v>
      </x:c>
      <x:c r="Z1322" t="n">
        <x:v>1</x:v>
      </x:c>
      <x:c r="AA1322" t="n">
        <x:v>4</x:v>
      </x:c>
      <x:c r="AB1322" t="str">
        <x:v>Pass</x:v>
      </x:c>
      <x:c r="AC1322" t="str"/>
      <x:c r="AD1322" t="str">
        <x:v>high coral cover</x:v>
      </x:c>
    </x:row>
    <x:row r="1323">
      <x:c r="A1323" t="str">
        <x:v>REC1322</x:v>
      </x:c>
      <x:c r="B1323" t="n">
        <x:v>1321</x:v>
      </x:c>
      <x:c r="C1323" t="str">
        <x:v>St. Thomas, USVI</x:v>
      </x:c>
      <x:c r="D1323" t="str">
        <x:v>GV</x:v>
      </x:c>
      <x:c r="E1323" t="str">
        <x:v>Ground Validation</x:v>
      </x:c>
      <x:c r="F1323" t="str">
        <x:v>HD Seaviewer Drop Camera</x:v>
      </x:c>
      <x:c r="G1323" t="str">
        <x:v>GV2016_718</x:v>
      </x:c>
      <x:c r="H1323" s="28" t="n">
        <x:v>42611</x:v>
      </x:c>
      <x:c r="I1323" t="str">
        <x:v>12:59:34</x:v>
      </x:c>
      <x:c r="J1323" t="n">
        <x:v>2016</x:v>
      </x:c>
      <x:c r="K1323" t="n">
        <x:v>18.23032853</x:v>
      </x:c>
      <x:c r="L1323" t="n">
        <x:v>-64.936342</x:v>
      </x:c>
      <x:c r="M1323" t="n">
        <x:v>42.827</x:v>
      </x:c>
      <x:c r="N1323" t="str">
        <x:v>https://nccospublicstor.blob.core.windows.net/biomapper/usviinsularshelf2017/videos/low/GV2016_718.mp4</x:v>
      </x:c>
      <x:c r="O1323" t="n">
        <x:v>0</x:v>
      </x:c>
      <x:c r="P1323" t="n">
        <x:v>0</x:v>
      </x:c>
      <x:c r="Q1323" t="n">
        <x:v>1</x:v>
      </x:c>
      <x:c r="R1323" t="n">
        <x:v>1</x:v>
      </x:c>
      <x:c r="S1323" t="n">
        <x:v>0</x:v>
      </x:c>
      <x:c r="T1323" t="n">
        <x:v>0</x:v>
      </x:c>
      <x:c r="U1323" t="n">
        <x:v>1</x:v>
      </x:c>
      <x:c r="V1323" t="n">
        <x:v>1</x:v>
      </x:c>
      <x:c r="W1323" t="n">
        <x:v>0</x:v>
      </x:c>
      <x:c r="X1323" t="n">
        <x:v>0</x:v>
      </x:c>
      <x:c r="Y1323" t="n">
        <x:v>0</x:v>
      </x:c>
      <x:c r="Z1323" t="n">
        <x:v>2</x:v>
      </x:c>
      <x:c r="AA1323" t="n">
        <x:v>2</x:v>
      </x:c>
      <x:c r="AB1323" t="str">
        <x:v>Pass</x:v>
      </x:c>
      <x:c r="AC1323" t="str"/>
      <x:c r="AD1323" t="str"/>
    </x:row>
    <x:row r="1324">
      <x:c r="A1324" t="str">
        <x:v>REC1323</x:v>
      </x:c>
      <x:c r="B1324" t="n">
        <x:v>1322</x:v>
      </x:c>
      <x:c r="C1324" t="str">
        <x:v>St. John, USVI</x:v>
      </x:c>
      <x:c r="D1324" t="str">
        <x:v>GV</x:v>
      </x:c>
      <x:c r="E1324" t="str">
        <x:v>Ground Validation</x:v>
      </x:c>
      <x:c r="F1324" t="str">
        <x:v>HD Seaviewer Drop Camera</x:v>
      </x:c>
      <x:c r="G1324" t="str">
        <x:v>GV2016_719</x:v>
      </x:c>
      <x:c r="H1324" s="28" t="n">
        <x:v>42629</x:v>
      </x:c>
      <x:c r="I1324" t="str">
        <x:v>13:32:14</x:v>
      </x:c>
      <x:c r="J1324" t="n">
        <x:v>2016</x:v>
      </x:c>
      <x:c r="K1324" t="n">
        <x:v>18.20440764</x:v>
      </x:c>
      <x:c r="L1324" t="n">
        <x:v>-64.77623422</x:v>
      </x:c>
      <x:c r="M1324" t="n">
        <x:v>55.56</x:v>
      </x:c>
      <x:c r="N1324" t="str">
        <x:v>https://nccospublicstor.blob.core.windows.net/biomapper/usviinsularshelf2017/videos/low/GV2016_719.mp4</x:v>
      </x:c>
      <x:c r="O1324" t="n">
        <x:v>0</x:v>
      </x:c>
      <x:c r="P1324" t="n">
        <x:v>1</x:v>
      </x:c>
      <x:c r="Q1324" t="n">
        <x:v>1</x:v>
      </x:c>
      <x:c r="R1324" t="n">
        <x:v>0</x:v>
      </x:c>
      <x:c r="S1324" t="n">
        <x:v>1</x:v>
      </x:c>
      <x:c r="T1324" t="n">
        <x:v>0</x:v>
      </x:c>
      <x:c r="U1324" t="n">
        <x:v>1</x:v>
      </x:c>
      <x:c r="V1324" t="n">
        <x:v>1</x:v>
      </x:c>
      <x:c r="W1324" t="n">
        <x:v>0</x:v>
      </x:c>
      <x:c r="X1324" t="n">
        <x:v>0</x:v>
      </x:c>
      <x:c r="Y1324" t="n">
        <x:v>0</x:v>
      </x:c>
      <x:c r="Z1324" t="n">
        <x:v>2</x:v>
      </x:c>
      <x:c r="AA1324" t="n">
        <x:v>3</x:v>
      </x:c>
      <x:c r="AB1324" t="str">
        <x:v>Pass</x:v>
      </x:c>
      <x:c r="AC1324" t="str"/>
      <x:c r="AD1324" t="str"/>
    </x:row>
    <x:row r="1325">
      <x:c r="A1325" t="str">
        <x:v>REC1324</x:v>
      </x:c>
      <x:c r="B1325" t="n">
        <x:v>1323</x:v>
      </x:c>
      <x:c r="C1325" t="str">
        <x:v>St. Thomas, USVI</x:v>
      </x:c>
      <x:c r="D1325" t="str">
        <x:v>GV</x:v>
      </x:c>
      <x:c r="E1325" t="str">
        <x:v>Ground Validation</x:v>
      </x:c>
      <x:c r="F1325" t="str">
        <x:v>HD Seaviewer Drop Camera</x:v>
      </x:c>
      <x:c r="G1325" t="str">
        <x:v>GV2016_720</x:v>
      </x:c>
      <x:c r="H1325" s="28" t="n">
        <x:v>42610</x:v>
      </x:c>
      <x:c r="I1325" t="str">
        <x:v>12:42:23</x:v>
      </x:c>
      <x:c r="J1325" t="n">
        <x:v>2016</x:v>
      </x:c>
      <x:c r="K1325" t="n">
        <x:v>18.2100491</x:v>
      </x:c>
      <x:c r="L1325" t="n">
        <x:v>-64.89423403</x:v>
      </x:c>
      <x:c r="M1325" t="n">
        <x:v>46.28</x:v>
      </x:c>
      <x:c r="N1325" t="str">
        <x:v>https://nccospublicstor.blob.core.windows.net/biomapper/usviinsularshelf2017/videos/low/GV2016_720.mp4</x:v>
      </x:c>
      <x:c r="O1325" t="n">
        <x:v>1</x:v>
      </x:c>
      <x:c r="P1325" t="n">
        <x:v>0</x:v>
      </x:c>
      <x:c r="Q1325" t="n">
        <x:v>0</x:v>
      </x:c>
      <x:c r="R1325" t="n">
        <x:v>1</x:v>
      </x:c>
      <x:c r="S1325" t="n">
        <x:v>1</x:v>
      </x:c>
      <x:c r="T1325" t="n">
        <x:v>0</x:v>
      </x:c>
      <x:c r="U1325" t="n">
        <x:v>1</x:v>
      </x:c>
      <x:c r="V1325" t="n">
        <x:v>1</x:v>
      </x:c>
      <x:c r="W1325" t="n">
        <x:v>0</x:v>
      </x:c>
      <x:c r="X1325" t="n">
        <x:v>0</x:v>
      </x:c>
      <x:c r="Y1325" t="n">
        <x:v>0</x:v>
      </x:c>
      <x:c r="Z1325" t="n">
        <x:v>2</x:v>
      </x:c>
      <x:c r="AA1325" t="n">
        <x:v>3</x:v>
      </x:c>
      <x:c r="AB1325" t="str">
        <x:v>Pass</x:v>
      </x:c>
      <x:c r="AC1325" t="str"/>
      <x:c r="AD1325" t="str"/>
    </x:row>
    <x:row r="1326">
      <x:c r="A1326" t="str">
        <x:v>REC1325</x:v>
      </x:c>
      <x:c r="B1326" t="n">
        <x:v>1324</x:v>
      </x:c>
      <x:c r="C1326" t="str">
        <x:v>St. John, USVI</x:v>
      </x:c>
      <x:c r="D1326" t="str">
        <x:v>GV</x:v>
      </x:c>
      <x:c r="E1326" t="str">
        <x:v>Ground Validation</x:v>
      </x:c>
      <x:c r="F1326" t="str">
        <x:v>HD Seaviewer Drop Camera</x:v>
      </x:c>
      <x:c r="G1326" t="str">
        <x:v>GV2016_721</x:v>
      </x:c>
      <x:c r="H1326" s="28" t="n">
        <x:v>42614</x:v>
      </x:c>
      <x:c r="I1326" t="str">
        <x:v>12:29:00</x:v>
      </x:c>
      <x:c r="J1326" t="n">
        <x:v>2016</x:v>
      </x:c>
      <x:c r="K1326" t="n">
        <x:v>18.30849635</x:v>
      </x:c>
      <x:c r="L1326" t="n">
        <x:v>-64.73986489</x:v>
      </x:c>
      <x:c r="M1326" t="n">
        <x:v>23.99</x:v>
      </x:c>
      <x:c r="N1326" t="str">
        <x:v>https://nccospublicstor.blob.core.windows.net/biomapper/usviinsularshelf2017/videos/low/GV2016_721.mp4</x:v>
      </x:c>
      <x:c r="O1326" t="n">
        <x:v>1</x:v>
      </x:c>
      <x:c r="P1326" t="n">
        <x:v>0</x:v>
      </x:c>
      <x:c r="Q1326" t="n">
        <x:v>0</x:v>
      </x:c>
      <x:c r="R1326" t="n">
        <x:v>1</x:v>
      </x:c>
      <x:c r="S1326" t="n">
        <x:v>1</x:v>
      </x:c>
      <x:c r="T1326" t="n">
        <x:v>1</x:v>
      </x:c>
      <x:c r="U1326" t="n">
        <x:v>1</x:v>
      </x:c>
      <x:c r="V1326" t="n">
        <x:v>1</x:v>
      </x:c>
      <x:c r="W1326" t="n">
        <x:v>0</x:v>
      </x:c>
      <x:c r="X1326" t="n">
        <x:v>0</x:v>
      </x:c>
      <x:c r="Y1326" t="n">
        <x:v>0</x:v>
      </x:c>
      <x:c r="Z1326" t="n">
        <x:v>2</x:v>
      </x:c>
      <x:c r="AA1326" t="n">
        <x:v>4</x:v>
      </x:c>
      <x:c r="AB1326" t="str">
        <x:v>Pass</x:v>
      </x:c>
      <x:c r="AC1326" t="str"/>
      <x:c r="AD1326" t="str"/>
    </x:row>
    <x:row r="1327">
      <x:c r="A1327" t="str">
        <x:v>REC1326</x:v>
      </x:c>
      <x:c r="B1327" t="n">
        <x:v>1325</x:v>
      </x:c>
      <x:c r="C1327" t="str">
        <x:v>St. John, USVI</x:v>
      </x:c>
      <x:c r="D1327" t="str">
        <x:v>GV</x:v>
      </x:c>
      <x:c r="E1327" t="str">
        <x:v>Ground Validation</x:v>
      </x:c>
      <x:c r="F1327" t="str">
        <x:v>HD Seaviewer Drop Camera</x:v>
      </x:c>
      <x:c r="G1327" t="str">
        <x:v>GV2016_722</x:v>
      </x:c>
      <x:c r="H1327" s="28" t="n">
        <x:v>42625</x:v>
      </x:c>
      <x:c r="I1327" t="str">
        <x:v>10:07:21</x:v>
      </x:c>
      <x:c r="J1327" t="n">
        <x:v>2016</x:v>
      </x:c>
      <x:c r="K1327" t="n">
        <x:v>18.24326677</x:v>
      </x:c>
      <x:c r="L1327" t="n">
        <x:v>-64.6590628</x:v>
      </x:c>
      <x:c r="M1327" t="n">
        <x:v>49.856</x:v>
      </x:c>
      <x:c r="N1327" t="str">
        <x:v>https://nccospublicstor.blob.core.windows.net/biomapper/usviinsularshelf2017/videos/low/GV2016_722.mp4</x:v>
      </x:c>
      <x:c r="O1327" t="n">
        <x:v>0</x:v>
      </x:c>
      <x:c r="P1327" t="n">
        <x:v>1</x:v>
      </x:c>
      <x:c r="Q1327" t="n">
        <x:v>0</x:v>
      </x:c>
      <x:c r="R1327" t="n">
        <x:v>0</x:v>
      </x:c>
      <x:c r="S1327" t="n">
        <x:v>1</x:v>
      </x:c>
      <x:c r="T1327" t="n">
        <x:v>0</x:v>
      </x:c>
      <x:c r="U1327" t="n">
        <x:v>1</x:v>
      </x:c>
      <x:c r="V1327" t="n">
        <x:v>1</x:v>
      </x:c>
      <x:c r="W1327" t="n">
        <x:v>0</x:v>
      </x:c>
      <x:c r="X1327" t="n">
        <x:v>0</x:v>
      </x:c>
      <x:c r="Y1327" t="n">
        <x:v>0</x:v>
      </x:c>
      <x:c r="Z1327" t="n">
        <x:v>1</x:v>
      </x:c>
      <x:c r="AA1327" t="n">
        <x:v>3</x:v>
      </x:c>
      <x:c r="AB1327" t="str">
        <x:v>Pass</x:v>
      </x:c>
      <x:c r="AC1327" t="str"/>
      <x:c r="AD1327" t="str"/>
    </x:row>
    <x:row r="1328">
      <x:c r="A1328" t="str">
        <x:v>REC1327</x:v>
      </x:c>
      <x:c r="B1328" t="n">
        <x:v>1326</x:v>
      </x:c>
      <x:c r="C1328" t="str">
        <x:v>St. John, USVI</x:v>
      </x:c>
      <x:c r="D1328" t="str">
        <x:v>GV</x:v>
      </x:c>
      <x:c r="E1328" t="str">
        <x:v>Ground Validation</x:v>
      </x:c>
      <x:c r="F1328" t="str">
        <x:v>HD Seaviewer Drop Camera</x:v>
      </x:c>
      <x:c r="G1328" t="str">
        <x:v>GV2016_723</x:v>
      </x:c>
      <x:c r="H1328" s="28" t="n">
        <x:v>42626</x:v>
      </x:c>
      <x:c r="I1328" t="str">
        <x:v>09:52:21</x:v>
      </x:c>
      <x:c r="J1328" t="n">
        <x:v>2016</x:v>
      </x:c>
      <x:c r="K1328" t="n">
        <x:v>18.2510126</x:v>
      </x:c>
      <x:c r="L1328" t="n">
        <x:v>-64.78354072</x:v>
      </x:c>
      <x:c r="M1328" t="n">
        <x:v>45.119</x:v>
      </x:c>
      <x:c r="N1328" t="str">
        <x:v>https://nccospublicstor.blob.core.windows.net/biomapper/usviinsularshelf2017/videos/low/GV2016_723.mp4</x:v>
      </x:c>
      <x:c r="O1328" t="n">
        <x:v>0</x:v>
      </x:c>
      <x:c r="P1328" t="n">
        <x:v>0</x:v>
      </x:c>
      <x:c r="Q1328" t="n">
        <x:v>1</x:v>
      </x:c>
      <x:c r="R1328" t="n">
        <x:v>1</x:v>
      </x:c>
      <x:c r="S1328" t="n">
        <x:v>0</x:v>
      </x:c>
      <x:c r="T1328" t="n">
        <x:v>0</x:v>
      </x:c>
      <x:c r="U1328" t="n">
        <x:v>1</x:v>
      </x:c>
      <x:c r="V1328" t="n">
        <x:v>1</x:v>
      </x:c>
      <x:c r="W1328" t="n">
        <x:v>0</x:v>
      </x:c>
      <x:c r="X1328" t="n">
        <x:v>0</x:v>
      </x:c>
      <x:c r="Y1328" t="n">
        <x:v>0</x:v>
      </x:c>
      <x:c r="Z1328" t="n">
        <x:v>2</x:v>
      </x:c>
      <x:c r="AA1328" t="n">
        <x:v>2</x:v>
      </x:c>
      <x:c r="AB1328" t="str">
        <x:v>Pass</x:v>
      </x:c>
      <x:c r="AC1328" t="str"/>
      <x:c r="AD1328" t="str"/>
    </x:row>
    <x:row r="1329">
      <x:c r="A1329" t="str">
        <x:v>REC1328</x:v>
      </x:c>
      <x:c r="B1329" t="n">
        <x:v>1327</x:v>
      </x:c>
      <x:c r="C1329" t="str">
        <x:v>St. John, USVI</x:v>
      </x:c>
      <x:c r="D1329" t="str">
        <x:v>GV</x:v>
      </x:c>
      <x:c r="E1329" t="str">
        <x:v>Ground Validation</x:v>
      </x:c>
      <x:c r="F1329" t="str">
        <x:v>HD Seaviewer Drop Camera</x:v>
      </x:c>
      <x:c r="G1329" t="str">
        <x:v>GV2016_724</x:v>
      </x:c>
      <x:c r="H1329" s="28" t="n">
        <x:v>42624</x:v>
      </x:c>
      <x:c r="I1329" t="str">
        <x:v>09:23:08</x:v>
      </x:c>
      <x:c r="J1329" t="n">
        <x:v>2016</x:v>
      </x:c>
      <x:c r="K1329" t="n">
        <x:v>18.28537149</x:v>
      </x:c>
      <x:c r="L1329" t="n">
        <x:v>-64.6969954</x:v>
      </x:c>
      <x:c r="M1329" t="n">
        <x:v>33.016</x:v>
      </x:c>
      <x:c r="N1329" t="str">
        <x:v>https://nccospublicstor.blob.core.windows.net/biomapper/usviinsularshelf2017/videos/low/GV2016_724.mp4</x:v>
      </x:c>
      <x:c r="O1329" t="n">
        <x:v>0</x:v>
      </x:c>
      <x:c r="P1329" t="n">
        <x:v>0</x:v>
      </x:c>
      <x:c r="Q1329" t="n">
        <x:v>1</x:v>
      </x:c>
      <x:c r="R1329" t="n">
        <x:v>1</x:v>
      </x:c>
      <x:c r="S1329" t="n">
        <x:v>0</x:v>
      </x:c>
      <x:c r="T1329" t="n">
        <x:v>0</x:v>
      </x:c>
      <x:c r="U1329" t="n">
        <x:v>1</x:v>
      </x:c>
      <x:c r="V1329" t="n">
        <x:v>1</x:v>
      </x:c>
      <x:c r="W1329" t="n">
        <x:v>0</x:v>
      </x:c>
      <x:c r="X1329" t="n">
        <x:v>0</x:v>
      </x:c>
      <x:c r="Y1329" t="n">
        <x:v>0</x:v>
      </x:c>
      <x:c r="Z1329" t="n">
        <x:v>2</x:v>
      </x:c>
      <x:c r="AA1329" t="n">
        <x:v>2</x:v>
      </x:c>
      <x:c r="AB1329" t="str">
        <x:v>Pass</x:v>
      </x:c>
      <x:c r="AC1329" t="str"/>
      <x:c r="AD1329" t="str"/>
    </x:row>
    <x:row r="1330">
      <x:c r="A1330" t="str">
        <x:v>REC1329</x:v>
      </x:c>
      <x:c r="B1330" t="n">
        <x:v>1328</x:v>
      </x:c>
      <x:c r="C1330" t="str">
        <x:v>St. Thomas, USVI</x:v>
      </x:c>
      <x:c r="D1330" t="str">
        <x:v>GV</x:v>
      </x:c>
      <x:c r="E1330" t="str">
        <x:v>Ground Validation</x:v>
      </x:c>
      <x:c r="F1330" t="str">
        <x:v>HD Seaviewer Drop Camera</x:v>
      </x:c>
      <x:c r="G1330" t="str">
        <x:v>GV2016_725</x:v>
      </x:c>
      <x:c r="H1330" s="28" t="n">
        <x:v>42610</x:v>
      </x:c>
      <x:c r="I1330" t="str">
        <x:v>12:18:42</x:v>
      </x:c>
      <x:c r="J1330" t="n">
        <x:v>2016</x:v>
      </x:c>
      <x:c r="K1330" t="n">
        <x:v>18.20055021</x:v>
      </x:c>
      <x:c r="L1330" t="n">
        <x:v>-64.89077035</x:v>
      </x:c>
      <x:c r="M1330" t="n">
        <x:v>49.278</x:v>
      </x:c>
      <x:c r="N1330" t="str">
        <x:v>https://nccospublicstor.blob.core.windows.net/biomapper/usviinsularshelf2017/videos/low/GV2016_725.mp4</x:v>
      </x:c>
      <x:c r="O1330" t="n">
        <x:v>0</x:v>
      </x:c>
      <x:c r="P1330" t="n">
        <x:v>1</x:v>
      </x:c>
      <x:c r="Q1330" t="n">
        <x:v>0</x:v>
      </x:c>
      <x:c r="R1330" t="n">
        <x:v>0</x:v>
      </x:c>
      <x:c r="S1330" t="n">
        <x:v>1</x:v>
      </x:c>
      <x:c r="T1330" t="n">
        <x:v>0</x:v>
      </x:c>
      <x:c r="U1330" t="n">
        <x:v>1</x:v>
      </x:c>
      <x:c r="V1330" t="n">
        <x:v>1</x:v>
      </x:c>
      <x:c r="W1330" t="n">
        <x:v>0</x:v>
      </x:c>
      <x:c r="X1330" t="n">
        <x:v>0</x:v>
      </x:c>
      <x:c r="Y1330" t="n">
        <x:v>0</x:v>
      </x:c>
      <x:c r="Z1330" t="n">
        <x:v>1</x:v>
      </x:c>
      <x:c r="AA1330" t="n">
        <x:v>3</x:v>
      </x:c>
      <x:c r="AB1330" t="str">
        <x:v>Pass</x:v>
      </x:c>
      <x:c r="AC1330" t="str"/>
      <x:c r="AD1330" t="str">
        <x:v>Lionfish</x:v>
      </x:c>
    </x:row>
    <x:row r="1331">
      <x:c r="A1331" t="str">
        <x:v>REC1330</x:v>
      </x:c>
      <x:c r="B1331" t="n">
        <x:v>1329</x:v>
      </x:c>
      <x:c r="C1331" t="str">
        <x:v>St. Thomas, USVI</x:v>
      </x:c>
      <x:c r="D1331" t="str">
        <x:v>GV</x:v>
      </x:c>
      <x:c r="E1331" t="str">
        <x:v>Ground Validation</x:v>
      </x:c>
      <x:c r="F1331" t="str">
        <x:v>HD Seaviewer Drop Camera</x:v>
      </x:c>
      <x:c r="G1331" t="str">
        <x:v>GV2016_726</x:v>
      </x:c>
      <x:c r="H1331" s="28" t="n">
        <x:v>42622</x:v>
      </x:c>
      <x:c r="I1331" t="str">
        <x:v>14:23:25</x:v>
      </x:c>
      <x:c r="J1331" t="n">
        <x:v>2016</x:v>
      </x:c>
      <x:c r="K1331" t="n">
        <x:v>18.25747855</x:v>
      </x:c>
      <x:c r="L1331" t="n">
        <x:v>-64.82910535</x:v>
      </x:c>
      <x:c r="M1331" t="n">
        <x:v>34.887</x:v>
      </x:c>
      <x:c r="N1331" t="str">
        <x:v>https://nccospublicstor.blob.core.windows.net/biomapper/usviinsularshelf2017/videos/low/GV2016_726.mp4</x:v>
      </x:c>
      <x:c r="O1331" t="n">
        <x:v>0</x:v>
      </x:c>
      <x:c r="P1331" t="n">
        <x:v>0</x:v>
      </x:c>
      <x:c r="Q1331" t="n">
        <x:v>1</x:v>
      </x:c>
      <x:c r="R1331" t="n">
        <x:v>0</x:v>
      </x:c>
      <x:c r="S1331" t="n">
        <x:v>0</x:v>
      </x:c>
      <x:c r="T1331" t="n">
        <x:v>0</x:v>
      </x:c>
      <x:c r="U1331" t="n">
        <x:v>1</x:v>
      </x:c>
      <x:c r="V1331" t="n">
        <x:v>0</x:v>
      </x:c>
      <x:c r="W1331" t="n">
        <x:v>0</x:v>
      </x:c>
      <x:c r="X1331" t="n">
        <x:v>0</x:v>
      </x:c>
      <x:c r="Y1331" t="n">
        <x:v>0</x:v>
      </x:c>
      <x:c r="Z1331" t="n">
        <x:v>1</x:v>
      </x:c>
      <x:c r="AA1331" t="n">
        <x:v>1</x:v>
      </x:c>
      <x:c r="AB1331" t="str">
        <x:v>Pass</x:v>
      </x:c>
      <x:c r="AC1331" t="str"/>
      <x:c r="AD1331" t="str"/>
    </x:row>
    <x:row r="1332">
      <x:c r="A1332" t="str">
        <x:v>REC1331</x:v>
      </x:c>
      <x:c r="B1332" t="n">
        <x:v>1330</x:v>
      </x:c>
      <x:c r="C1332" t="str">
        <x:v>St. John, USVI</x:v>
      </x:c>
      <x:c r="D1332" t="str">
        <x:v>GV</x:v>
      </x:c>
      <x:c r="E1332" t="str">
        <x:v>Ground Validation</x:v>
      </x:c>
      <x:c r="F1332" t="str">
        <x:v>HD Seaviewer Drop Camera</x:v>
      </x:c>
      <x:c r="G1332" t="str">
        <x:v>GV2016_727</x:v>
      </x:c>
      <x:c r="H1332" s="28" t="n">
        <x:v>42626</x:v>
      </x:c>
      <x:c r="I1332" t="str">
        <x:v>10:15:26</x:v>
      </x:c>
      <x:c r="J1332" t="n">
        <x:v>2016</x:v>
      </x:c>
      <x:c r="K1332" t="n">
        <x:v>18.2439055</x:v>
      </x:c>
      <x:c r="L1332" t="n">
        <x:v>-64.77746462</x:v>
      </x:c>
      <x:c r="M1332" t="n">
        <x:v>45.819</x:v>
      </x:c>
      <x:c r="N1332" t="str">
        <x:v>https://nccospublicstor.blob.core.windows.net/biomapper/usviinsularshelf2017/videos/low/GV2016_727.mp4</x:v>
      </x:c>
      <x:c r="O1332" t="n">
        <x:v>0</x:v>
      </x:c>
      <x:c r="P1332" t="n">
        <x:v>0</x:v>
      </x:c>
      <x:c r="Q1332" t="n">
        <x:v>1</x:v>
      </x:c>
      <x:c r="R1332" t="n">
        <x:v>0</x:v>
      </x:c>
      <x:c r="S1332" t="n">
        <x:v>0</x:v>
      </x:c>
      <x:c r="T1332" t="n">
        <x:v>0</x:v>
      </x:c>
      <x:c r="U1332" t="n">
        <x:v>1</x:v>
      </x:c>
      <x:c r="V1332" t="n">
        <x:v>1</x:v>
      </x:c>
      <x:c r="W1332" t="n">
        <x:v>0</x:v>
      </x:c>
      <x:c r="X1332" t="n">
        <x:v>0</x:v>
      </x:c>
      <x:c r="Y1332" t="n">
        <x:v>0</x:v>
      </x:c>
      <x:c r="Z1332" t="n">
        <x:v>1</x:v>
      </x:c>
      <x:c r="AA1332" t="n">
        <x:v>2</x:v>
      </x:c>
      <x:c r="AB1332" t="str">
        <x:v>Pass</x:v>
      </x:c>
      <x:c r="AC1332" t="str"/>
      <x:c r="AD1332" t="str"/>
    </x:row>
    <x:row r="1333">
      <x:c r="A1333" t="str">
        <x:v>REC1332</x:v>
      </x:c>
      <x:c r="B1333" t="n">
        <x:v>1331</x:v>
      </x:c>
      <x:c r="C1333" t="str">
        <x:v>St. Thomas, USVI</x:v>
      </x:c>
      <x:c r="D1333" t="str">
        <x:v>GV</x:v>
      </x:c>
      <x:c r="E1333" t="str">
        <x:v>Ground Validation</x:v>
      </x:c>
      <x:c r="F1333" t="str">
        <x:v>HD Seaviewer Drop Camera</x:v>
      </x:c>
      <x:c r="G1333" t="str">
        <x:v>GV2016_728</x:v>
      </x:c>
      <x:c r="H1333" s="28" t="n">
        <x:v>42626</x:v>
      </x:c>
      <x:c r="I1333" t="str">
        <x:v>09:22:22</x:v>
      </x:c>
      <x:c r="J1333" t="n">
        <x:v>2016</x:v>
      </x:c>
      <x:c r="K1333" t="n">
        <x:v>18.25363491</x:v>
      </x:c>
      <x:c r="L1333" t="n">
        <x:v>-64.81422227</x:v>
      </x:c>
      <x:c r="M1333" t="n">
        <x:v>42.796</x:v>
      </x:c>
      <x:c r="N1333" t="str">
        <x:v>https://nccospublicstor.blob.core.windows.net/biomapper/usviinsularshelf2017/videos/low/GV2016_728.mp4</x:v>
      </x:c>
      <x:c r="O1333" t="n">
        <x:v>0</x:v>
      </x:c>
      <x:c r="P1333" t="n">
        <x:v>1</x:v>
      </x:c>
      <x:c r="Q1333" t="n">
        <x:v>1</x:v>
      </x:c>
      <x:c r="R1333" t="n">
        <x:v>1</x:v>
      </x:c>
      <x:c r="S1333" t="n">
        <x:v>0</x:v>
      </x:c>
      <x:c r="T1333" t="n">
        <x:v>0</x:v>
      </x:c>
      <x:c r="U1333" t="n">
        <x:v>1</x:v>
      </x:c>
      <x:c r="V1333" t="n">
        <x:v>1</x:v>
      </x:c>
      <x:c r="W1333" t="n">
        <x:v>0</x:v>
      </x:c>
      <x:c r="X1333" t="n">
        <x:v>0</x:v>
      </x:c>
      <x:c r="Y1333" t="n">
        <x:v>0</x:v>
      </x:c>
      <x:c r="Z1333" t="n">
        <x:v>3</x:v>
      </x:c>
      <x:c r="AA1333" t="n">
        <x:v>2</x:v>
      </x:c>
      <x:c r="AB1333" t="str">
        <x:v>Pass</x:v>
      </x:c>
      <x:c r="AC1333" t="str"/>
      <x:c r="AD1333" t="str"/>
    </x:row>
    <x:row r="1334">
      <x:c r="A1334" t="str">
        <x:v>REC1333</x:v>
      </x:c>
      <x:c r="B1334" t="n">
        <x:v>1332</x:v>
      </x:c>
      <x:c r="C1334" t="str">
        <x:v>Puerto Rico</x:v>
      </x:c>
      <x:c r="D1334" t="str">
        <x:v>GV</x:v>
      </x:c>
      <x:c r="E1334" t="str">
        <x:v>Ground Validation</x:v>
      </x:c>
      <x:c r="F1334" t="str">
        <x:v>HD Seaviewer Drop Camera</x:v>
      </x:c>
      <x:c r="G1334" t="str">
        <x:v>GV2016_729</x:v>
      </x:c>
      <x:c r="H1334" s="28" t="n">
        <x:v>42603</x:v>
      </x:c>
      <x:c r="I1334" t="str">
        <x:v>12:26:48</x:v>
      </x:c>
      <x:c r="J1334" t="n">
        <x:v>2016</x:v>
      </x:c>
      <x:c r="K1334" t="n">
        <x:v>18.13846866</x:v>
      </x:c>
      <x:c r="L1334" t="n">
        <x:v>-65.23466232</x:v>
      </x:c>
      <x:c r="M1334" t="n">
        <x:v>36.216</x:v>
      </x:c>
      <x:c r="N1334" t="str">
        <x:v>https://nccospublicstor.blob.core.windows.net/biomapper/usviinsularshelf2017/videos/low/GV2016_729.mp4</x:v>
      </x:c>
      <x:c r="O1334" t="n">
        <x:v>1</x:v>
      </x:c>
      <x:c r="P1334" t="n">
        <x:v>0</x:v>
      </x:c>
      <x:c r="Q1334" t="n">
        <x:v>0</x:v>
      </x:c>
      <x:c r="R1334" t="n">
        <x:v>0</x:v>
      </x:c>
      <x:c r="S1334" t="n">
        <x:v>1</x:v>
      </x:c>
      <x:c r="T1334" t="n">
        <x:v>0</x:v>
      </x:c>
      <x:c r="U1334" t="n">
        <x:v>1</x:v>
      </x:c>
      <x:c r="V1334" t="n">
        <x:v>1</x:v>
      </x:c>
      <x:c r="W1334" t="n">
        <x:v>0</x:v>
      </x:c>
      <x:c r="X1334" t="n">
        <x:v>1</x:v>
      </x:c>
      <x:c r="Y1334" t="n">
        <x:v>0</x:v>
      </x:c>
      <x:c r="Z1334" t="n">
        <x:v>1</x:v>
      </x:c>
      <x:c r="AA1334" t="n">
        <x:v>3</x:v>
      </x:c>
      <x:c r="AB1334" t="str">
        <x:v>Pass</x:v>
      </x:c>
      <x:c r="AC1334" t="str"/>
      <x:c r="AD1334" t="str">
        <x:v>Derelict Trap</x:v>
      </x:c>
    </x:row>
    <x:row r="1335">
      <x:c r="A1335" t="str">
        <x:v>REC1334</x:v>
      </x:c>
      <x:c r="B1335" t="n">
        <x:v>1333</x:v>
      </x:c>
      <x:c r="C1335" t="str">
        <x:v>Puerto Rico</x:v>
      </x:c>
      <x:c r="D1335" t="str">
        <x:v>GV</x:v>
      </x:c>
      <x:c r="E1335" t="str">
        <x:v>Ground Validation</x:v>
      </x:c>
      <x:c r="F1335" t="str">
        <x:v>HD Seaviewer Drop Camera</x:v>
      </x:c>
      <x:c r="G1335" t="str">
        <x:v>GV2016_730</x:v>
      </x:c>
      <x:c r="H1335" s="28" t="n">
        <x:v>42603</x:v>
      </x:c>
      <x:c r="I1335" t="str">
        <x:v>12:14:09</x:v>
      </x:c>
      <x:c r="J1335" t="n">
        <x:v>2016</x:v>
      </x:c>
      <x:c r="K1335" t="n">
        <x:v>18.12501482</x:v>
      </x:c>
      <x:c r="L1335" t="n">
        <x:v>-65.23745571</x:v>
      </x:c>
      <x:c r="M1335" t="n">
        <x:v>49.457</x:v>
      </x:c>
      <x:c r="N1335" t="str">
        <x:v>https://nccospublicstor.blob.core.windows.net/biomapper/usviinsularshelf2017/videos/low/GV2016_730.mp4</x:v>
      </x:c>
      <x:c r="O1335" t="n">
        <x:v>0</x:v>
      </x:c>
      <x:c r="P1335" t="n">
        <x:v>0</x:v>
      </x:c>
      <x:c r="Q1335" t="n">
        <x:v>1</x:v>
      </x:c>
      <x:c r="R1335" t="n">
        <x:v>0</x:v>
      </x:c>
      <x:c r="S1335" t="n">
        <x:v>0</x:v>
      </x:c>
      <x:c r="T1335" t="n">
        <x:v>0</x:v>
      </x:c>
      <x:c r="U1335" t="n">
        <x:v>1</x:v>
      </x:c>
      <x:c r="V1335" t="n">
        <x:v>1</x:v>
      </x:c>
      <x:c r="W1335" t="n">
        <x:v>0</x:v>
      </x:c>
      <x:c r="X1335" t="n">
        <x:v>0</x:v>
      </x:c>
      <x:c r="Y1335" t="n">
        <x:v>0</x:v>
      </x:c>
      <x:c r="Z1335" t="n">
        <x:v>1</x:v>
      </x:c>
      <x:c r="AA1335" t="n">
        <x:v>2</x:v>
      </x:c>
      <x:c r="AB1335" t="str">
        <x:v>Pass</x:v>
      </x:c>
      <x:c r="AC1335" t="str"/>
      <x:c r="AD1335" t="str"/>
    </x:row>
    <x:row r="1336">
      <x:c r="A1336" t="str">
        <x:v>REC1335</x:v>
      </x:c>
      <x:c r="B1336" t="n">
        <x:v>1334</x:v>
      </x:c>
      <x:c r="C1336" t="str">
        <x:v>Puerto Rico</x:v>
      </x:c>
      <x:c r="D1336" t="str">
        <x:v>GV</x:v>
      </x:c>
      <x:c r="E1336" t="str">
        <x:v>Ground Validation</x:v>
      </x:c>
      <x:c r="F1336" t="str">
        <x:v>HD Seaviewer Drop Camera</x:v>
      </x:c>
      <x:c r="G1336" t="str">
        <x:v>GV2016_731</x:v>
      </x:c>
      <x:c r="H1336" s="28" t="n">
        <x:v>42604</x:v>
      </x:c>
      <x:c r="I1336" t="str">
        <x:v>10:04:20</x:v>
      </x:c>
      <x:c r="J1336" t="n">
        <x:v>2016</x:v>
      </x:c>
      <x:c r="K1336" t="n">
        <x:v>18.17249194</x:v>
      </x:c>
      <x:c r="L1336" t="n">
        <x:v>-65.20381409</x:v>
      </x:c>
      <x:c r="M1336" t="n">
        <x:v>39.221</x:v>
      </x:c>
      <x:c r="N1336" t="str">
        <x:v>https://nccospublicstor.blob.core.windows.net/biomapper/usviinsularshelf2017/videos/low/GV2016_731.mp4</x:v>
      </x:c>
      <x:c r="O1336" t="n">
        <x:v>1</x:v>
      </x:c>
      <x:c r="P1336" t="n">
        <x:v>0</x:v>
      </x:c>
      <x:c r="Q1336" t="n">
        <x:v>0</x:v>
      </x:c>
      <x:c r="R1336" t="n">
        <x:v>0</x:v>
      </x:c>
      <x:c r="S1336" t="n">
        <x:v>1</x:v>
      </x:c>
      <x:c r="T1336" t="n">
        <x:v>1</x:v>
      </x:c>
      <x:c r="U1336" t="n">
        <x:v>1</x:v>
      </x:c>
      <x:c r="V1336" t="n">
        <x:v>1</x:v>
      </x:c>
      <x:c r="W1336" t="n">
        <x:v>0</x:v>
      </x:c>
      <x:c r="X1336" t="n">
        <x:v>0</x:v>
      </x:c>
      <x:c r="Y1336" t="n">
        <x:v>0</x:v>
      </x:c>
      <x:c r="Z1336" t="n">
        <x:v>1</x:v>
      </x:c>
      <x:c r="AA1336" t="n">
        <x:v>4</x:v>
      </x:c>
      <x:c r="AB1336" t="str">
        <x:v>Pass</x:v>
      </x:c>
      <x:c r="AC1336" t="str"/>
      <x:c r="AD1336" t="str">
        <x:v>Some coral colonies with coral bleaching</x:v>
      </x:c>
    </x:row>
    <x:row r="1337">
      <x:c r="A1337" t="str">
        <x:v>REC1336</x:v>
      </x:c>
      <x:c r="B1337" t="n">
        <x:v>1335</x:v>
      </x:c>
      <x:c r="C1337" t="str">
        <x:v>St. Thomas, USVI</x:v>
      </x:c>
      <x:c r="D1337" t="str">
        <x:v>GV</x:v>
      </x:c>
      <x:c r="E1337" t="str">
        <x:v>Ground Validation</x:v>
      </x:c>
      <x:c r="F1337" t="str">
        <x:v>HD Seaviewer Drop Camera</x:v>
      </x:c>
      <x:c r="G1337" t="str">
        <x:v>GV2016_732</x:v>
      </x:c>
      <x:c r="H1337" s="28" t="n">
        <x:v>42612</x:v>
      </x:c>
      <x:c r="I1337" t="str">
        <x:v>08:41:39</x:v>
      </x:c>
      <x:c r="J1337" t="n">
        <x:v>2016</x:v>
      </x:c>
      <x:c r="K1337" t="n">
        <x:v>18.22690631</x:v>
      </x:c>
      <x:c r="L1337" t="n">
        <x:v>-64.98926518</x:v>
      </x:c>
      <x:c r="M1337" t="n">
        <x:v>42.537</x:v>
      </x:c>
      <x:c r="N1337" t="str">
        <x:v>https://nccospublicstor.blob.core.windows.net/biomapper/usviinsularshelf2017/videos/low/GV2016_732.mp4</x:v>
      </x:c>
      <x:c r="O1337" t="n">
        <x:v>0</x:v>
      </x:c>
      <x:c r="P1337" t="n">
        <x:v>0</x:v>
      </x:c>
      <x:c r="Q1337" t="n">
        <x:v>1</x:v>
      </x:c>
      <x:c r="R1337" t="n">
        <x:v>1</x:v>
      </x:c>
      <x:c r="S1337" t="n">
        <x:v>0</x:v>
      </x:c>
      <x:c r="T1337" t="n">
        <x:v>0</x:v>
      </x:c>
      <x:c r="U1337" t="n">
        <x:v>1</x:v>
      </x:c>
      <x:c r="V1337" t="n">
        <x:v>1</x:v>
      </x:c>
      <x:c r="W1337" t="n">
        <x:v>0</x:v>
      </x:c>
      <x:c r="X1337" t="n">
        <x:v>0</x:v>
      </x:c>
      <x:c r="Y1337" t="n">
        <x:v>0</x:v>
      </x:c>
      <x:c r="Z1337" t="n">
        <x:v>2</x:v>
      </x:c>
      <x:c r="AA1337" t="n">
        <x:v>2</x:v>
      </x:c>
      <x:c r="AB1337" t="str">
        <x:v>Pass</x:v>
      </x:c>
      <x:c r="AC1337" t="str"/>
      <x:c r="AD1337" t="str"/>
    </x:row>
    <x:row r="1338">
      <x:c r="A1338" t="str">
        <x:v>REC1337</x:v>
      </x:c>
      <x:c r="B1338" t="n">
        <x:v>1336</x:v>
      </x:c>
      <x:c r="C1338" t="str">
        <x:v>St. John, USVI</x:v>
      </x:c>
      <x:c r="D1338" t="str">
        <x:v>GV</x:v>
      </x:c>
      <x:c r="E1338" t="str">
        <x:v>Ground Validation</x:v>
      </x:c>
      <x:c r="F1338" t="str">
        <x:v>HD Seaviewer Drop Camera</x:v>
      </x:c>
      <x:c r="G1338" t="str">
        <x:v>GV2016_733</x:v>
      </x:c>
      <x:c r="H1338" s="28" t="n">
        <x:v>42630</x:v>
      </x:c>
      <x:c r="I1338" t="str">
        <x:v>14:09:04</x:v>
      </x:c>
      <x:c r="J1338" t="n">
        <x:v>2016</x:v>
      </x:c>
      <x:c r="K1338" t="n">
        <x:v>18.23517114</x:v>
      </x:c>
      <x:c r="L1338" t="n">
        <x:v>-64.74716703</x:v>
      </x:c>
      <x:c r="M1338" t="n">
        <x:v>53.141</x:v>
      </x:c>
      <x:c r="N1338" t="str">
        <x:v>https://nccospublicstor.blob.core.windows.net/biomapper/usviinsularshelf2017/videos/low/GV2016_733.mp4</x:v>
      </x:c>
      <x:c r="O1338" t="n">
        <x:v>0</x:v>
      </x:c>
      <x:c r="P1338" t="n">
        <x:v>0</x:v>
      </x:c>
      <x:c r="Q1338" t="n">
        <x:v>1</x:v>
      </x:c>
      <x:c r="R1338" t="n">
        <x:v>0</x:v>
      </x:c>
      <x:c r="S1338" t="n">
        <x:v>1</x:v>
      </x:c>
      <x:c r="T1338" t="n">
        <x:v>0</x:v>
      </x:c>
      <x:c r="U1338" t="n">
        <x:v>1</x:v>
      </x:c>
      <x:c r="V1338" t="n">
        <x:v>1</x:v>
      </x:c>
      <x:c r="W1338" t="n">
        <x:v>0</x:v>
      </x:c>
      <x:c r="X1338" t="n">
        <x:v>0</x:v>
      </x:c>
      <x:c r="Y1338" t="n">
        <x:v>0</x:v>
      </x:c>
      <x:c r="Z1338" t="n">
        <x:v>1</x:v>
      </x:c>
      <x:c r="AA1338" t="n">
        <x:v>3</x:v>
      </x:c>
      <x:c r="AB1338" t="str">
        <x:v>Pass</x:v>
      </x:c>
      <x:c r="AC1338" t="str"/>
      <x:c r="AD1338" t="str"/>
    </x:row>
    <x:row r="1339">
      <x:c r="A1339" t="str">
        <x:v>REC1338</x:v>
      </x:c>
      <x:c r="B1339" t="n">
        <x:v>1337</x:v>
      </x:c>
      <x:c r="C1339" t="str">
        <x:v>St. Thomas, USVI</x:v>
      </x:c>
      <x:c r="D1339" t="str">
        <x:v>GV</x:v>
      </x:c>
      <x:c r="E1339" t="str">
        <x:v>Ground Validation</x:v>
      </x:c>
      <x:c r="F1339" t="str">
        <x:v>HD Seaviewer Drop Camera</x:v>
      </x:c>
      <x:c r="G1339" t="str">
        <x:v>GV2016_734</x:v>
      </x:c>
      <x:c r="H1339" s="28" t="n">
        <x:v>42612</x:v>
      </x:c>
      <x:c r="I1339" t="str">
        <x:v>10:16:17</x:v>
      </x:c>
      <x:c r="J1339" t="n">
        <x:v>2016</x:v>
      </x:c>
      <x:c r="K1339" t="n">
        <x:v>18.2479954</x:v>
      </x:c>
      <x:c r="L1339" t="n">
        <x:v>-64.96515498</x:v>
      </x:c>
      <x:c r="M1339" t="n">
        <x:v>40.053</x:v>
      </x:c>
      <x:c r="N1339" t="str">
        <x:v>https://nccospublicstor.blob.core.windows.net/biomapper/usviinsularshelf2017/videos/low/GV2016_734.mp4</x:v>
      </x:c>
      <x:c r="O1339" t="n">
        <x:v>0</x:v>
      </x:c>
      <x:c r="P1339" t="n">
        <x:v>0</x:v>
      </x:c>
      <x:c r="Q1339" t="n">
        <x:v>1</x:v>
      </x:c>
      <x:c r="R1339" t="n">
        <x:v>1</x:v>
      </x:c>
      <x:c r="S1339" t="n">
        <x:v>0</x:v>
      </x:c>
      <x:c r="T1339" t="n">
        <x:v>0</x:v>
      </x:c>
      <x:c r="U1339" t="n">
        <x:v>1</x:v>
      </x:c>
      <x:c r="V1339" t="n">
        <x:v>1</x:v>
      </x:c>
      <x:c r="W1339" t="n">
        <x:v>0</x:v>
      </x:c>
      <x:c r="X1339" t="n">
        <x:v>0</x:v>
      </x:c>
      <x:c r="Y1339" t="n">
        <x:v>0</x:v>
      </x:c>
      <x:c r="Z1339" t="n">
        <x:v>2</x:v>
      </x:c>
      <x:c r="AA1339" t="n">
        <x:v>2</x:v>
      </x:c>
      <x:c r="AB1339" t="str">
        <x:v>Pass</x:v>
      </x:c>
      <x:c r="AC1339" t="str"/>
      <x:c r="AD1339" t="str"/>
    </x:row>
    <x:row r="1340">
      <x:c r="A1340" t="str">
        <x:v>REC1339</x:v>
      </x:c>
      <x:c r="B1340" t="n">
        <x:v>1338</x:v>
      </x:c>
      <x:c r="C1340" t="str">
        <x:v>St. Thomas, USVI</x:v>
      </x:c>
      <x:c r="D1340" t="str">
        <x:v>GV</x:v>
      </x:c>
      <x:c r="E1340" t="str">
        <x:v>Ground Validation</x:v>
      </x:c>
      <x:c r="F1340" t="str">
        <x:v>HD Seaviewer Drop Camera</x:v>
      </x:c>
      <x:c r="G1340" t="str">
        <x:v>GV2016_735</x:v>
      </x:c>
      <x:c r="H1340" s="28" t="n">
        <x:v>42602</x:v>
      </x:c>
      <x:c r="I1340" t="str">
        <x:v>11:49:49</x:v>
      </x:c>
      <x:c r="J1340" t="n">
        <x:v>2016</x:v>
      </x:c>
      <x:c r="K1340" t="n">
        <x:v>18.28101133</x:v>
      </x:c>
      <x:c r="L1340" t="n">
        <x:v>-65.0752445</x:v>
      </x:c>
      <x:c r="M1340" t="n">
        <x:v>33.405</x:v>
      </x:c>
      <x:c r="N1340" t="str">
        <x:v>https://nccospublicstor.blob.core.windows.net/biomapper/usviinsularshelf2017/videos/low/GV2016_735.mp4</x:v>
      </x:c>
      <x:c r="O1340" t="n">
        <x:v>0</x:v>
      </x:c>
      <x:c r="P1340" t="n">
        <x:v>0</x:v>
      </x:c>
      <x:c r="Q1340" t="n">
        <x:v>1</x:v>
      </x:c>
      <x:c r="R1340" t="n">
        <x:v>0</x:v>
      </x:c>
      <x:c r="S1340" t="n">
        <x:v>0</x:v>
      </x:c>
      <x:c r="T1340" t="n">
        <x:v>0</x:v>
      </x:c>
      <x:c r="U1340" t="n">
        <x:v>1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1</x:v>
      </x:c>
      <x:c r="AA1340" t="n">
        <x:v>2</x:v>
      </x:c>
      <x:c r="AB1340" t="str">
        <x:v>Pass</x:v>
      </x:c>
      <x:c r="AC1340" t="str"/>
      <x:c r="AD1340" t="str"/>
    </x:row>
    <x:row r="1341">
      <x:c r="A1341" t="str">
        <x:v>REC1340</x:v>
      </x:c>
      <x:c r="B1341" t="n">
        <x:v>1339</x:v>
      </x:c>
      <x:c r="C1341" t="str">
        <x:v>St. Thomas, USVI</x:v>
      </x:c>
      <x:c r="D1341" t="str">
        <x:v>GV</x:v>
      </x:c>
      <x:c r="E1341" t="str">
        <x:v>Ground Validation</x:v>
      </x:c>
      <x:c r="F1341" t="str">
        <x:v>HD Seaviewer Drop Camera</x:v>
      </x:c>
      <x:c r="G1341" t="str">
        <x:v>GV2016_736</x:v>
      </x:c>
      <x:c r="H1341" s="28" t="n">
        <x:v>42610</x:v>
      </x:c>
      <x:c r="I1341" t="str">
        <x:v>09:48:26</x:v>
      </x:c>
      <x:c r="J1341" t="n">
        <x:v>2016</x:v>
      </x:c>
      <x:c r="K1341" t="n">
        <x:v>18.18063736</x:v>
      </x:c>
      <x:c r="L1341" t="n">
        <x:v>-64.89017063</x:v>
      </x:c>
      <x:c r="M1341" t="n">
        <x:v>52.33</x:v>
      </x:c>
      <x:c r="N1341" t="str">
        <x:v>https://nccospublicstor.blob.core.windows.net/biomapper/usviinsularshelf2017/videos/low/GV2016_736.mp4</x:v>
      </x:c>
      <x:c r="O1341" t="n">
        <x:v>0</x:v>
      </x:c>
      <x:c r="P1341" t="n">
        <x:v>0</x:v>
      </x:c>
      <x:c r="Q1341" t="n">
        <x:v>1</x:v>
      </x:c>
      <x:c r="R1341" t="n">
        <x:v>0</x:v>
      </x:c>
      <x:c r="S1341" t="n">
        <x:v>1</x:v>
      </x:c>
      <x:c r="T1341" t="n">
        <x:v>0</x:v>
      </x:c>
      <x:c r="U1341" t="n">
        <x:v>1</x:v>
      </x:c>
      <x:c r="V1341" t="n">
        <x:v>1</x:v>
      </x:c>
      <x:c r="W1341" t="n">
        <x:v>0</x:v>
      </x:c>
      <x:c r="X1341" t="n">
        <x:v>0</x:v>
      </x:c>
      <x:c r="Y1341" t="n">
        <x:v>0</x:v>
      </x:c>
      <x:c r="Z1341" t="n">
        <x:v>1</x:v>
      </x:c>
      <x:c r="AA1341" t="n">
        <x:v>3</x:v>
      </x:c>
      <x:c r="AB1341" t="str">
        <x:v>Pass</x:v>
      </x:c>
      <x:c r="AC1341" t="str"/>
      <x:c r="AD1341" t="str"/>
    </x:row>
    <x:row r="1342">
      <x:c r="A1342" t="str">
        <x:v>REC1341</x:v>
      </x:c>
      <x:c r="B1342" t="n">
        <x:v>1340</x:v>
      </x:c>
      <x:c r="C1342" t="str">
        <x:v>St. Thomas, USVI</x:v>
      </x:c>
      <x:c r="D1342" t="str">
        <x:v>GV</x:v>
      </x:c>
      <x:c r="E1342" t="str">
        <x:v>Ground Validation</x:v>
      </x:c>
      <x:c r="F1342" t="str">
        <x:v>HD Seaviewer Drop Camera</x:v>
      </x:c>
      <x:c r="G1342" t="str">
        <x:v>GV2016_737</x:v>
      </x:c>
      <x:c r="H1342" s="28" t="n">
        <x:v>42622</x:v>
      </x:c>
      <x:c r="I1342" t="str">
        <x:v>12:33:50</x:v>
      </x:c>
      <x:c r="J1342" t="n">
        <x:v>2016</x:v>
      </x:c>
      <x:c r="K1342" t="n">
        <x:v>18.2359619</x:v>
      </x:c>
      <x:c r="L1342" t="n">
        <x:v>-64.84234301</x:v>
      </x:c>
      <x:c r="M1342" t="n">
        <x:v>44.462</x:v>
      </x:c>
      <x:c r="N1342" t="str">
        <x:v>https://nccospublicstor.blob.core.windows.net/biomapper/usviinsularshelf2017/videos/low/GV2016_737.mp4</x:v>
      </x:c>
      <x:c r="O1342" t="n">
        <x:v>0</x:v>
      </x:c>
      <x:c r="P1342" t="n">
        <x:v>0</x:v>
      </x:c>
      <x:c r="Q1342" t="n">
        <x:v>1</x:v>
      </x:c>
      <x:c r="R1342" t="n">
        <x:v>0</x:v>
      </x:c>
      <x:c r="S1342" t="n">
        <x:v>0</x:v>
      </x:c>
      <x:c r="T1342" t="n">
        <x:v>0</x:v>
      </x:c>
      <x:c r="U1342" t="n">
        <x:v>1</x:v>
      </x:c>
      <x:c r="V1342" t="n">
        <x:v>1</x:v>
      </x:c>
      <x:c r="W1342" t="n">
        <x:v>0</x:v>
      </x:c>
      <x:c r="X1342" t="n">
        <x:v>0</x:v>
      </x:c>
      <x:c r="Y1342" t="n">
        <x:v>0</x:v>
      </x:c>
      <x:c r="Z1342" t="n">
        <x:v>1</x:v>
      </x:c>
      <x:c r="AA1342" t="n">
        <x:v>2</x:v>
      </x:c>
      <x:c r="AB1342" t="str">
        <x:v>Pass</x:v>
      </x:c>
      <x:c r="AC1342" t="str"/>
      <x:c r="AD1342" t="str"/>
    </x:row>
    <x:row r="1343">
      <x:c r="A1343" t="str">
        <x:v>REC1342</x:v>
      </x:c>
      <x:c r="B1343" t="n">
        <x:v>1341</x:v>
      </x:c>
      <x:c r="C1343" t="str">
        <x:v>St. John, USVI</x:v>
      </x:c>
      <x:c r="D1343" t="str">
        <x:v>GV</x:v>
      </x:c>
      <x:c r="E1343" t="str">
        <x:v>Ground Validation</x:v>
      </x:c>
      <x:c r="F1343" t="str">
        <x:v>HD Seaviewer Drop Camera</x:v>
      </x:c>
      <x:c r="G1343" t="str">
        <x:v>GV2016_738</x:v>
      </x:c>
      <x:c r="H1343" s="28" t="n">
        <x:v>42630</x:v>
      </x:c>
      <x:c r="I1343" t="str">
        <x:v>13:34:42</x:v>
      </x:c>
      <x:c r="J1343" t="n">
        <x:v>2016</x:v>
      </x:c>
      <x:c r="K1343" t="n">
        <x:v>18.23197029</x:v>
      </x:c>
      <x:c r="L1343" t="n">
        <x:v>-64.75539201</x:v>
      </x:c>
      <x:c r="M1343" t="n">
        <x:v>49.739</x:v>
      </x:c>
      <x:c r="N1343" t="str">
        <x:v>https://nccospublicstor.blob.core.windows.net/biomapper/usviinsularshelf2017/videos/low/GV2016_738.mp4</x:v>
      </x:c>
      <x:c r="O1343" t="n">
        <x:v>0</x:v>
      </x:c>
      <x:c r="P1343" t="n">
        <x:v>0</x:v>
      </x:c>
      <x:c r="Q1343" t="n">
        <x:v>1</x:v>
      </x:c>
      <x:c r="R1343" t="n">
        <x:v>0</x:v>
      </x:c>
      <x:c r="S1343" t="n">
        <x:v>0</x:v>
      </x:c>
      <x:c r="T1343" t="n">
        <x:v>0</x:v>
      </x:c>
      <x:c r="U1343" t="n">
        <x:v>1</x:v>
      </x:c>
      <x:c r="V1343" t="n">
        <x:v>1</x:v>
      </x:c>
      <x:c r="W1343" t="n">
        <x:v>0</x:v>
      </x:c>
      <x:c r="X1343" t="n">
        <x:v>0</x:v>
      </x:c>
      <x:c r="Y1343" t="n">
        <x:v>0</x:v>
      </x:c>
      <x:c r="Z1343" t="n">
        <x:v>1</x:v>
      </x:c>
      <x:c r="AA1343" t="n">
        <x:v>2</x:v>
      </x:c>
      <x:c r="AB1343" t="str">
        <x:v>Pass</x:v>
      </x:c>
      <x:c r="AC1343" t="str"/>
      <x:c r="AD1343" t="str"/>
    </x:row>
    <x:row r="1344">
      <x:c r="A1344" t="str">
        <x:v>REC1343</x:v>
      </x:c>
      <x:c r="B1344" t="n">
        <x:v>1342</x:v>
      </x:c>
      <x:c r="C1344" t="str">
        <x:v>Puerto Rico</x:v>
      </x:c>
      <x:c r="D1344" t="str">
        <x:v>GV</x:v>
      </x:c>
      <x:c r="E1344" t="str">
        <x:v>Ground Validation</x:v>
      </x:c>
      <x:c r="F1344" t="str">
        <x:v>HD Seaviewer Drop Camera</x:v>
      </x:c>
      <x:c r="G1344" t="str">
        <x:v>GV2016_739</x:v>
      </x:c>
      <x:c r="H1344" s="28" t="n">
        <x:v>42603</x:v>
      </x:c>
      <x:c r="I1344" t="str">
        <x:v>10:30:05</x:v>
      </x:c>
      <x:c r="J1344" t="n">
        <x:v>2016</x:v>
      </x:c>
      <x:c r="K1344" t="n">
        <x:v>18.1275458</x:v>
      </x:c>
      <x:c r="L1344" t="n">
        <x:v>-65.19001846</x:v>
      </x:c>
      <x:c r="M1344" t="n">
        <x:v>39.078</x:v>
      </x:c>
      <x:c r="N1344" t="str">
        <x:v>https://nccospublicstor.blob.core.windows.net/biomapper/usviinsularshelf2017/videos/low/GV2016_739.mp4</x:v>
      </x:c>
      <x:c r="O1344" t="n">
        <x:v>1</x:v>
      </x:c>
      <x:c r="P1344" t="n">
        <x:v>0</x:v>
      </x:c>
      <x:c r="Q1344" t="n">
        <x:v>0</x:v>
      </x:c>
      <x:c r="R1344" t="n">
        <x:v>0</x:v>
      </x:c>
      <x:c r="S1344" t="n">
        <x:v>1</x:v>
      </x:c>
      <x:c r="T1344" t="n">
        <x:v>0</x:v>
      </x:c>
      <x:c r="U1344" t="n">
        <x:v>1</x:v>
      </x:c>
      <x:c r="V1344" t="n">
        <x:v>1</x:v>
      </x:c>
      <x:c r="W1344" t="n">
        <x:v>0</x:v>
      </x:c>
      <x:c r="X1344" t="n">
        <x:v>0</x:v>
      </x:c>
      <x:c r="Y1344" t="n">
        <x:v>0</x:v>
      </x:c>
      <x:c r="Z1344" t="n">
        <x:v>1</x:v>
      </x:c>
      <x:c r="AA1344" t="n">
        <x:v>3</x:v>
      </x:c>
      <x:c r="AB1344" t="str">
        <x:v>Pass</x:v>
      </x:c>
      <x:c r="AC1344" t="str"/>
      <x:c r="AD1344" t="str">
        <x:v>reef shark</x:v>
      </x:c>
    </x:row>
    <x:row r="1345">
      <x:c r="A1345" t="str">
        <x:v>REC1344</x:v>
      </x:c>
      <x:c r="B1345" t="n">
        <x:v>1343</x:v>
      </x:c>
      <x:c r="C1345" t="str">
        <x:v>St. Thomas, USVI</x:v>
      </x:c>
      <x:c r="D1345" t="str">
        <x:v>GV</x:v>
      </x:c>
      <x:c r="E1345" t="str">
        <x:v>Ground Validation</x:v>
      </x:c>
      <x:c r="F1345" t="str">
        <x:v>HD Seaviewer Drop Camera</x:v>
      </x:c>
      <x:c r="G1345" t="str">
        <x:v>GV2016_740</x:v>
      </x:c>
      <x:c r="H1345" s="28" t="n">
        <x:v>42609</x:v>
      </x:c>
      <x:c r="I1345" t="str">
        <x:v>11:59:44</x:v>
      </x:c>
      <x:c r="J1345" t="n">
        <x:v>2016</x:v>
      </x:c>
      <x:c r="K1345" t="n">
        <x:v>18.26668783</x:v>
      </x:c>
      <x:c r="L1345" t="n">
        <x:v>-65.01384736</x:v>
      </x:c>
      <x:c r="M1345" t="n">
        <x:v>33.481</x:v>
      </x:c>
      <x:c r="N1345" t="str">
        <x:v>https://nccospublicstor.blob.core.windows.net/biomapper/usviinsularshelf2017/videos/low/GV2016_740.mp4</x:v>
      </x:c>
      <x:c r="O1345" t="n">
        <x:v>0</x:v>
      </x:c>
      <x:c r="P1345" t="n">
        <x:v>0</x:v>
      </x:c>
      <x:c r="Q1345" t="n">
        <x:v>1</x:v>
      </x:c>
      <x:c r="R1345" t="n">
        <x:v>0</x:v>
      </x:c>
      <x:c r="S1345" t="n">
        <x:v>0</x:v>
      </x:c>
      <x:c r="T1345" t="n">
        <x:v>0</x:v>
      </x:c>
      <x:c r="U1345" t="n">
        <x:v>1</x:v>
      </x:c>
      <x:c r="V1345" t="n">
        <x:v>1</x:v>
      </x:c>
      <x:c r="W1345" t="n">
        <x:v>0</x:v>
      </x:c>
      <x:c r="X1345" t="n">
        <x:v>0</x:v>
      </x:c>
      <x:c r="Y1345" t="n">
        <x:v>0</x:v>
      </x:c>
      <x:c r="Z1345" t="n">
        <x:v>1</x:v>
      </x:c>
      <x:c r="AA1345" t="n">
        <x:v>2</x:v>
      </x:c>
      <x:c r="AB1345" t="str">
        <x:v>Pass</x:v>
      </x:c>
      <x:c r="AC1345" t="str"/>
      <x:c r="AD1345" t="str"/>
    </x:row>
    <x:row r="1346">
      <x:c r="A1346" t="str">
        <x:v>REC1345</x:v>
      </x:c>
      <x:c r="B1346" t="n">
        <x:v>1344</x:v>
      </x:c>
      <x:c r="C1346" t="str">
        <x:v>St. Thomas, USVI</x:v>
      </x:c>
      <x:c r="D1346" t="str">
        <x:v>GV</x:v>
      </x:c>
      <x:c r="E1346" t="str">
        <x:v>Ground Validation</x:v>
      </x:c>
      <x:c r="F1346" t="str">
        <x:v>HD Seaviewer Drop Camera</x:v>
      </x:c>
      <x:c r="G1346" t="str">
        <x:v>GV2016_741</x:v>
      </x:c>
      <x:c r="H1346" s="28" t="n">
        <x:v>42612</x:v>
      </x:c>
      <x:c r="I1346" t="str">
        <x:v>10:30:21</x:v>
      </x:c>
      <x:c r="J1346" t="n">
        <x:v>2016</x:v>
      </x:c>
      <x:c r="K1346" t="n">
        <x:v>18.23226232</x:v>
      </x:c>
      <x:c r="L1346" t="n">
        <x:v>-64.95393355</x:v>
      </x:c>
      <x:c r="M1346" t="n">
        <x:v>42.665</x:v>
      </x:c>
      <x:c r="N1346" t="str">
        <x:v>https://nccospublicstor.blob.core.windows.net/biomapper/usviinsularshelf2017/videos/low/GV2016_741.mp4</x:v>
      </x:c>
      <x:c r="O1346" t="n">
        <x:v>0</x:v>
      </x:c>
      <x:c r="P1346" t="n">
        <x:v>0</x:v>
      </x:c>
      <x:c r="Q1346" t="n">
        <x:v>1</x:v>
      </x:c>
      <x:c r="R1346" t="n">
        <x:v>1</x:v>
      </x:c>
      <x:c r="S1346" t="n">
        <x:v>0</x:v>
      </x:c>
      <x:c r="T1346" t="n">
        <x:v>0</x:v>
      </x:c>
      <x:c r="U1346" t="n">
        <x:v>1</x:v>
      </x:c>
      <x:c r="V1346" t="n">
        <x:v>1</x:v>
      </x:c>
      <x:c r="W1346" t="n">
        <x:v>0</x:v>
      </x:c>
      <x:c r="X1346" t="n">
        <x:v>0</x:v>
      </x:c>
      <x:c r="Y1346" t="n">
        <x:v>0</x:v>
      </x:c>
      <x:c r="Z1346" t="n">
        <x:v>2</x:v>
      </x:c>
      <x:c r="AA1346" t="n">
        <x:v>2</x:v>
      </x:c>
      <x:c r="AB1346" t="str">
        <x:v>Pass</x:v>
      </x:c>
      <x:c r="AC1346" t="str"/>
      <x:c r="AD1346" t="str"/>
    </x:row>
    <x:row r="1347">
      <x:c r="A1347" t="str">
        <x:v>REC1346</x:v>
      </x:c>
      <x:c r="B1347" t="n">
        <x:v>1345</x:v>
      </x:c>
      <x:c r="C1347" t="str">
        <x:v>St. Thomas, USVI</x:v>
      </x:c>
      <x:c r="D1347" t="str">
        <x:v>GV</x:v>
      </x:c>
      <x:c r="E1347" t="str">
        <x:v>Ground Validation</x:v>
      </x:c>
      <x:c r="F1347" t="str">
        <x:v>HD Seaviewer Drop Camera</x:v>
      </x:c>
      <x:c r="G1347" t="str">
        <x:v>GV2016_742</x:v>
      </x:c>
      <x:c r="H1347" s="28" t="n">
        <x:v>42622</x:v>
      </x:c>
      <x:c r="I1347" t="str">
        <x:v>13:09:48</x:v>
      </x:c>
      <x:c r="J1347" t="n">
        <x:v>2016</x:v>
      </x:c>
      <x:c r="K1347" t="n">
        <x:v>18.20930745</x:v>
      </x:c>
      <x:c r="L1347" t="n">
        <x:v>-64.84980171</x:v>
      </x:c>
      <x:c r="M1347" t="n">
        <x:v>42.52</x:v>
      </x:c>
      <x:c r="N1347" t="str">
        <x:v>https://nccospublicstor.blob.core.windows.net/biomapper/usviinsularshelf2017/videos/low/GV2016_742.mp4</x:v>
      </x:c>
      <x:c r="O1347" t="n">
        <x:v>0</x:v>
      </x:c>
      <x:c r="P1347" t="n">
        <x:v>1</x:v>
      </x:c>
      <x:c r="Q1347" t="n">
        <x:v>0</x:v>
      </x:c>
      <x:c r="R1347" t="n">
        <x:v>1</x:v>
      </x:c>
      <x:c r="S1347" t="n">
        <x:v>1</x:v>
      </x:c>
      <x:c r="T1347" t="n">
        <x:v>0</x:v>
      </x:c>
      <x:c r="U1347" t="n">
        <x:v>1</x:v>
      </x:c>
      <x:c r="V1347" t="n">
        <x:v>1</x:v>
      </x:c>
      <x:c r="W1347" t="n">
        <x:v>0</x:v>
      </x:c>
      <x:c r="X1347" t="n">
        <x:v>0</x:v>
      </x:c>
      <x:c r="Y1347" t="n">
        <x:v>0</x:v>
      </x:c>
      <x:c r="Z1347" t="n">
        <x:v>2</x:v>
      </x:c>
      <x:c r="AA1347" t="n">
        <x:v>3</x:v>
      </x:c>
      <x:c r="AB1347" t="str">
        <x:v>Pass</x:v>
      </x:c>
      <x:c r="AC1347" t="str"/>
      <x:c r="AD1347" t="str"/>
    </x:row>
    <x:row r="1348">
      <x:c r="A1348" t="str">
        <x:v>REC1347</x:v>
      </x:c>
      <x:c r="B1348" t="n">
        <x:v>1346</x:v>
      </x:c>
      <x:c r="C1348" t="str">
        <x:v>St. Thomas, USVI</x:v>
      </x:c>
      <x:c r="D1348" t="str">
        <x:v>GV</x:v>
      </x:c>
      <x:c r="E1348" t="str">
        <x:v>Ground Validation</x:v>
      </x:c>
      <x:c r="F1348" t="str">
        <x:v>HD Seaviewer Drop Camera</x:v>
      </x:c>
      <x:c r="G1348" t="str">
        <x:v>GV2016_743</x:v>
      </x:c>
      <x:c r="H1348" s="28" t="n">
        <x:v>42609</x:v>
      </x:c>
      <x:c r="I1348" t="str">
        <x:v>09:38:26</x:v>
      </x:c>
      <x:c r="J1348" t="n">
        <x:v>2016</x:v>
      </x:c>
      <x:c r="K1348" t="n">
        <x:v>18.2350837</x:v>
      </x:c>
      <x:c r="L1348" t="n">
        <x:v>-65.10019572</x:v>
      </x:c>
      <x:c r="M1348" t="n">
        <x:v>29.358</x:v>
      </x:c>
      <x:c r="N1348" t="str">
        <x:v>https://nccospublicstor.blob.core.windows.net/biomapper/usviinsularshelf2017/videos/low/GV2016_743.mp4</x:v>
      </x:c>
      <x:c r="O1348" t="n">
        <x:v>1</x:v>
      </x:c>
      <x:c r="P1348" t="n">
        <x:v>0</x:v>
      </x:c>
      <x:c r="Q1348" t="n">
        <x:v>0</x:v>
      </x:c>
      <x:c r="R1348" t="n">
        <x:v>0</x:v>
      </x:c>
      <x:c r="S1348" t="n">
        <x:v>1</x:v>
      </x:c>
      <x:c r="T1348" t="n">
        <x:v>0</x:v>
      </x:c>
      <x:c r="U1348" t="n">
        <x:v>1</x:v>
      </x:c>
      <x:c r="V1348" t="n">
        <x:v>1</x:v>
      </x:c>
      <x:c r="W1348" t="n">
        <x:v>0</x:v>
      </x:c>
      <x:c r="X1348" t="n">
        <x:v>0</x:v>
      </x:c>
      <x:c r="Y1348" t="n">
        <x:v>0</x:v>
      </x:c>
      <x:c r="Z1348" t="n">
        <x:v>1</x:v>
      </x:c>
      <x:c r="AA1348" t="n">
        <x:v>3</x:v>
      </x:c>
      <x:c r="AB1348" t="str">
        <x:v>Pass</x:v>
      </x:c>
      <x:c r="AC1348" t="str"/>
      <x:c r="AD1348" t="str"/>
    </x:row>
    <x:row r="1349">
      <x:c r="A1349" t="str">
        <x:v>REC1348</x:v>
      </x:c>
      <x:c r="B1349" t="n">
        <x:v>1347</x:v>
      </x:c>
      <x:c r="C1349" t="str">
        <x:v>St. John, USVI</x:v>
      </x:c>
      <x:c r="D1349" t="str">
        <x:v>GV</x:v>
      </x:c>
      <x:c r="E1349" t="str">
        <x:v>Ground Validation</x:v>
      </x:c>
      <x:c r="F1349" t="str">
        <x:v>HD Seaviewer Drop Camera</x:v>
      </x:c>
      <x:c r="G1349" t="str">
        <x:v>GV2016_744</x:v>
      </x:c>
      <x:c r="H1349" s="28" t="n">
        <x:v>42629</x:v>
      </x:c>
      <x:c r="I1349" t="str">
        <x:v>12:03:03</x:v>
      </x:c>
      <x:c r="J1349" t="n">
        <x:v>2016</x:v>
      </x:c>
      <x:c r="K1349" t="n">
        <x:v>18.20115363</x:v>
      </x:c>
      <x:c r="L1349" t="n">
        <x:v>-64.7879192</x:v>
      </x:c>
      <x:c r="M1349" t="n">
        <x:v>55.466</x:v>
      </x:c>
      <x:c r="N1349" t="str">
        <x:v>https://nccospublicstor.blob.core.windows.net/biomapper/usviinsularshelf2017/videos/low/GV2016_744.mp4</x:v>
      </x:c>
      <x:c r="O1349" t="n">
        <x:v>0</x:v>
      </x:c>
      <x:c r="P1349" t="n">
        <x:v>0</x:v>
      </x:c>
      <x:c r="Q1349" t="n">
        <x:v>1</x:v>
      </x:c>
      <x:c r="R1349" t="n">
        <x:v>0</x:v>
      </x:c>
      <x:c r="S1349" t="n">
        <x:v>1</x:v>
      </x:c>
      <x:c r="T1349" t="n">
        <x:v>0</x:v>
      </x:c>
      <x:c r="U1349" t="n">
        <x:v>1</x:v>
      </x:c>
      <x:c r="V1349" t="n">
        <x:v>1</x:v>
      </x:c>
      <x:c r="W1349" t="n">
        <x:v>0</x:v>
      </x:c>
      <x:c r="X1349" t="n">
        <x:v>0</x:v>
      </x:c>
      <x:c r="Y1349" t="n">
        <x:v>0</x:v>
      </x:c>
      <x:c r="Z1349" t="n">
        <x:v>1</x:v>
      </x:c>
      <x:c r="AA1349" t="n">
        <x:v>3</x:v>
      </x:c>
      <x:c r="AB1349" t="str">
        <x:v>Pass</x:v>
      </x:c>
      <x:c r="AC1349" t="str"/>
      <x:c r="AD1349" t="str"/>
    </x:row>
    <x:row r="1350">
      <x:c r="A1350" t="str">
        <x:v>REC1349</x:v>
      </x:c>
      <x:c r="B1350" t="n">
        <x:v>1348</x:v>
      </x:c>
      <x:c r="C1350" t="str">
        <x:v>St. Thomas, USVI</x:v>
      </x:c>
      <x:c r="D1350" t="str">
        <x:v>GV</x:v>
      </x:c>
      <x:c r="E1350" t="str">
        <x:v>Ground Validation</x:v>
      </x:c>
      <x:c r="F1350" t="str">
        <x:v>HD Seaviewer Drop Camera</x:v>
      </x:c>
      <x:c r="G1350" t="str">
        <x:v>GV2016_745</x:v>
      </x:c>
      <x:c r="H1350" s="28" t="n">
        <x:v>42610</x:v>
      </x:c>
      <x:c r="I1350" t="str">
        <x:v>11:18:09</x:v>
      </x:c>
      <x:c r="J1350" t="n">
        <x:v>2016</x:v>
      </x:c>
      <x:c r="K1350" t="n">
        <x:v>18.19638404</x:v>
      </x:c>
      <x:c r="L1350" t="n">
        <x:v>-64.89433703</x:v>
      </x:c>
      <x:c r="M1350" t="n">
        <x:v>49.695</x:v>
      </x:c>
      <x:c r="N1350" t="str">
        <x:v>https://nccospublicstor.blob.core.windows.net/biomapper/usviinsularshelf2017/videos/low/GV2016_745.mp4</x:v>
      </x:c>
      <x:c r="O1350" t="n">
        <x:v>0</x:v>
      </x:c>
      <x:c r="P1350" t="n">
        <x:v>1</x:v>
      </x:c>
      <x:c r="Q1350" t="n">
        <x:v>0</x:v>
      </x:c>
      <x:c r="R1350" t="n">
        <x:v>0</x:v>
      </x:c>
      <x:c r="S1350" t="n">
        <x:v>1</x:v>
      </x:c>
      <x:c r="T1350" t="n">
        <x:v>0</x:v>
      </x:c>
      <x:c r="U1350" t="n">
        <x:v>1</x:v>
      </x:c>
      <x:c r="V1350" t="n">
        <x:v>1</x:v>
      </x:c>
      <x:c r="W1350" t="n">
        <x:v>0</x:v>
      </x:c>
      <x:c r="X1350" t="n">
        <x:v>0</x:v>
      </x:c>
      <x:c r="Y1350" t="n">
        <x:v>0</x:v>
      </x:c>
      <x:c r="Z1350" t="n">
        <x:v>1</x:v>
      </x:c>
      <x:c r="AA1350" t="n">
        <x:v>3</x:v>
      </x:c>
      <x:c r="AB1350" t="str">
        <x:v>Pass</x:v>
      </x:c>
      <x:c r="AC1350" t="str"/>
      <x:c r="AD1350" t="str"/>
    </x:row>
    <x:row r="1351">
      <x:c r="A1351" t="str">
        <x:v>REC1350</x:v>
      </x:c>
      <x:c r="B1351" t="n">
        <x:v>1349</x:v>
      </x:c>
      <x:c r="C1351" t="str">
        <x:v>St. John, USVI</x:v>
      </x:c>
      <x:c r="D1351" t="str">
        <x:v>GV</x:v>
      </x:c>
      <x:c r="E1351" t="str">
        <x:v>Ground Validation</x:v>
      </x:c>
      <x:c r="F1351" t="str">
        <x:v>HD Seaviewer Drop Camera</x:v>
      </x:c>
      <x:c r="G1351" t="str">
        <x:v>GV2016_747</x:v>
      </x:c>
      <x:c r="H1351" s="28" t="n">
        <x:v>42626</x:v>
      </x:c>
      <x:c r="I1351" t="str">
        <x:v>09:44:31</x:v>
      </x:c>
      <x:c r="J1351" t="n">
        <x:v>2016</x:v>
      </x:c>
      <x:c r="K1351" t="n">
        <x:v>18.260682</x:v>
      </x:c>
      <x:c r="L1351" t="n">
        <x:v>-64.79067744</x:v>
      </x:c>
      <x:c r="M1351" t="n">
        <x:v>40.123</x:v>
      </x:c>
      <x:c r="N1351" t="str">
        <x:v>https://nccospublicstor.blob.core.windows.net/biomapper/usviinsularshelf2017/videos/low/GV2016_747.mp4</x:v>
      </x:c>
      <x:c r="O1351" t="n">
        <x:v>0</x:v>
      </x:c>
      <x:c r="P1351" t="n">
        <x:v>0</x:v>
      </x:c>
      <x:c r="Q1351" t="n">
        <x:v>1</x:v>
      </x:c>
      <x:c r="R1351" t="n">
        <x:v>0</x:v>
      </x:c>
      <x:c r="S1351" t="n">
        <x:v>1</x:v>
      </x:c>
      <x:c r="T1351" t="n">
        <x:v>0</x:v>
      </x:c>
      <x:c r="U1351" t="n">
        <x:v>1</x:v>
      </x:c>
      <x:c r="V1351" t="n">
        <x:v>1</x:v>
      </x:c>
      <x:c r="W1351" t="n">
        <x:v>0</x:v>
      </x:c>
      <x:c r="X1351" t="n">
        <x:v>0</x:v>
      </x:c>
      <x:c r="Y1351" t="n">
        <x:v>0</x:v>
      </x:c>
      <x:c r="Z1351" t="n">
        <x:v>1</x:v>
      </x:c>
      <x:c r="AA1351" t="n">
        <x:v>3</x:v>
      </x:c>
      <x:c r="AB1351" t="str">
        <x:v>Pass</x:v>
      </x:c>
      <x:c r="AC1351" t="str"/>
      <x:c r="AD1351" t="str"/>
    </x:row>
    <x:row r="1352">
      <x:c r="A1352" t="str">
        <x:v>REC1351</x:v>
      </x:c>
      <x:c r="B1352" t="n">
        <x:v>1350</x:v>
      </x:c>
      <x:c r="C1352" t="str">
        <x:v>St. Thomas, USVI</x:v>
      </x:c>
      <x:c r="D1352" t="str">
        <x:v>GV</x:v>
      </x:c>
      <x:c r="E1352" t="str">
        <x:v>Ground Validation</x:v>
      </x:c>
      <x:c r="F1352" t="str">
        <x:v>HD Seaviewer Drop Camera</x:v>
      </x:c>
      <x:c r="G1352" t="str">
        <x:v>GV2016_748</x:v>
      </x:c>
      <x:c r="H1352" s="28" t="n">
        <x:v>42608</x:v>
      </x:c>
      <x:c r="I1352" t="str">
        <x:v>14:31:18</x:v>
      </x:c>
      <x:c r="J1352" t="n">
        <x:v>2016</x:v>
      </x:c>
      <x:c r="K1352" t="n">
        <x:v>18.21070046</x:v>
      </x:c>
      <x:c r="L1352" t="n">
        <x:v>-65.12793984</x:v>
      </x:c>
      <x:c r="M1352" t="n">
        <x:v>41.131</x:v>
      </x:c>
      <x:c r="N1352" t="str">
        <x:v>https://nccospublicstor.blob.core.windows.net/biomapper/usviinsularshelf2017/videos/low/GV2016_748.mp4</x:v>
      </x:c>
      <x:c r="O1352" t="n">
        <x:v>1</x:v>
      </x:c>
      <x:c r="P1352" t="n">
        <x:v>0</x:v>
      </x:c>
      <x:c r="Q1352" t="n">
        <x:v>1</x:v>
      </x:c>
      <x:c r="R1352" t="n">
        <x:v>1</x:v>
      </x:c>
      <x:c r="S1352" t="n">
        <x:v>1</x:v>
      </x:c>
      <x:c r="T1352" t="n">
        <x:v>0</x:v>
      </x:c>
      <x:c r="U1352" t="n">
        <x:v>1</x:v>
      </x:c>
      <x:c r="V1352" t="n">
        <x:v>1</x:v>
      </x:c>
      <x:c r="W1352" t="n">
        <x:v>0</x:v>
      </x:c>
      <x:c r="X1352" t="n">
        <x:v>0</x:v>
      </x:c>
      <x:c r="Y1352" t="n">
        <x:v>0</x:v>
      </x:c>
      <x:c r="Z1352" t="n">
        <x:v>3</x:v>
      </x:c>
      <x:c r="AA1352" t="n">
        <x:v>3</x:v>
      </x:c>
      <x:c r="AB1352" t="str">
        <x:v>Pass</x:v>
      </x:c>
      <x:c r="AC1352" t="str"/>
      <x:c r="AD1352" t="str"/>
    </x:row>
    <x:row r="1353">
      <x:c r="A1353" t="str">
        <x:v>REC1352</x:v>
      </x:c>
      <x:c r="B1353" t="n">
        <x:v>1351</x:v>
      </x:c>
      <x:c r="C1353" t="str">
        <x:v>St. Thomas, USVI</x:v>
      </x:c>
      <x:c r="D1353" t="str">
        <x:v>GV</x:v>
      </x:c>
      <x:c r="E1353" t="str">
        <x:v>Ground Validation</x:v>
      </x:c>
      <x:c r="F1353" t="str">
        <x:v>HD Seaviewer Drop Camera</x:v>
      </x:c>
      <x:c r="G1353" t="str">
        <x:v>GV2016_749</x:v>
      </x:c>
      <x:c r="H1353" s="28" t="n">
        <x:v>42608</x:v>
      </x:c>
      <x:c r="I1353" t="str">
        <x:v>10:05:52</x:v>
      </x:c>
      <x:c r="J1353" t="n">
        <x:v>2016</x:v>
      </x:c>
      <x:c r="K1353" t="n">
        <x:v>18.19595643</x:v>
      </x:c>
      <x:c r="L1353" t="n">
        <x:v>-64.9699625</x:v>
      </x:c>
      <x:c r="M1353" t="n">
        <x:v>43.685</x:v>
      </x:c>
      <x:c r="N1353" t="str">
        <x:v>https://nccospublicstor.blob.core.windows.net/biomapper/usviinsularshelf2017/videos/low/GV2016_749.mp4</x:v>
      </x:c>
      <x:c r="O1353" t="n">
        <x:v>1</x:v>
      </x:c>
      <x:c r="P1353" t="n">
        <x:v>0</x:v>
      </x:c>
      <x:c r="Q1353" t="n">
        <x:v>0</x:v>
      </x:c>
      <x:c r="R1353" t="n">
        <x:v>0</x:v>
      </x:c>
      <x:c r="S1353" t="n">
        <x:v>1</x:v>
      </x:c>
      <x:c r="T1353" t="n">
        <x:v>0</x:v>
      </x:c>
      <x:c r="U1353" t="n">
        <x:v>1</x:v>
      </x:c>
      <x:c r="V1353" t="n">
        <x:v>1</x:v>
      </x:c>
      <x:c r="W1353" t="n">
        <x:v>0</x:v>
      </x:c>
      <x:c r="X1353" t="n">
        <x:v>0</x:v>
      </x:c>
      <x:c r="Y1353" t="n">
        <x:v>0</x:v>
      </x:c>
      <x:c r="Z1353" t="n">
        <x:v>1</x:v>
      </x:c>
      <x:c r="AA1353" t="n">
        <x:v>3</x:v>
      </x:c>
      <x:c r="AB1353" t="str">
        <x:v>Pass</x:v>
      </x:c>
      <x:c r="AC1353" t="str"/>
      <x:c r="AD1353" t="str"/>
    </x:row>
    <x:row r="1354">
      <x:c r="A1354" t="str">
        <x:v>REC1353</x:v>
      </x:c>
      <x:c r="B1354" t="n">
        <x:v>1352</x:v>
      </x:c>
      <x:c r="C1354" t="str">
        <x:v>St. Thomas, USVI</x:v>
      </x:c>
      <x:c r="D1354" t="str">
        <x:v>GV</x:v>
      </x:c>
      <x:c r="E1354" t="str">
        <x:v>Ground Validation</x:v>
      </x:c>
      <x:c r="F1354" t="str">
        <x:v>HD Seaviewer Drop Camera</x:v>
      </x:c>
      <x:c r="G1354" t="str">
        <x:v>GV2016_750</x:v>
      </x:c>
      <x:c r="H1354" s="28" t="n">
        <x:v>42609</x:v>
      </x:c>
      <x:c r="I1354" t="str">
        <x:v>10:28:25</x:v>
      </x:c>
      <x:c r="J1354" t="n">
        <x:v>2016</x:v>
      </x:c>
      <x:c r="K1354" t="n">
        <x:v>18.24451869</x:v>
      </x:c>
      <x:c r="L1354" t="n">
        <x:v>-65.05513037</x:v>
      </x:c>
      <x:c r="M1354" t="n">
        <x:v>35.833</x:v>
      </x:c>
      <x:c r="N1354" t="str">
        <x:v>https://nccospublicstor.blob.core.windows.net/biomapper/usviinsularshelf2017/videos/low/GV2016_750.mp4</x:v>
      </x:c>
      <x:c r="O1354" t="n">
        <x:v>1</x:v>
      </x:c>
      <x:c r="P1354" t="n">
        <x:v>1</x:v>
      </x:c>
      <x:c r="Q1354" t="n">
        <x:v>0</x:v>
      </x:c>
      <x:c r="R1354" t="n">
        <x:v>1</x:v>
      </x:c>
      <x:c r="S1354" t="n">
        <x:v>1</x:v>
      </x:c>
      <x:c r="T1354" t="n">
        <x:v>0</x:v>
      </x:c>
      <x:c r="U1354" t="n">
        <x:v>1</x:v>
      </x:c>
      <x:c r="V1354" t="n">
        <x:v>1</x:v>
      </x:c>
      <x:c r="W1354" t="n">
        <x:v>0</x:v>
      </x:c>
      <x:c r="X1354" t="n">
        <x:v>0</x:v>
      </x:c>
      <x:c r="Y1354" t="n">
        <x:v>0</x:v>
      </x:c>
      <x:c r="Z1354" t="n">
        <x:v>3</x:v>
      </x:c>
      <x:c r="AA1354" t="n">
        <x:v>3</x:v>
      </x:c>
      <x:c r="AB1354" t="str">
        <x:v>Pass</x:v>
      </x:c>
      <x:c r="AC1354" t="str"/>
      <x:c r="AD1354" t="str"/>
    </x:row>
  </x:sheetData>
  <x:conditionalFormatting sqref="AB2:AB1354">
    <x:cfRule type="expression" dxfId="0" priority="1">
      <x:formula>$AB2="Review"</x:formula>
    </x:cfRule>
    <x:cfRule type="expression" dxfId="1" priority="2">
      <x:formula>$AB2="Pass"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2" hidden="0" customWidth="1"/>
    <x:col min="12" max="12" width="42" hidden="0" customWidth="1"/>
    <x:col min="13" max="13" width="16" hidden="0" customWidth="1"/>
    <x:col min="14" max="14" width="30" hidden="0" customWidth="1"/>
  </x:cols>
  <x:sheetData>
    <x:row r="1">
      <x:c r="A1" s="23" t="str">
        <x:v>record_uid</x:v>
      </x:c>
      <x:c r="B1" s="23" t="str">
        <x:v>site_id</x:v>
      </x:c>
      <x:c r="C1" s="23" t="str">
        <x:v>geographic_region</x:v>
      </x:c>
      <x:c r="D1" s="23" t="str">
        <x:v>site_type_label</x:v>
      </x:c>
      <x:c r="E1" s="23" t="str">
        <x:v>date_collected</x:v>
      </x:c>
      <x:c r="F1" s="23" t="str">
        <x:v>latitude</x:v>
      </x:c>
      <x:c r="G1" s="23" t="str">
        <x:v>longitude</x:v>
      </x:c>
      <x:c r="H1" s="23" t="str">
        <x:v>spatial_difference_m</x:v>
      </x:c>
      <x:c r="I1" s="23" t="str">
        <x:v>unknown</x:v>
      </x:c>
      <x:c r="J1" s="23" t="str">
        <x:v>core_substrate_count</x:v>
      </x:c>
      <x:c r="K1" s="23" t="str">
        <x:v>notes</x:v>
      </x:c>
      <x:c r="L1" s="23" t="str">
        <x:v>qa_reason</x:v>
      </x:c>
      <x:c r="M1" s="23" t="str">
        <x:v>Manual_Review_Status</x:v>
      </x:c>
      <x:c r="N1" s="23" t="str">
        <x:v>Reviewer_Comment</x:v>
      </x:c>
    </x:row>
    <x:row r="2">
      <x:c r="A2" s="18" t="str">
        <x:v>REC0142</x:v>
      </x:c>
      <x:c r="B2" s="18" t="str">
        <x:v>AA2017_149</x:v>
      </x:c>
      <x:c r="C2" s="18" t="str">
        <x:v>St. Thomas, USVI</x:v>
      </x:c>
      <x:c r="D2" s="18" t="str">
        <x:v>Accuracy Assessment</x:v>
      </x:c>
      <x:c r="E2" s="18" t="n">
        <x:v>42765</x:v>
      </x:c>
      <x:c r="F2" s="18" t="n">
        <x:v>18.21115954</x:v>
      </x:c>
      <x:c r="G2" s="18" t="n">
        <x:v>-65.02309774</x:v>
      </x:c>
      <x:c r="H2" s="18" t="n">
        <x:v>25.271</x:v>
      </x:c>
      <x:c r="I2" s="18" t="str">
        <x:v>Absent</x:v>
      </x:c>
      <x:c r="J2" s="18" t="n">
        <x:v>1</x:v>
      </x:c>
      <x:c r="K2" s="18" t="str">
        <x:v>This site is duplicated because starts out as sand and rhodo then transitions to pavement and then agg reef</x:v>
      </x:c>
      <x:c r="L2" s="18" t="str">
        <x:v>Duplicate SITE ID (source-documented for AA2017_149); index/FID mismatch; Projected coordinates inconsistent with latitude/longitude (&gt;5 m)</x:v>
      </x:c>
      <x:c r="M2" s="18" t="str">
        <x:v>Pending</x:v>
      </x:c>
      <x:c r="N2" s="18" t="str"/>
    </x:row>
    <x:row r="3">
      <x:c r="A3" s="18" t="str">
        <x:v>REC0143</x:v>
      </x:c>
      <x:c r="B3" s="18" t="str">
        <x:v>AA2017_149</x:v>
      </x:c>
      <x:c r="C3" s="18" t="str">
        <x:v>St. Thomas, USVI</x:v>
      </x:c>
      <x:c r="D3" s="18" t="str">
        <x:v>Accuracy Assessment</x:v>
      </x:c>
      <x:c r="E3" s="18" t="n">
        <x:v>42765</x:v>
      </x:c>
      <x:c r="F3" s="18" t="n">
        <x:v>18.21137455</x:v>
      </x:c>
      <x:c r="G3" s="18" t="n">
        <x:v>-65.02308038</x:v>
      </x:c>
      <x:c r="H3" s="18" t="n">
        <x:v>25.271</x:v>
      </x:c>
      <x:c r="I3" s="18" t="str">
        <x:v>Absent</x:v>
      </x:c>
      <x:c r="J3" s="18" t="n">
        <x:v>2</x:v>
      </x:c>
      <x:c r="K3" s="18" t="str">
        <x:v>This site is duplicated because starts out as sand and rhodo then transitions to pavement and then agg reef</x:v>
      </x:c>
      <x:c r="L3" s="18" t="str">
        <x:v>Duplicate SITE ID (source-documented for AA2017_149); index/FID mismatch; Projected coordinates inconsistent with latitude/longitude (&gt;5 m)</x:v>
      </x:c>
      <x:c r="M3" s="18" t="str">
        <x:v>Pending</x:v>
      </x:c>
      <x:c r="N3" s="18" t="str"/>
    </x:row>
    <x:row r="4">
      <x:c r="A4" s="18" t="str">
        <x:v>REC0633</x:v>
      </x:c>
      <x:c r="B4" s="18" t="str">
        <x:v>GV2011_265</x:v>
      </x:c>
      <x:c r="C4" s="18" t="str">
        <x:v>St. Thomas, USVI</x:v>
      </x:c>
      <x:c r="D4" s="18" t="str">
        <x:v>Ground Validation</x:v>
      </x:c>
      <x:c r="E4" s="18" t="n">
        <x:v>40646</x:v>
      </x:c>
      <x:c r="F4" s="18" t="n">
        <x:v>18.24687918</x:v>
      </x:c>
      <x:c r="G4" s="18" t="n">
        <x:v>-64.87795277</x:v>
      </x:c>
      <x:c r="H4" s="18" t="n">
        <x:v>0</x:v>
      </x:c>
      <x:c r="I4" s="18" t="str">
        <x:v>Present</x:v>
      </x:c>
      <x:c r="J4" s="18" t="n">
        <x:v>0</x:v>
      </x:c>
      <x:c r="K4" s="18" t="str">
        <x:v>camera never reached the bottom</x:v>
      </x:c>
      <x:c r="L4" s="18" t="str">
        <x:v>UNKNOWN class present; No core substrate class marked Present; Source note indicates unusable/missing underwater video</x:v>
      </x:c>
      <x:c r="M4" s="18" t="str">
        <x:v>Pending</x:v>
      </x:c>
      <x:c r="N4" s="18" t="str"/>
    </x:row>
    <x:row r="5">
      <x:c r="A5" s="18" t="str">
        <x:v>REC0640</x:v>
      </x:c>
      <x:c r="B5" s="18" t="str">
        <x:v>GV2011_273</x:v>
      </x:c>
      <x:c r="C5" s="18" t="str">
        <x:v>St. Thomas, USVI</x:v>
      </x:c>
      <x:c r="D5" s="18" t="str">
        <x:v>Ground Validation</x:v>
      </x:c>
      <x:c r="E5" s="18" t="n">
        <x:v>40646</x:v>
      </x:c>
      <x:c r="F5" s="18" t="n">
        <x:v>18.23935227</x:v>
      </x:c>
      <x:c r="G5" s="18" t="n">
        <x:v>-64.91226781</x:v>
      </x:c>
      <x:c r="H5" s="18" t="n">
        <x:v>0</x:v>
      </x:c>
      <x:c r="I5" s="18" t="str">
        <x:v>Present</x:v>
      </x:c>
      <x:c r="J5" s="18" t="n">
        <x:v>0</x:v>
      </x:c>
      <x:c r="K5" s="18" t="str">
        <x:v>No Underwater Video</x:v>
      </x:c>
      <x:c r="L5" s="18" t="str">
        <x:v>UNKNOWN class present; No core substrate class marked Present; Source note indicates unusable/missing underwater video</x:v>
      </x:c>
      <x:c r="M5" s="18" t="str">
        <x:v>Pending</x:v>
      </x:c>
      <x:c r="N5" s="18" t="str"/>
    </x:row>
    <x:row r="6">
      <x:c r="A6" s="18" t="str">
        <x:v>REC0659</x:v>
      </x:c>
      <x:c r="B6" s="18" t="str">
        <x:v>GV2011_308</x:v>
      </x:c>
      <x:c r="C6" s="18" t="str">
        <x:v>St. Thomas, USVI</x:v>
      </x:c>
      <x:c r="D6" s="18" t="str">
        <x:v>Ground Validation</x:v>
      </x:c>
      <x:c r="E6" s="18" t="n">
        <x:v>40646</x:v>
      </x:c>
      <x:c r="F6" s="18" t="n">
        <x:v>18.23263273</x:v>
      </x:c>
      <x:c r="G6" s="18" t="n">
        <x:v>-64.89917096</x:v>
      </x:c>
      <x:c r="H6" s="18" t="n">
        <x:v>0</x:v>
      </x:c>
      <x:c r="I6" s="18" t="str">
        <x:v>Absent</x:v>
      </x:c>
      <x:c r="J6" s="18" t="n">
        <x:v>0</x:v>
      </x:c>
      <x:c r="K6" s="18" t="str">
        <x:v>Site 308 and 269 combined into one video, using orignal annotation from site 269</x:v>
      </x:c>
      <x:c r="L6" s="18" t="str">
        <x:v>No core substrate class marked Present</x:v>
      </x:c>
      <x:c r="M6" s="18" t="str">
        <x:v>Pending</x:v>
      </x:c>
      <x:c r="N6" s="18" t="str"/>
    </x:row>
    <x:row r="7">
      <x:c r="A7" s="18" t="str">
        <x:v>REC0940</x:v>
      </x:c>
      <x:c r="B7" s="18" t="str">
        <x:v>GV2016_303</x:v>
      </x:c>
      <x:c r="C7" s="18" t="str">
        <x:v>St. John, USVI</x:v>
      </x:c>
      <x:c r="D7" s="18" t="str">
        <x:v>Ground Validation</x:v>
      </x:c>
      <x:c r="E7" s="18" t="n">
        <x:v>42624</x:v>
      </x:c>
      <x:c r="F7" s="18" t="n">
        <x:v>18.28792746</x:v>
      </x:c>
      <x:c r="G7" s="18" t="n">
        <x:v>-64.6696765</x:v>
      </x:c>
      <x:c r="H7" s="18" t="n">
        <x:v>0</x:v>
      </x:c>
      <x:c r="I7" s="18" t="str">
        <x:v>Present</x:v>
      </x:c>
      <x:c r="J7" s="18" t="n">
        <x:v>1</x:v>
      </x:c>
      <x:c r="K7" s="18" t="str"/>
      <x:c r="L7" s="18" t="str">
        <x:v>UNKNOWN class present</x:v>
      </x:c>
      <x:c r="M7" s="18" t="str">
        <x:v>Pending</x:v>
      </x:c>
      <x:c r="N7" s="18" t="str"/>
    </x:row>
  </x:sheetData>
  <x:dataValidations count="1">
    <x:dataValidation type="list" sqref="M2:M7">
      <x:formula1>"Pending,Confirmed,Corrected,Not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  <x:col min="8" max="8" width="42" hidden="0" customWidth="1"/>
    <x:col min="9" max="9" width="18" hidden="0" customWidth="1"/>
  </x:cols>
  <x:sheetData>
    <x:row r="1">
      <x:c r="A1" s="23" t="str">
        <x:v>record_uid</x:v>
      </x:c>
      <x:c r="B1" s="23" t="str">
        <x:v>source_row</x:v>
      </x:c>
      <x:c r="C1" s="23" t="str">
        <x:v>site_id</x:v>
      </x:c>
      <x:c r="D1" s="23" t="str">
        <x:v>issue_type</x:v>
      </x:c>
      <x:c r="E1" s="23" t="str">
        <x:v>severity</x:v>
      </x:c>
      <x:c r="F1" s="23" t="str">
        <x:v>original_value</x:v>
      </x:c>
      <x:c r="G1" s="23" t="str">
        <x:v>proposed_action</x:v>
      </x:c>
      <x:c r="H1" s="23" t="str">
        <x:v>rationale</x:v>
      </x:c>
      <x:c r="I1" s="23" t="str">
        <x:v>review_status</x:v>
      </x:c>
    </x:row>
    <x:row r="2">
      <x:c r="A2" s="18" t="str">
        <x:v>REC0142</x:v>
      </x:c>
      <x:c r="B2" s="18" t="str">
        <x:v>143</x:v>
      </x:c>
      <x:c r="C2" s="18" t="str">
        <x:v>AA2017_149</x:v>
      </x:c>
      <x:c r="D2" s="18" t="str">
        <x:v>SITE_ID_DUPLICATE_DOCUMENTED</x:v>
      </x:c>
      <x:c r="E2" s="18" t="str">
        <x:v>Review</x:v>
      </x:c>
      <x:c r="F2" s="18" t="str">
        <x:v>AA2017_149</x:v>
      </x:c>
      <x:c r="G2" s="18" t="str">
        <x:v>Retain both records; do not deduplicate automatically</x:v>
      </x:c>
      <x:c r="H2" s="18" t="str">
        <x:v>The source NOTES state that AA2017_149 is duplicated because the video transitions across different habitats.</x:v>
      </x:c>
      <x:c r="I2" s="18" t="str">
        <x:v>Pending</x:v>
      </x:c>
    </x:row>
    <x:row r="3">
      <x:c r="A3" s="18" t="str">
        <x:v>REC0142</x:v>
      </x:c>
      <x:c r="B3" s="18" t="str">
        <x:v>143</x:v>
      </x:c>
      <x:c r="C3" s="18" t="str">
        <x:v>AA2017_149</x:v>
      </x:c>
      <x:c r="D3" s="18" t="str">
        <x:v>INDEX_FID_MISMATCH</x:v>
      </x:c>
      <x:c r="E3" s="18" t="str">
        <x:v>Review</x:v>
      </x:c>
      <x:c r="F3" s="18" t="str">
        <x:v>index=141; FID=142</x:v>
      </x:c>
      <x:c r="G3" s="18" t="str">
        <x:v>Retain source values; verify against authoritative GIS source if operational use is intended</x:v>
      </x:c>
      <x:c r="H3" s="18" t="str">
        <x:v>Only the two AA2017_149 records have source index and FID swapped.</x:v>
      </x:c>
      <x:c r="I3" s="18" t="str">
        <x:v>Pending</x:v>
      </x:c>
    </x:row>
    <x:row r="4">
      <x:c r="A4" s="18" t="str">
        <x:v>REC0142</x:v>
      </x:c>
      <x:c r="B4" s="18" t="str">
        <x:v>143</x:v>
      </x:c>
      <x:c r="C4" s="18" t="str">
        <x:v>AA2017_149</x:v>
      </x:c>
      <x:c r="D4" s="18" t="str">
        <x:v>PROJECTED_COORDINATE_MISMATCH</x:v>
      </x:c>
      <x:c r="E4" s="18" t="str">
        <x:v>Review</x:v>
      </x:c>
      <x:c r="F4" s="18" t="str">
        <x:v>E=-7238336.198; N=2062304.46; difference=25.27 m</x:v>
      </x:c>
      <x:c r="G4" s="18" t="str">
        <x:v>Use WGS84 lat/lon as authoritative point for mapping; expected EPSG:3857 E=-7238338.130, N=2062279.263</x:v>
      </x:c>
      <x:c r="H4" s="18" t="str">
        <x:v>EPSG:3857 coordinates recomputed from source longitude/latitude differ by &gt;5 m. Both affected records are AA2017_149 and appear cross-swapped.</x:v>
      </x:c>
      <x:c r="I4" s="18" t="str">
        <x:v>Pending</x:v>
      </x:c>
    </x:row>
    <x:row r="5">
      <x:c r="A5" s="18" t="str">
        <x:v>REC0143</x:v>
      </x:c>
      <x:c r="B5" s="18" t="str">
        <x:v>144</x:v>
      </x:c>
      <x:c r="C5" s="18" t="str">
        <x:v>AA2017_149</x:v>
      </x:c>
      <x:c r="D5" s="18" t="str">
        <x:v>SITE_ID_DUPLICATE_DOCUMENTED</x:v>
      </x:c>
      <x:c r="E5" s="18" t="str">
        <x:v>Review</x:v>
      </x:c>
      <x:c r="F5" s="18" t="str">
        <x:v>AA2017_149</x:v>
      </x:c>
      <x:c r="G5" s="18" t="str">
        <x:v>Retain both records; do not deduplicate automatically</x:v>
      </x:c>
      <x:c r="H5" s="18" t="str">
        <x:v>The source NOTES state that AA2017_149 is duplicated because the video transitions across different habitats.</x:v>
      </x:c>
      <x:c r="I5" s="18" t="str">
        <x:v>Pending</x:v>
      </x:c>
    </x:row>
    <x:row r="6">
      <x:c r="A6" s="18" t="str">
        <x:v>REC0143</x:v>
      </x:c>
      <x:c r="B6" s="18" t="str">
        <x:v>144</x:v>
      </x:c>
      <x:c r="C6" s="18" t="str">
        <x:v>AA2017_149</x:v>
      </x:c>
      <x:c r="D6" s="18" t="str">
        <x:v>INDEX_FID_MISMATCH</x:v>
      </x:c>
      <x:c r="E6" s="18" t="str">
        <x:v>Review</x:v>
      </x:c>
      <x:c r="F6" s="18" t="str">
        <x:v>index=142; FID=141</x:v>
      </x:c>
      <x:c r="G6" s="18" t="str">
        <x:v>Retain source values; verify against authoritative GIS source if operational use is intended</x:v>
      </x:c>
      <x:c r="H6" s="18" t="str">
        <x:v>Only the two AA2017_149 records have source index and FID swapped.</x:v>
      </x:c>
      <x:c r="I6" s="18" t="str">
        <x:v>Pending</x:v>
      </x:c>
    </x:row>
    <x:row r="7">
      <x:c r="A7" s="18" t="str">
        <x:v>REC0143</x:v>
      </x:c>
      <x:c r="B7" s="18" t="str">
        <x:v>144</x:v>
      </x:c>
      <x:c r="C7" s="18" t="str">
        <x:v>AA2017_149</x:v>
      </x:c>
      <x:c r="D7" s="18" t="str">
        <x:v>PROJECTED_COORDINATE_MISMATCH</x:v>
      </x:c>
      <x:c r="E7" s="18" t="str">
        <x:v>Review</x:v>
      </x:c>
      <x:c r="F7" s="18" t="str">
        <x:v>E=-7238338.13; N=2062279.263; difference=25.27 m</x:v>
      </x:c>
      <x:c r="G7" s="18" t="str">
        <x:v>Use WGS84 lat/lon as authoritative point for mapping; expected EPSG:3857 E=-7238336.198, N=2062304.460</x:v>
      </x:c>
      <x:c r="H7" s="18" t="str">
        <x:v>EPSG:3857 coordinates recomputed from source longitude/latitude differ by &gt;5 m. Both affected records are AA2017_149 and appear cross-swapped.</x:v>
      </x:c>
      <x:c r="I7" s="18" t="str">
        <x:v>Pending</x:v>
      </x:c>
    </x:row>
    <x:row r="8">
      <x:c r="A8" s="18" t="str">
        <x:v>REC0633</x:v>
      </x:c>
      <x:c r="B8" s="18" t="str">
        <x:v>634</x:v>
      </x:c>
      <x:c r="C8" s="18" t="str">
        <x:v>GV2011_265</x:v>
      </x:c>
      <x:c r="D8" s="18" t="str">
        <x:v>UNKNOWN_CLASS_PRESENT</x:v>
      </x:c>
      <x:c r="E8" s="18" t="str">
        <x:v>Review</x:v>
      </x:c>
      <x:c r="F8" s="18" t="str">
        <x:v>UNKNOWN=Present</x:v>
      </x:c>
      <x:c r="G8" s="18" t="str">
        <x:v>Review the linked video/metadata before assigning a definitive class</x:v>
      </x:c>
      <x:c r="H8" s="18" t="str">
        <x:v>Source notes: camera never reached the bottom</x:v>
      </x:c>
      <x:c r="I8" s="18" t="str">
        <x:v>Pending</x:v>
      </x:c>
    </x:row>
    <x:row r="9">
      <x:c r="A9" s="18" t="str">
        <x:v>REC0633</x:v>
      </x:c>
      <x:c r="B9" s="18" t="str">
        <x:v>634</x:v>
      </x:c>
      <x:c r="C9" s="18" t="str">
        <x:v>GV2011_265</x:v>
      </x:c>
      <x:c r="D9" s="18" t="str">
        <x:v>NO_CORE_SUBSTRATE_PRESENT</x:v>
      </x:c>
      <x:c r="E9" s="18" t="str">
        <x:v>Review</x:v>
      </x:c>
      <x:c r="F9" s="18" t="str">
        <x:v>CORAL REEF/PAVEMENT/RHODOLITH/SAND all Absent</x:v>
      </x:c>
      <x:c r="G9" s="18" t="str">
        <x:v>Review source video/notes; do not invent a substrate class</x:v>
      </x:c>
      <x:c r="H9" s="18" t="str">
        <x:v>Source notes: camera never reached the bottom</x:v>
      </x:c>
      <x:c r="I9" s="18" t="str">
        <x:v>Pending</x:v>
      </x:c>
    </x:row>
    <x:row r="10">
      <x:c r="A10" s="18" t="str">
        <x:v>REC0633</x:v>
      </x:c>
      <x:c r="B10" s="18" t="str">
        <x:v>634</x:v>
      </x:c>
      <x:c r="C10" s="18" t="str">
        <x:v>GV2011_265</x:v>
      </x:c>
      <x:c r="D10" s="18" t="str">
        <x:v>VIDEO_USABILITY_NOTE</x:v>
      </x:c>
      <x:c r="E10" s="18" t="str">
        <x:v>Review</x:v>
      </x:c>
      <x:c r="F10" s="18" t="str">
        <x:v>camera never reached the bottom</x:v>
      </x:c>
      <x:c r="G10" s="18" t="str">
        <x:v>Treat habitat interpretation as requiring expert/source review</x:v>
      </x:c>
      <x:c r="H10" s="18" t="str">
        <x:v>The source note explicitly states that the camera did not reach bottom or that no underwater video exists.</x:v>
      </x:c>
      <x:c r="I10" s="18" t="str">
        <x:v>Pending</x:v>
      </x:c>
    </x:row>
    <x:row r="11">
      <x:c r="A11" s="18" t="str">
        <x:v>REC0640</x:v>
      </x:c>
      <x:c r="B11" s="18" t="str">
        <x:v>641</x:v>
      </x:c>
      <x:c r="C11" s="18" t="str">
        <x:v>GV2011_273</x:v>
      </x:c>
      <x:c r="D11" s="18" t="str">
        <x:v>UNKNOWN_CLASS_PRESENT</x:v>
      </x:c>
      <x:c r="E11" s="18" t="str">
        <x:v>Review</x:v>
      </x:c>
      <x:c r="F11" s="18" t="str">
        <x:v>UNKNOWN=Present</x:v>
      </x:c>
      <x:c r="G11" s="18" t="str">
        <x:v>Review the linked video/metadata before assigning a definitive class</x:v>
      </x:c>
      <x:c r="H11" s="18" t="str">
        <x:v>Source notes: No Underwater Video</x:v>
      </x:c>
      <x:c r="I11" s="18" t="str">
        <x:v>Pending</x:v>
      </x:c>
    </x:row>
    <x:row r="12">
      <x:c r="A12" s="18" t="str">
        <x:v>REC0640</x:v>
      </x:c>
      <x:c r="B12" s="18" t="str">
        <x:v>641</x:v>
      </x:c>
      <x:c r="C12" s="18" t="str">
        <x:v>GV2011_273</x:v>
      </x:c>
      <x:c r="D12" s="18" t="str">
        <x:v>NO_CORE_SUBSTRATE_PRESENT</x:v>
      </x:c>
      <x:c r="E12" s="18" t="str">
        <x:v>Review</x:v>
      </x:c>
      <x:c r="F12" s="18" t="str">
        <x:v>CORAL REEF/PAVEMENT/RHODOLITH/SAND all Absent</x:v>
      </x:c>
      <x:c r="G12" s="18" t="str">
        <x:v>Review source video/notes; do not invent a substrate class</x:v>
      </x:c>
      <x:c r="H12" s="18" t="str">
        <x:v>Source notes: No Underwater Video</x:v>
      </x:c>
      <x:c r="I12" s="18" t="str">
        <x:v>Pending</x:v>
      </x:c>
    </x:row>
    <x:row r="13">
      <x:c r="A13" s="18" t="str">
        <x:v>REC0640</x:v>
      </x:c>
      <x:c r="B13" s="18" t="str">
        <x:v>641</x:v>
      </x:c>
      <x:c r="C13" s="18" t="str">
        <x:v>GV2011_273</x:v>
      </x:c>
      <x:c r="D13" s="18" t="str">
        <x:v>VIDEO_USABILITY_NOTE</x:v>
      </x:c>
      <x:c r="E13" s="18" t="str">
        <x:v>Review</x:v>
      </x:c>
      <x:c r="F13" s="18" t="str">
        <x:v>No Underwater Video</x:v>
      </x:c>
      <x:c r="G13" s="18" t="str">
        <x:v>Treat habitat interpretation as requiring expert/source review</x:v>
      </x:c>
      <x:c r="H13" s="18" t="str">
        <x:v>The source note explicitly states that the camera did not reach bottom or that no underwater video exists.</x:v>
      </x:c>
      <x:c r="I13" s="18" t="str">
        <x:v>Pending</x:v>
      </x:c>
    </x:row>
    <x:row r="14">
      <x:c r="A14" s="18" t="str">
        <x:v>REC0659</x:v>
      </x:c>
      <x:c r="B14" s="18" t="str">
        <x:v>660</x:v>
      </x:c>
      <x:c r="C14" s="18" t="str">
        <x:v>GV2011_308</x:v>
      </x:c>
      <x:c r="D14" s="18" t="str">
        <x:v>NO_CORE_SUBSTRATE_PRESENT</x:v>
      </x:c>
      <x:c r="E14" s="18" t="str">
        <x:v>Review</x:v>
      </x:c>
      <x:c r="F14" s="18" t="str">
        <x:v>CORAL REEF/PAVEMENT/RHODOLITH/SAND all Absent</x:v>
      </x:c>
      <x:c r="G14" s="18" t="str">
        <x:v>Review source video/notes; do not invent a substrate class</x:v>
      </x:c>
      <x:c r="H14" s="18" t="str">
        <x:v>Source notes: Site 308 and 269 combined into one video, using orignal annotation from site 269</x:v>
      </x:c>
      <x:c r="I14" s="18" t="str">
        <x:v>Pending</x:v>
      </x:c>
    </x:row>
    <x:row r="15">
      <x:c r="A15" s="18" t="str">
        <x:v>REC0940</x:v>
      </x:c>
      <x:c r="B15" s="18" t="str">
        <x:v>941</x:v>
      </x:c>
      <x:c r="C15" s="18" t="str">
        <x:v>GV2016_303</x:v>
      </x:c>
      <x:c r="D15" s="18" t="str">
        <x:v>UNKNOWN_CLASS_PRESENT</x:v>
      </x:c>
      <x:c r="E15" s="18" t="str">
        <x:v>Review</x:v>
      </x:c>
      <x:c r="F15" s="18" t="str">
        <x:v>UNKNOWN=Present</x:v>
      </x:c>
      <x:c r="G15" s="18" t="str">
        <x:v>Review the linked video/metadata before assigning a definitive class</x:v>
      </x:c>
      <x:c r="H15" s="18" t="str">
        <x:v>Source notes: [none]</x:v>
      </x:c>
      <x:c r="I15" s="18" t="str">
        <x:v>Pending</x:v>
      </x:c>
    </x:row>
  </x:sheetData>
  <x:dataValidations count="1">
    <x:dataValidation type="list" sqref="I2:I15">
      <x:formula1>"Pending,Confirmed,Corrected,Not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55" hidden="0" customWidth="1"/>
    <x:col min="5" max="5" width="45" hidden="0" customWidth="1"/>
    <x:col min="6" max="6" width="48" hidden="0" customWidth="1"/>
  </x:cols>
  <x:sheetData>
    <x:row r="1">
      <x:c r="A1" s="23" t="str">
        <x:v>field_name</x:v>
      </x:c>
      <x:c r="B1" s="23" t="str">
        <x:v>source_or_derived</x:v>
      </x:c>
      <x:c r="C1" s="23" t="str">
        <x:v>data_type</x:v>
      </x:c>
      <x:c r="D1" s="23" t="str">
        <x:v>definition</x:v>
      </x:c>
      <x:c r="E1" s="23" t="str">
        <x:v>validation_or_domain</x:v>
      </x:c>
      <x:c r="F1" s="23" t="str">
        <x:v>notes</x:v>
      </x:c>
    </x:row>
    <x:row r="2">
      <x:c r="A2" s="18" t="str">
        <x:v>record_uid</x:v>
      </x:c>
      <x:c r="B2" s="18" t="str">
        <x:v>Derived</x:v>
      </x:c>
      <x:c r="C2" s="18" t="str">
        <x:v>Text</x:v>
      </x:c>
      <x:c r="D2" s="18" t="str">
        <x:v>Unique portfolio record identifier generated from the source index.</x:v>
      </x:c>
      <x:c r="E2" s="18" t="str">
        <x:v>REC####</x:v>
      </x:c>
      <x:c r="F2" s="18" t="str">
        <x:v>Used because SITE ID is intentionally duplicated once.</x:v>
      </x:c>
    </x:row>
    <x:row r="3">
      <x:c r="A3" s="18" t="str">
        <x:v>source_index</x:v>
      </x:c>
      <x:c r="B3" s="18" t="str">
        <x:v>Source (index)</x:v>
      </x:c>
      <x:c r="C3" s="18" t="str">
        <x:v>Integer</x:v>
      </x:c>
      <x:c r="D3" s="18" t="str">
        <x:v>Original zero-based row index from the downloaded CSV.</x:v>
      </x:c>
      <x:c r="E3" s="18" t="str">
        <x:v>0-1352</x:v>
      </x:c>
      <x:c r="F3" s="18" t="str">
        <x:v>Preserved unchanged.</x:v>
      </x:c>
    </x:row>
    <x:row r="4">
      <x:c r="A4" s="18" t="str">
        <x:v>fid</x:v>
      </x:c>
      <x:c r="B4" s="18" t="str">
        <x:v>Source (FID)</x:v>
      </x:c>
      <x:c r="C4" s="18" t="str">
        <x:v>Integer</x:v>
      </x:c>
      <x:c r="D4" s="18" t="str">
        <x:v>Source feature identifier.</x:v>
      </x:c>
      <x:c r="E4" s="18" t="str">
        <x:v>0-1352</x:v>
      </x:c>
      <x:c r="F4" s="18" t="str">
        <x:v>Two AA2017_149 rows have FID values swapped relative to source index.</x:v>
      </x:c>
    </x:row>
    <x:row r="5">
      <x:c r="A5" s="18" t="str">
        <x:v>project</x:v>
      </x:c>
      <x:c r="B5" s="18" t="str">
        <x:v>Source (PROJECT)</x:v>
      </x:c>
      <x:c r="C5" s="18" t="str">
        <x:v>Text</x:v>
      </x:c>
      <x:c r="D5" s="18" t="str">
        <x:v>NOAA project name associated with the record.</x:v>
      </x:c>
      <x:c r="E5" s="18" t="str">
        <x:v>Single project value</x:v>
      </x:c>
      <x:c r="F5" s="18" t="str"/>
    </x:row>
    <x:row r="6">
      <x:c r="A6" s="18" t="str">
        <x:v>geographic_region</x:v>
      </x:c>
      <x:c r="B6" s="18" t="str">
        <x:v>Source (GEOGRAPHIC REGION)</x:v>
      </x:c>
      <x:c r="C6" s="18" t="str">
        <x:v>Categorical text</x:v>
      </x:c>
      <x:c r="D6" s="18" t="str">
        <x:v>Geographic region assigned by the source dataset.</x:v>
      </x:c>
      <x:c r="E6" s="18" t="str">
        <x:v>Puerto Rico; St. Thomas, USVI; St. John, USVI</x:v>
      </x:c>
      <x:c r="F6" s="18" t="str"/>
    </x:row>
    <x:row r="7">
      <x:c r="A7" s="18" t="str">
        <x:v>site_type</x:v>
      </x:c>
      <x:c r="B7" s="18" t="str">
        <x:v>Source (SITE TYPE)</x:v>
      </x:c>
      <x:c r="C7" s="18" t="str">
        <x:v>Categorical text</x:v>
      </x:c>
      <x:c r="D7" s="18" t="str">
        <x:v>Survey site type code.</x:v>
      </x:c>
      <x:c r="E7" s="18" t="str">
        <x:v>GV; AA</x:v>
      </x:c>
      <x:c r="F7" s="18" t="str">
        <x:v>GV = Ground Validation; AA = Accuracy Assessment, consistent with NOAA metadata.</x:v>
      </x:c>
    </x:row>
    <x:row r="8">
      <x:c r="A8" s="18" t="str">
        <x:v>site_type_label</x:v>
      </x:c>
      <x:c r="B8" s="18" t="str">
        <x:v>Derived</x:v>
      </x:c>
      <x:c r="C8" s="18" t="str">
        <x:v>Categorical text</x:v>
      </x:c>
      <x:c r="D8" s="18" t="str">
        <x:v>Expanded site type description.</x:v>
      </x:c>
      <x:c r="E8" s="18" t="str">
        <x:v>Ground Validation; Accuracy Assessment</x:v>
      </x:c>
      <x:c r="F8" s="18" t="str"/>
    </x:row>
    <x:row r="9">
      <x:c r="A9" s="18" t="str">
        <x:v>assessment_type</x:v>
      </x:c>
      <x:c r="B9" s="18" t="str">
        <x:v>Source (ASSESSMENT TYPE)</x:v>
      </x:c>
      <x:c r="C9" s="18" t="str">
        <x:v>Categorical text</x:v>
      </x:c>
      <x:c r="D9" s="18" t="str">
        <x:v>Underwater camera assessment method.</x:v>
      </x:c>
      <x:c r="E9" s="18" t="str">
        <x:v>HD Seaviewer Drop Camera; Seaviewer Drop Camera</x:v>
      </x:c>
      <x:c r="F9" s="18" t="str"/>
    </x:row>
    <x:row r="10">
      <x:c r="A10" s="18" t="str">
        <x:v>site_id</x:v>
      </x:c>
      <x:c r="B10" s="18" t="str">
        <x:v>Source (SITE ID)</x:v>
      </x:c>
      <x:c r="C10" s="18" t="str">
        <x:v>Text</x:v>
      </x:c>
      <x:c r="D10" s="18" t="str">
        <x:v>Survey site identifier associated with the linked video.</x:v>
      </x:c>
      <x:c r="E10" s="18" t="str">
        <x:v>Source naming pattern</x:v>
      </x:c>
      <x:c r="F10" s="18" t="str">
        <x:v>AA2017_149 occurs twice by design, as documented in NOTES.</x:v>
      </x:c>
    </x:row>
    <x:row r="11">
      <x:c r="A11" s="18" t="str">
        <x:v>date_collected</x:v>
      </x:c>
      <x:c r="B11" s="18" t="str">
        <x:v>Source standardized</x:v>
      </x:c>
      <x:c r="C11" s="18" t="str">
        <x:v>Date</x:v>
      </x:c>
      <x:c r="D11" s="18" t="str">
        <x:v>Collection date reformatted from M/D/YYYY to ISO YYYY-MM-DD.</x:v>
      </x:c>
      <x:c r="E11" s="18" t="str">
        <x:v>2010-03-20 to 2017-02-10</x:v>
      </x:c>
      <x:c r="F11" s="18" t="str">
        <x:v>No source dates were missing or unparsable.</x:v>
      </x:c>
    </x:row>
    <x:row r="12">
      <x:c r="A12" s="18" t="str">
        <x:v>time_collected</x:v>
      </x:c>
      <x:c r="B12" s="18" t="str">
        <x:v>Source standardized</x:v>
      </x:c>
      <x:c r="C12" s="18" t="str">
        <x:v>Time</x:v>
      </x:c>
      <x:c r="D12" s="18" t="str">
        <x:v>Collection time standardized to HH:MM:SS.</x:v>
      </x:c>
      <x:c r="E12" s="18" t="str">
        <x:v>Valid 24-hour time</x:v>
      </x:c>
      <x:c r="F12" s="18" t="str">
        <x:v>No source times were missing or unparsable.</x:v>
      </x:c>
    </x:row>
    <x:row r="13">
      <x:c r="A13" s="18" t="str">
        <x:v>survey_year</x:v>
      </x:c>
      <x:c r="B13" s="18" t="str">
        <x:v>Derived</x:v>
      </x:c>
      <x:c r="C13" s="18" t="str">
        <x:v>Integer</x:v>
      </x:c>
      <x:c r="D13" s="18" t="str">
        <x:v>Year extracted from date_collected.</x:v>
      </x:c>
      <x:c r="E13" s="18" t="str">
        <x:v>2010, 2011, 2016, 2017</x:v>
      </x:c>
      <x:c r="F13" s="18" t="str"/>
    </x:row>
    <x:row r="14">
      <x:c r="A14" s="18" t="str">
        <x:v>survey_month</x:v>
      </x:c>
      <x:c r="B14" s="18" t="str">
        <x:v>Derived</x:v>
      </x:c>
      <x:c r="C14" s="18" t="str">
        <x:v>Integer</x:v>
      </x:c>
      <x:c r="D14" s="18" t="str">
        <x:v>Month extracted from date_collected.</x:v>
      </x:c>
      <x:c r="E14" s="18" t="str">
        <x:v>1-12</x:v>
      </x:c>
      <x:c r="F14" s="18" t="str"/>
    </x:row>
    <x:row r="15">
      <x:c r="A15" s="18" t="str">
        <x:v>latitude</x:v>
      </x:c>
      <x:c r="B15" s="18" t="str">
        <x:v>Source (LATITUDE)</x:v>
      </x:c>
      <x:c r="C15" s="18" t="str">
        <x:v>Decimal degrees</x:v>
      </x:c>
      <x:c r="D15" s="18" t="str">
        <x:v>WGS84 geographic latitude of the survey point.</x:v>
      </x:c>
      <x:c r="E15" s="18" t="str">
        <x:v>-90 to 90; observed 18.12015293 to 18.31072573</x:v>
      </x:c>
      <x:c r="F15" s="18" t="str">
        <x:v>Recommended coordinate field for QGIS geometry.</x:v>
      </x:c>
    </x:row>
    <x:row r="16">
      <x:c r="A16" s="18" t="str">
        <x:v>longitude</x:v>
      </x:c>
      <x:c r="B16" s="18" t="str">
        <x:v>Source (LONGITUDE)</x:v>
      </x:c>
      <x:c r="C16" s="18" t="str">
        <x:v>Decimal degrees</x:v>
      </x:c>
      <x:c r="D16" s="18" t="str">
        <x:v>WGS84 geographic longitude of the survey point.</x:v>
      </x:c>
      <x:c r="E16" s="18" t="str">
        <x:v>-180 to 180; observed -65.26049206 to -64.65844357</x:v>
      </x:c>
      <x:c r="F16" s="18" t="str">
        <x:v>Recommended coordinate field for QGIS geometry.</x:v>
      </x:c>
    </x:row>
    <x:row r="17">
      <x:c r="A17" s="18" t="str">
        <x:v>northing_source</x:v>
      </x:c>
      <x:c r="B17" s="18" t="str">
        <x:v>Source (NORTHING)</x:v>
      </x:c>
      <x:c r="C17" s="18" t="str">
        <x:v>Number</x:v>
      </x:c>
      <x:c r="D17" s="18" t="str">
        <x:v>Projected Y coordinate supplied by the source CSV.</x:v>
      </x:c>
      <x:c r="E17" s="18" t="str">
        <x:v>Numeric</x:v>
      </x:c>
      <x:c r="F17" s="18" t="str">
        <x:v>Values match Web Mercator (EPSG:3857) except the two AA2017_149 duplicate records, where projected coordinates appear cross-swapped.</x:v>
      </x:c>
    </x:row>
    <x:row r="18">
      <x:c r="A18" s="18" t="str">
        <x:v>easting_source</x:v>
      </x:c>
      <x:c r="B18" s="18" t="str">
        <x:v>Source (EASTING)</x:v>
      </x:c>
      <x:c r="C18" s="18" t="str">
        <x:v>Number</x:v>
      </x:c>
      <x:c r="D18" s="18" t="str">
        <x:v>Projected X coordinate supplied by the source CSV.</x:v>
      </x:c>
      <x:c r="E18" s="18" t="str">
        <x:v>Numeric</x:v>
      </x:c>
      <x:c r="F18" s="18" t="str">
        <x:v>Values match Web Mercator (EPSG:3857) except the two AA2017_149 duplicate records, where projected coordinates appear cross-swapped.</x:v>
      </x:c>
    </x:row>
    <x:row r="19">
      <x:c r="A19" s="18" t="str">
        <x:v>expected_northing_epsg3857</x:v>
      </x:c>
      <x:c r="B19" s="18" t="str">
        <x:v>Derived</x:v>
      </x:c>
      <x:c r="C19" s="18" t="str">
        <x:v>Number</x:v>
      </x:c>
      <x:c r="D19" s="18" t="str">
        <x:v>EPSG:3857 northing recomputed from source latitude.</x:v>
      </x:c>
      <x:c r="E19" s="18" t="str">
        <x:v>Meters</x:v>
      </x:c>
      <x:c r="F19" s="18" t="str">
        <x:v>Used only for QA comparison; not a replacement for source data without review.</x:v>
      </x:c>
    </x:row>
    <x:row r="20">
      <x:c r="A20" s="18" t="str">
        <x:v>expected_easting_epsg3857</x:v>
      </x:c>
      <x:c r="B20" s="18" t="str">
        <x:v>Derived</x:v>
      </x:c>
      <x:c r="C20" s="18" t="str">
        <x:v>Number</x:v>
      </x:c>
      <x:c r="D20" s="18" t="str">
        <x:v>EPSG:3857 easting recomputed from source longitude.</x:v>
      </x:c>
      <x:c r="E20" s="18" t="str">
        <x:v>Meters</x:v>
      </x:c>
      <x:c r="F20" s="18" t="str">
        <x:v>Used only for QA comparison.</x:v>
      </x:c>
    </x:row>
    <x:row r="21">
      <x:c r="A21" s="18" t="str">
        <x:v>spatial_difference_m</x:v>
      </x:c>
      <x:c r="B21" s="18" t="str">
        <x:v>Derived</x:v>
      </x:c>
      <x:c r="C21" s="18" t="str">
        <x:v>Number</x:v>
      </x:c>
      <x:c r="D21" s="18" t="str">
        <x:v>Euclidean difference between source projected coordinates and EPSG:3857 coordinates recomputed from latitude/longitude.</x:v>
      </x:c>
      <x:c r="E21" s="18" t="str">
        <x:v>Review when &gt;5 m</x:v>
      </x:c>
      <x:c r="F21" s="18" t="str">
        <x:v>Two AA2017_149 rows exceed 5 m (~25.27 m).</x:v>
      </x:c>
    </x:row>
    <x:row r="22">
      <x:c r="A22" s="18" t="str">
        <x:v>depth_source</x:v>
      </x:c>
      <x:c r="B22" s="18" t="str">
        <x:v>Source (DEPTH)</x:v>
      </x:c>
      <x:c r="C22" s="18" t="str">
        <x:v>Number</x:v>
      </x:c>
      <x:c r="D22" s="18" t="str">
        <x:v>Original source depth value.</x:v>
      </x:c>
      <x:c r="E22" s="18" t="str">
        <x:v>Observed -74.24720001 to -21.31834602</x:v>
      </x:c>
      <x:c r="F22" s="18" t="str">
        <x:v>Source values are negative; preserved unchanged.</x:v>
      </x:c>
    </x:row>
    <x:row r="23">
      <x:c r="A23" s="18" t="str">
        <x:v>depth_m_abs</x:v>
      </x:c>
      <x:c r="B23" s="18" t="str">
        <x:v>Derived</x:v>
      </x:c>
      <x:c r="C23" s="18" t="str">
        <x:v>Number</x:v>
      </x:c>
      <x:c r="D23" s="18" t="str">
        <x:v>Absolute value of source depth, expressed as a positive magnitude for summaries.</x:v>
      </x:c>
      <x:c r="E23" s="18" t="str">
        <x:v>21.318 to 74.247 m</x:v>
      </x:c>
      <x:c r="F23" s="18" t="str">
        <x:v>Derived convenience field; does not overwrite DEPTH.</x:v>
      </x:c>
    </x:row>
    <x:row r="24">
      <x:c r="A24" s="18" t="str">
        <x:v>url_link</x:v>
      </x:c>
      <x:c r="B24" s="18" t="str">
        <x:v>Source (URL LINK)</x:v>
      </x:c>
      <x:c r="C24" s="18" t="str">
        <x:v>URL</x:v>
      </x:c>
      <x:c r="D24" s="18" t="str">
        <x:v>Direct HTTPS link to the site underwater video.</x:v>
      </x:c>
      <x:c r="E24" s="18" t="str">
        <x:v>HTTPS .mp4 URL</x:v>
      </x:c>
      <x:c r="F24" s="18" t="str">
        <x:v>All 1,353 source records contain a valid-looking URL.</x:v>
      </x:c>
    </x:row>
    <x:row r="25">
      <x:c r="A25" s="18" t="str">
        <x:v>coral_reef</x:v>
      </x:c>
      <x:c r="B25" s="18" t="str">
        <x:v>Source (CORAL REEF)</x:v>
      </x:c>
      <x:c r="C25" s="18" t="str">
        <x:v>Categorical text</x:v>
      </x:c>
      <x:c r="D25" s="18" t="str">
        <x:v>Presence/absence indicator for coral reef at the survey site.</x:v>
      </x:c>
      <x:c r="E25" s="18" t="str">
        <x:v>Present; Absent</x:v>
      </x:c>
      <x:c r="F25" s="18" t="str"/>
    </x:row>
    <x:row r="26">
      <x:c r="A26" s="18" t="str">
        <x:v>pavement</x:v>
      </x:c>
      <x:c r="B26" s="18" t="str">
        <x:v>Source (PAVEMENT)</x:v>
      </x:c>
      <x:c r="C26" s="18" t="str">
        <x:v>Categorical text</x:v>
      </x:c>
      <x:c r="D26" s="18" t="str">
        <x:v>Presence/absence indicator for pavement at the survey site.</x:v>
      </x:c>
      <x:c r="E26" s="18" t="str">
        <x:v>Present; Absent</x:v>
      </x:c>
      <x:c r="F26" s="18" t="str"/>
    </x:row>
    <x:row r="27">
      <x:c r="A27" s="18" t="str">
        <x:v>rhodolith</x:v>
      </x:c>
      <x:c r="B27" s="18" t="str">
        <x:v>Source (RHODOLITH)</x:v>
      </x:c>
      <x:c r="C27" s="18" t="str">
        <x:v>Categorical text</x:v>
      </x:c>
      <x:c r="D27" s="18" t="str">
        <x:v>Presence/absence indicator for rhodolith at the survey site.</x:v>
      </x:c>
      <x:c r="E27" s="18" t="str">
        <x:v>Present; Absent</x:v>
      </x:c>
      <x:c r="F27" s="18" t="str"/>
    </x:row>
    <x:row r="28">
      <x:c r="A28" s="18" t="str">
        <x:v>sand</x:v>
      </x:c>
      <x:c r="B28" s="18" t="str">
        <x:v>Source (SAND)</x:v>
      </x:c>
      <x:c r="C28" s="18" t="str">
        <x:v>Categorical text</x:v>
      </x:c>
      <x:c r="D28" s="18" t="str">
        <x:v>Presence/absence indicator for sand at the survey site.</x:v>
      </x:c>
      <x:c r="E28" s="18" t="str">
        <x:v>Present; Absent</x:v>
      </x:c>
      <x:c r="F28" s="18" t="str"/>
    </x:row>
    <x:row r="29">
      <x:c r="A29" s="18" t="str">
        <x:v>hard_coral</x:v>
      </x:c>
      <x:c r="B29" s="18" t="str">
        <x:v>Source (HARD CORAL)</x:v>
      </x:c>
      <x:c r="C29" s="18" t="str">
        <x:v>Categorical text</x:v>
      </x:c>
      <x:c r="D29" s="18" t="str">
        <x:v>Presence/absence indicator for hard coral at the survey site.</x:v>
      </x:c>
      <x:c r="E29" s="18" t="str">
        <x:v>Present; Absent</x:v>
      </x:c>
      <x:c r="F29" s="18" t="str"/>
    </x:row>
    <x:row r="30">
      <x:c r="A30" s="18" t="str">
        <x:v>soft_coral</x:v>
      </x:c>
      <x:c r="B30" s="18" t="str">
        <x:v>Source (SOFT CORAL)</x:v>
      </x:c>
      <x:c r="C30" s="18" t="str">
        <x:v>Categorical text</x:v>
      </x:c>
      <x:c r="D30" s="18" t="str">
        <x:v>Presence/absence indicator for soft coral at the survey site.</x:v>
      </x:c>
      <x:c r="E30" s="18" t="str">
        <x:v>Present; Absent</x:v>
      </x:c>
      <x:c r="F30" s="18" t="str"/>
    </x:row>
    <x:row r="31">
      <x:c r="A31" s="18" t="str">
        <x:v>macroalgae</x:v>
      </x:c>
      <x:c r="B31" s="18" t="str">
        <x:v>Source (MACROALGAE)</x:v>
      </x:c>
      <x:c r="C31" s="18" t="str">
        <x:v>Categorical text</x:v>
      </x:c>
      <x:c r="D31" s="18" t="str">
        <x:v>Presence/absence indicator for macroalgae at the survey site.</x:v>
      </x:c>
      <x:c r="E31" s="18" t="str">
        <x:v>Present; Absent</x:v>
      </x:c>
      <x:c r="F31" s="18" t="str"/>
    </x:row>
    <x:row r="32">
      <x:c r="A32" s="18" t="str">
        <x:v>sponge</x:v>
      </x:c>
      <x:c r="B32" s="18" t="str">
        <x:v>Source (SPONGE)</x:v>
      </x:c>
      <x:c r="C32" s="18" t="str">
        <x:v>Categorical text</x:v>
      </x:c>
      <x:c r="D32" s="18" t="str">
        <x:v>Presence/absence indicator for sponge at the survey site.</x:v>
      </x:c>
      <x:c r="E32" s="18" t="str">
        <x:v>Present; Absent</x:v>
      </x:c>
      <x:c r="F32" s="18" t="str"/>
    </x:row>
    <x:row r="33">
      <x:c r="A33" s="18" t="str">
        <x:v>seagrass</x:v>
      </x:c>
      <x:c r="B33" s="18" t="str">
        <x:v>Source (SEAGRASS)</x:v>
      </x:c>
      <x:c r="C33" s="18" t="str">
        <x:v>Categorical text</x:v>
      </x:c>
      <x:c r="D33" s="18" t="str">
        <x:v>Presence/absence indicator for seagrass at the survey site.</x:v>
      </x:c>
      <x:c r="E33" s="18" t="str">
        <x:v>Present; Absent</x:v>
      </x:c>
      <x:c r="F33" s="18" t="str"/>
    </x:row>
    <x:row r="34">
      <x:c r="A34" s="18" t="str">
        <x:v>artificial</x:v>
      </x:c>
      <x:c r="B34" s="18" t="str">
        <x:v>Source (ARTIFICIAL)</x:v>
      </x:c>
      <x:c r="C34" s="18" t="str">
        <x:v>Categorical text</x:v>
      </x:c>
      <x:c r="D34" s="18" t="str">
        <x:v>Presence/absence indicator for artificial at the survey site.</x:v>
      </x:c>
      <x:c r="E34" s="18" t="str">
        <x:v>Present; Absent</x:v>
      </x:c>
      <x:c r="F34" s="18" t="str"/>
    </x:row>
    <x:row r="35">
      <x:c r="A35" s="18" t="str">
        <x:v>unknown</x:v>
      </x:c>
      <x:c r="B35" s="18" t="str">
        <x:v>Source (UNKNOWN)</x:v>
      </x:c>
      <x:c r="C35" s="18" t="str">
        <x:v>Categorical text</x:v>
      </x:c>
      <x:c r="D35" s="18" t="str">
        <x:v>Presence/absence indicator for unknown at the survey site.</x:v>
      </x:c>
      <x:c r="E35" s="18" t="str">
        <x:v>Present; Absent</x:v>
      </x:c>
      <x:c r="F35" s="18" t="str"/>
    </x:row>
    <x:row r="36">
      <x:c r="A36" s="18" t="str">
        <x:v>coral_reef_present</x:v>
      </x:c>
      <x:c r="B36" s="18" t="str">
        <x:v>Derived</x:v>
      </x:c>
      <x:c r="C36" s="18" t="str">
        <x:v>Integer</x:v>
      </x:c>
      <x:c r="D36" s="18" t="str">
        <x:v>Binary version of coral reef presence.</x:v>
      </x:c>
      <x:c r="E36" s="18" t="str">
        <x:v>1 = Present; 0 = Absent</x:v>
      </x:c>
      <x:c r="F36" s="18" t="str"/>
    </x:row>
    <x:row r="37">
      <x:c r="A37" s="18" t="str">
        <x:v>pavement_present</x:v>
      </x:c>
      <x:c r="B37" s="18" t="str">
        <x:v>Derived</x:v>
      </x:c>
      <x:c r="C37" s="18" t="str">
        <x:v>Integer</x:v>
      </x:c>
      <x:c r="D37" s="18" t="str">
        <x:v>Binary version of pavement presence.</x:v>
      </x:c>
      <x:c r="E37" s="18" t="str">
        <x:v>1 = Present; 0 = Absent</x:v>
      </x:c>
      <x:c r="F37" s="18" t="str"/>
    </x:row>
    <x:row r="38">
      <x:c r="A38" s="18" t="str">
        <x:v>rhodolith_present</x:v>
      </x:c>
      <x:c r="B38" s="18" t="str">
        <x:v>Derived</x:v>
      </x:c>
      <x:c r="C38" s="18" t="str">
        <x:v>Integer</x:v>
      </x:c>
      <x:c r="D38" s="18" t="str">
        <x:v>Binary version of rhodolith presence.</x:v>
      </x:c>
      <x:c r="E38" s="18" t="str">
        <x:v>1 = Present; 0 = Absent</x:v>
      </x:c>
      <x:c r="F38" s="18" t="str"/>
    </x:row>
    <x:row r="39">
      <x:c r="A39" s="18" t="str">
        <x:v>sand_present</x:v>
      </x:c>
      <x:c r="B39" s="18" t="str">
        <x:v>Derived</x:v>
      </x:c>
      <x:c r="C39" s="18" t="str">
        <x:v>Integer</x:v>
      </x:c>
      <x:c r="D39" s="18" t="str">
        <x:v>Binary version of sand presence.</x:v>
      </x:c>
      <x:c r="E39" s="18" t="str">
        <x:v>1 = Present; 0 = Absent</x:v>
      </x:c>
      <x:c r="F39" s="18" t="str"/>
    </x:row>
    <x:row r="40">
      <x:c r="A40" s="18" t="str">
        <x:v>hard_coral_present</x:v>
      </x:c>
      <x:c r="B40" s="18" t="str">
        <x:v>Derived</x:v>
      </x:c>
      <x:c r="C40" s="18" t="str">
        <x:v>Integer</x:v>
      </x:c>
      <x:c r="D40" s="18" t="str">
        <x:v>Binary version of hard coral presence.</x:v>
      </x:c>
      <x:c r="E40" s="18" t="str">
        <x:v>1 = Present; 0 = Absent</x:v>
      </x:c>
      <x:c r="F40" s="18" t="str"/>
    </x:row>
    <x:row r="41">
      <x:c r="A41" s="18" t="str">
        <x:v>soft_coral_present</x:v>
      </x:c>
      <x:c r="B41" s="18" t="str">
        <x:v>Derived</x:v>
      </x:c>
      <x:c r="C41" s="18" t="str">
        <x:v>Integer</x:v>
      </x:c>
      <x:c r="D41" s="18" t="str">
        <x:v>Binary version of soft coral presence.</x:v>
      </x:c>
      <x:c r="E41" s="18" t="str">
        <x:v>1 = Present; 0 = Absent</x:v>
      </x:c>
      <x:c r="F41" s="18" t="str"/>
    </x:row>
    <x:row r="42">
      <x:c r="A42" s="18" t="str">
        <x:v>macroalgae_present</x:v>
      </x:c>
      <x:c r="B42" s="18" t="str">
        <x:v>Derived</x:v>
      </x:c>
      <x:c r="C42" s="18" t="str">
        <x:v>Integer</x:v>
      </x:c>
      <x:c r="D42" s="18" t="str">
        <x:v>Binary version of macroalgae presence.</x:v>
      </x:c>
      <x:c r="E42" s="18" t="str">
        <x:v>1 = Present; 0 = Absent</x:v>
      </x:c>
      <x:c r="F42" s="18" t="str"/>
    </x:row>
    <x:row r="43">
      <x:c r="A43" s="18" t="str">
        <x:v>sponge_present</x:v>
      </x:c>
      <x:c r="B43" s="18" t="str">
        <x:v>Derived</x:v>
      </x:c>
      <x:c r="C43" s="18" t="str">
        <x:v>Integer</x:v>
      </x:c>
      <x:c r="D43" s="18" t="str">
        <x:v>Binary version of sponge presence.</x:v>
      </x:c>
      <x:c r="E43" s="18" t="str">
        <x:v>1 = Present; 0 = Absent</x:v>
      </x:c>
      <x:c r="F43" s="18" t="str"/>
    </x:row>
    <x:row r="44">
      <x:c r="A44" s="18" t="str">
        <x:v>seagrass_present</x:v>
      </x:c>
      <x:c r="B44" s="18" t="str">
        <x:v>Derived</x:v>
      </x:c>
      <x:c r="C44" s="18" t="str">
        <x:v>Integer</x:v>
      </x:c>
      <x:c r="D44" s="18" t="str">
        <x:v>Binary version of seagrass presence.</x:v>
      </x:c>
      <x:c r="E44" s="18" t="str">
        <x:v>1 = Present; 0 = Absent</x:v>
      </x:c>
      <x:c r="F44" s="18" t="str"/>
    </x:row>
    <x:row r="45">
      <x:c r="A45" s="18" t="str">
        <x:v>artificial_present</x:v>
      </x:c>
      <x:c r="B45" s="18" t="str">
        <x:v>Derived</x:v>
      </x:c>
      <x:c r="C45" s="18" t="str">
        <x:v>Integer</x:v>
      </x:c>
      <x:c r="D45" s="18" t="str">
        <x:v>Binary version of artificial presence.</x:v>
      </x:c>
      <x:c r="E45" s="18" t="str">
        <x:v>1 = Present; 0 = Absent</x:v>
      </x:c>
      <x:c r="F45" s="18" t="str"/>
    </x:row>
    <x:row r="46">
      <x:c r="A46" s="18" t="str">
        <x:v>unknown_present</x:v>
      </x:c>
      <x:c r="B46" s="18" t="str">
        <x:v>Derived</x:v>
      </x:c>
      <x:c r="C46" s="18" t="str">
        <x:v>Integer</x:v>
      </x:c>
      <x:c r="D46" s="18" t="str">
        <x:v>Binary version of unknown presence.</x:v>
      </x:c>
      <x:c r="E46" s="18" t="str">
        <x:v>1 = Present; 0 = Absent</x:v>
      </x:c>
      <x:c r="F46" s="18" t="str"/>
    </x:row>
    <x:row r="47">
      <x:c r="A47" s="18" t="str">
        <x:v>notes</x:v>
      </x:c>
      <x:c r="B47" s="18" t="str">
        <x:v>Source (NOTES)</x:v>
      </x:c>
      <x:c r="C47" s="18" t="str">
        <x:v>Text</x:v>
      </x:c>
      <x:c r="D47" s="18" t="str">
        <x:v>Field or data-manager note associated with the record.</x:v>
      </x:c>
      <x:c r="E47" s="18" t="str">
        <x:v>Optional</x:v>
      </x:c>
      <x:c r="F47" s="18" t="str">
        <x:v>Whitespace-only notes standardized to blank.</x:v>
      </x:c>
    </x:row>
    <x:row r="48">
      <x:c r="A48" s="18" t="str">
        <x:v>core_substrate_count</x:v>
      </x:c>
      <x:c r="B48" s="18" t="str">
        <x:v>Derived</x:v>
      </x:c>
      <x:c r="C48" s="18" t="str">
        <x:v>Integer</x:v>
      </x:c>
      <x:c r="D48" s="18" t="str">
        <x:v>Number of core substrate flags marked Present among coral reef, pavement, rhodolith and sand.</x:v>
      </x:c>
      <x:c r="E48" s="18" t="str">
        <x:v>0-4</x:v>
      </x:c>
      <x:c r="F48" s="18" t="str">
        <x:v>Based on the four substrate columns emphasized in NOAA metadata.</x:v>
      </x:c>
    </x:row>
    <x:row r="49">
      <x:c r="A49" s="18" t="str">
        <x:v>core_biological_cover_count</x:v>
      </x:c>
      <x:c r="B49" s="18" t="str">
        <x:v>Derived</x:v>
      </x:c>
      <x:c r="C49" s="18" t="str">
        <x:v>Integer</x:v>
      </x:c>
      <x:c r="D49" s="18" t="str">
        <x:v>Number of core biological cover flags marked Present among hard coral, soft coral, macroalgae and sponge.</x:v>
      </x:c>
      <x:c r="E49" s="18" t="str">
        <x:v>0-4</x:v>
      </x:c>
      <x:c r="F49" s="18" t="str">
        <x:v>Based on the four biological-cover columns emphasized in NOAA metadata.</x:v>
      </x:c>
    </x:row>
    <x:row r="50">
      <x:c r="A50" s="18" t="str">
        <x:v>all_feature_count</x:v>
      </x:c>
      <x:c r="B50" s="18" t="str">
        <x:v>Derived</x:v>
      </x:c>
      <x:c r="C50" s="18" t="str">
        <x:v>Integer</x:v>
      </x:c>
      <x:c r="D50" s="18" t="str">
        <x:v>Count of Present values across all 11 habitat/feature indicator columns.</x:v>
      </x:c>
      <x:c r="E50" s="18" t="str">
        <x:v>0-11</x:v>
      </x:c>
      <x:c r="F50" s="18" t="str">
        <x:v>Includes seagrass, artificial and unknown.</x:v>
      </x:c>
    </x:row>
    <x:row r="51">
      <x:c r="A51" s="18" t="str">
        <x:v>qa_required_fields</x:v>
      </x:c>
      <x:c r="B51" s="18" t="str">
        <x:v>Derived QA</x:v>
      </x:c>
      <x:c r="C51" s="18" t="str">
        <x:v>Categorical text</x:v>
      </x:c>
      <x:c r="D51" s="18" t="str">
        <x:v>Check that required identifier, survey, coordinate, depth and URL fields are populated.</x:v>
      </x:c>
      <x:c r="E51" s="18" t="str">
        <x:v>Pass / Review / Fail as applicable</x:v>
      </x:c>
      <x:c r="F51" s="18" t="str"/>
    </x:row>
    <x:row r="52">
      <x:c r="A52" s="18" t="str">
        <x:v>qa_coordinate_range</x:v>
      </x:c>
      <x:c r="B52" s="18" t="str">
        <x:v>Derived QA</x:v>
      </x:c>
      <x:c r="C52" s="18" t="str">
        <x:v>Categorical text</x:v>
      </x:c>
      <x:c r="D52" s="18" t="str">
        <x:v>Check latitude/longitude fall within global valid ranges.</x:v>
      </x:c>
      <x:c r="E52" s="18" t="str">
        <x:v>Pass / Review / Fail as applicable</x:v>
      </x:c>
      <x:c r="F52" s="18" t="str"/>
    </x:row>
    <x:row r="53">
      <x:c r="A53" s="18" t="str">
        <x:v>qa_category_domain</x:v>
      </x:c>
      <x:c r="B53" s="18" t="str">
        <x:v>Derived QA</x:v>
      </x:c>
      <x:c r="C53" s="18" t="str">
        <x:v>Categorical text</x:v>
      </x:c>
      <x:c r="D53" s="18" t="str">
        <x:v>Check all 11 habitat indicators are exactly Present or Absent.</x:v>
      </x:c>
      <x:c r="E53" s="18" t="str">
        <x:v>Pass / Review / Fail as applicable</x:v>
      </x:c>
      <x:c r="F53" s="18" t="str"/>
    </x:row>
    <x:row r="54">
      <x:c r="A54" s="18" t="str">
        <x:v>qa_url</x:v>
      </x:c>
      <x:c r="B54" s="18" t="str">
        <x:v>Derived QA</x:v>
      </x:c>
      <x:c r="C54" s="18" t="str">
        <x:v>Categorical text</x:v>
      </x:c>
      <x:c r="D54" s="18" t="str">
        <x:v>Check source URL begins with HTTPS and ends with .mp4.</x:v>
      </x:c>
      <x:c r="E54" s="18" t="str">
        <x:v>Pass / Review / Fail as applicable</x:v>
      </x:c>
      <x:c r="F54" s="18" t="str"/>
    </x:row>
    <x:row r="55">
      <x:c r="A55" s="18" t="str">
        <x:v>qa_site_id_duplicate</x:v>
      </x:c>
      <x:c r="B55" s="18" t="str">
        <x:v>Derived QA</x:v>
      </x:c>
      <x:c r="C55" s="18" t="str">
        <x:v>Categorical text</x:v>
      </x:c>
      <x:c r="D55" s="18" t="str">
        <x:v>Flag repeated SITE ID values for review.</x:v>
      </x:c>
      <x:c r="E55" s="18" t="str">
        <x:v>Pass / Review / Fail as applicable</x:v>
      </x:c>
      <x:c r="F55" s="18" t="str"/>
    </x:row>
    <x:row r="56">
      <x:c r="A56" s="18" t="str">
        <x:v>qa_index_fid</x:v>
      </x:c>
      <x:c r="B56" s="18" t="str">
        <x:v>Derived QA</x:v>
      </x:c>
      <x:c r="C56" s="18" t="str">
        <x:v>Categorical text</x:v>
      </x:c>
      <x:c r="D56" s="18" t="str">
        <x:v>Flag disagreement between source index and FID.</x:v>
      </x:c>
      <x:c r="E56" s="18" t="str">
        <x:v>Pass / Review / Fail as applicable</x:v>
      </x:c>
      <x:c r="F56" s="18" t="str"/>
    </x:row>
    <x:row r="57">
      <x:c r="A57" s="18" t="str">
        <x:v>qa_spatial_consistency</x:v>
      </x:c>
      <x:c r="B57" s="18" t="str">
        <x:v>Derived QA</x:v>
      </x:c>
      <x:c r="C57" s="18" t="str">
        <x:v>Categorical text</x:v>
      </x:c>
      <x:c r="D57" s="18" t="str">
        <x:v>Compare source projected coordinates with coordinates recomputed from WGS84 latitude/longitude.</x:v>
      </x:c>
      <x:c r="E57" s="18" t="str">
        <x:v>Pass / Review / Fail as applicable</x:v>
      </x:c>
      <x:c r="F57" s="18" t="str"/>
    </x:row>
    <x:row r="58">
      <x:c r="A58" s="18" t="str">
        <x:v>qa_unknown_class</x:v>
      </x:c>
      <x:c r="B58" s="18" t="str">
        <x:v>Derived QA</x:v>
      </x:c>
      <x:c r="C58" s="18" t="str">
        <x:v>Categorical text</x:v>
      </x:c>
      <x:c r="D58" s="18" t="str">
        <x:v>Flag records where UNKNOWN is Present.</x:v>
      </x:c>
      <x:c r="E58" s="18" t="str">
        <x:v>Pass / Review / Fail as applicable</x:v>
      </x:c>
      <x:c r="F58" s="18" t="str"/>
    </x:row>
    <x:row r="59">
      <x:c r="A59" s="18" t="str">
        <x:v>qa_no_core_substrate</x:v>
      </x:c>
      <x:c r="B59" s="18" t="str">
        <x:v>Derived QA</x:v>
      </x:c>
      <x:c r="C59" s="18" t="str">
        <x:v>Categorical text</x:v>
      </x:c>
      <x:c r="D59" s="18" t="str">
        <x:v>Flag records where none of the four core substrate classes are Present.</x:v>
      </x:c>
      <x:c r="E59" s="18" t="str">
        <x:v>Pass / Review / Fail as applicable</x:v>
      </x:c>
      <x:c r="F59" s="18" t="str"/>
    </x:row>
    <x:row r="60">
      <x:c r="A60" s="18" t="str">
        <x:v>qa_video_usability_note</x:v>
      </x:c>
      <x:c r="B60" s="18" t="str">
        <x:v>Derived QA</x:v>
      </x:c>
      <x:c r="C60" s="18" t="str">
        <x:v>Categorical text</x:v>
      </x:c>
      <x:c r="D60" s="18" t="str">
        <x:v>Flag notes that state no underwater video exists or the camera did not reach bottom.</x:v>
      </x:c>
      <x:c r="E60" s="18" t="str">
        <x:v>Pass / Review / Fail as applicable</x:v>
      </x:c>
      <x:c r="F60" s="18" t="str"/>
    </x:row>
    <x:row r="61">
      <x:c r="A61" s="18" t="str">
        <x:v>qa_status</x:v>
      </x:c>
      <x:c r="B61" s="18" t="str">
        <x:v>Derived QA</x:v>
      </x:c>
      <x:c r="C61" s="18" t="str">
        <x:v>Categorical text</x:v>
      </x:c>
      <x:c r="D61" s="18" t="str">
        <x:v>Overall portfolio QA classification.</x:v>
      </x:c>
      <x:c r="E61" s="18" t="str">
        <x:v>Pass; Review; Critical</x:v>
      </x:c>
      <x:c r="F61" s="18" t="str">
        <x:v>Critical is reserved for missing required data, invalid global coordinates, invalid category domains or invalid-looking URLs. Review captures non-destructive anomalies needing human verification.</x:v>
      </x:c>
    </x:row>
    <x:row r="62">
      <x:c r="A62" s="18" t="str">
        <x:v>qa_reason</x:v>
      </x:c>
      <x:c r="B62" s="18" t="str">
        <x:v>Derived QA</x:v>
      </x:c>
      <x:c r="C62" s="18" t="str">
        <x:v>Text</x:v>
      </x:c>
      <x:c r="D62" s="18" t="str">
        <x:v>Semicolon-separated reasons for Review/Critical status.</x:v>
      </x:c>
      <x:c r="E62" s="18" t="str">
        <x:v>Blank for Pass</x:v>
      </x:c>
      <x:c r="F62" s="1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3" t="str">
        <x:v>Data Summary and QA Metrics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3">
      <x:c r="A3" s="23" t="str">
        <x:v>Metric</x:v>
      </x:c>
      <x:c r="B3" s="23" t="str">
        <x:v>Value</x:v>
      </x:c>
      <x:c r="D3" s="23" t="str">
        <x:v>Region</x:v>
      </x:c>
      <x:c r="E3" s="23" t="str">
        <x:v>Records</x:v>
      </x:c>
      <x:c r="G3" s="23" t="str">
        <x:v>Site Type</x:v>
      </x:c>
      <x:c r="H3" s="23" t="str">
        <x:v>Records</x:v>
      </x:c>
    </x:row>
    <x:row r="4">
      <x:c r="A4" t="str">
        <x:v>Total records</x:v>
      </x:c>
      <x:c r="B4" t="n">
        <x:f>COUNTA(Clean_Master!A2:A1354)</x:f>
        <x:v>1353</x:v>
      </x:c>
      <x:c r="D4" t="str">
        <x:v>Puerto Rico</x:v>
      </x:c>
      <x:c r="E4" t="n">
        <x:f>COUNTIF(Clean_Master!C2:C1354,D4)</x:f>
        <x:v>293</x:v>
      </x:c>
      <x:c r="G4" t="str">
        <x:v>GV</x:v>
      </x:c>
      <x:c r="H4" t="n">
        <x:f>COUNTIF(Clean_Master!D2:D1354,G4)</x:f>
        <x:v>1005</x:v>
      </x:c>
    </x:row>
    <x:row r="5">
      <x:c r="A5" t="str">
        <x:v>Pass records</x:v>
      </x:c>
      <x:c r="B5" t="n">
        <x:f>COUNTIF(Clean_Master!AB2:AB1354,"Pass")</x:f>
        <x:v>1347</x:v>
      </x:c>
      <x:c r="D5" t="str">
        <x:v>St. Thomas, USVI</x:v>
      </x:c>
      <x:c r="E5" t="n">
        <x:f>COUNTIF(Clean_Master!C2:C1354,D5)</x:f>
        <x:v>691</x:v>
      </x:c>
      <x:c r="G5" t="str">
        <x:v>AA</x:v>
      </x:c>
      <x:c r="H5" t="n">
        <x:f>COUNTIF(Clean_Master!D2:D1354,G5)</x:f>
        <x:v>348</x:v>
      </x:c>
    </x:row>
    <x:row r="6">
      <x:c r="A6" t="str">
        <x:v>Review records</x:v>
      </x:c>
      <x:c r="B6" t="n">
        <x:f>COUNTIF(Clean_Master!AB2:AB1354,"Review")</x:f>
        <x:v>6</x:v>
      </x:c>
      <x:c r="D6" t="str">
        <x:v>St. John, USVI</x:v>
      </x:c>
      <x:c r="E6" t="n">
        <x:f>COUNTIF(Clean_Master!C2:C1354,D6)</x:f>
        <x:v>369</x:v>
      </x:c>
    </x:row>
    <x:row r="7">
      <x:c r="A7" t="str">
        <x:v>Critical records</x:v>
      </x:c>
      <x:c r="B7" t="n">
        <x:f>COUNTIF(Clean_Master!AB2:AB1354,"Critical")</x:f>
        <x:v>0</x:v>
      </x:c>
    </x:row>
    <x:row r="8">
      <x:c r="A8" t="str">
        <x:v>Mean depth (m)</x:v>
      </x:c>
      <x:c r="B8" s="38" t="n">
        <x:f>AVERAGE(Clean_Master!M2:M1354)</x:f>
        <x:v>40.730732446415416</x:v>
      </x:c>
    </x:row>
    <x:row r="11">
      <x:c r="A11" s="23" t="str">
        <x:v>Year</x:v>
      </x:c>
      <x:c r="B11" s="23" t="str">
        <x:v>Records</x:v>
      </x:c>
      <x:c r="D11" s="23" t="str">
        <x:v>Feature</x:v>
      </x:c>
      <x:c r="E11" s="23" t="str">
        <x:v>Present N</x:v>
      </x:c>
      <x:c r="F11" s="23" t="str">
        <x:v>Presence %</x:v>
      </x:c>
      <x:c r="H11" s="23" t="str">
        <x:v>QA Status</x:v>
      </x:c>
      <x:c r="I11" s="23" t="str">
        <x:v>Records</x:v>
      </x:c>
    </x:row>
    <x:row r="12">
      <x:c r="A12" t="n">
        <x:v>2010</x:v>
      </x:c>
      <x:c r="B12" t="n">
        <x:f>COUNTIF(Clean_Master!J2:J1354,A12)</x:f>
        <x:v>104</x:v>
      </x:c>
      <x:c r="D12" t="str">
        <x:v>Coral reef</x:v>
      </x:c>
      <x:c r="E12" t="n">
        <x:f>SUM(Clean_Master!O2:O1354)</x:f>
        <x:v>461</x:v>
      </x:c>
      <x:c r="F12" s="40" t="n">
        <x:f>E12/$B$4</x:f>
        <x:v>0.3407243163340724</x:v>
      </x:c>
      <x:c r="H12" t="str">
        <x:v>Pass</x:v>
      </x:c>
      <x:c r="I12" t="n">
        <x:f>COUNTIF(Clean_Master!AB2:AB1354,H12)</x:f>
        <x:v>1347</x:v>
      </x:c>
    </x:row>
    <x:row r="13">
      <x:c r="A13" t="n">
        <x:v>2011</x:v>
      </x:c>
      <x:c r="B13" t="n">
        <x:f>COUNTIF(Clean_Master!J2:J1354,A13)</x:f>
        <x:v>213</x:v>
      </x:c>
      <x:c r="D13" t="str">
        <x:v>Pavement</x:v>
      </x:c>
      <x:c r="E13" t="n">
        <x:f>SUM(Clean_Master!P2:P1354)</x:f>
        <x:v>216</x:v>
      </x:c>
      <x:c r="F13" s="40" t="n">
        <x:f>E13/$B$4</x:f>
        <x:v>0.15964523281596452</x:v>
      </x:c>
      <x:c r="H13" t="str">
        <x:v>Review</x:v>
      </x:c>
      <x:c r="I13" t="n">
        <x:f>COUNTIF(Clean_Master!AB2:AB1354,H13)</x:f>
        <x:v>6</x:v>
      </x:c>
    </x:row>
    <x:row r="14">
      <x:c r="A14" t="n">
        <x:v>2016</x:v>
      </x:c>
      <x:c r="B14" t="n">
        <x:f>COUNTIF(Clean_Master!J2:J1354,A14)</x:f>
        <x:v>688</x:v>
      </x:c>
      <x:c r="D14" t="str">
        <x:v>Rhodolith</x:v>
      </x:c>
      <x:c r="E14" t="n">
        <x:f>SUM(Clean_Master!Q2:Q1354)</x:f>
        <x:v>751</x:v>
      </x:c>
      <x:c r="F14" s="40" t="n">
        <x:f>E14/$B$4</x:f>
        <x:v>0.5550628233555063</x:v>
      </x:c>
      <x:c r="H14" t="str">
        <x:v>Critical</x:v>
      </x:c>
      <x:c r="I14" t="n">
        <x:f>COUNTIF(Clean_Master!AB2:AB1354,H14)</x:f>
        <x:v>0</x:v>
      </x:c>
    </x:row>
    <x:row r="15">
      <x:c r="A15" t="n">
        <x:v>2017</x:v>
      </x:c>
      <x:c r="B15" t="n">
        <x:f>COUNTIF(Clean_Master!J2:J1354,A15)</x:f>
        <x:v>348</x:v>
      </x:c>
      <x:c r="D15" t="str">
        <x:v>Sand</x:v>
      </x:c>
      <x:c r="E15" t="n">
        <x:f>SUM(Clean_Master!R2:R1354)</x:f>
        <x:v>555</x:v>
      </x:c>
      <x:c r="F15" s="40" t="n">
        <x:f>E15/$B$4</x:f>
        <x:v>0.41019955654101997</x:v>
      </x:c>
    </x:row>
    <x:row r="16">
      <x:c r="D16" t="str">
        <x:v>Hard coral</x:v>
      </x:c>
      <x:c r="E16" t="n">
        <x:f>SUM(Clean_Master!S2:S1354)</x:f>
        <x:v>688</x:v>
      </x:c>
      <x:c r="F16" s="40" t="n">
        <x:f>E16/$B$4</x:f>
        <x:v>0.50849963045085</x:v>
      </x:c>
    </x:row>
    <x:row r="17">
      <x:c r="D17" t="str">
        <x:v>Soft coral</x:v>
      </x:c>
      <x:c r="E17" t="n">
        <x:f>SUM(Clean_Master!T2:T1354)</x:f>
        <x:v>220</x:v>
      </x:c>
      <x:c r="F17" s="40" t="n">
        <x:f>E17/$B$4</x:f>
        <x:v>0.16260162601626016</x:v>
      </x:c>
      <x:c r="H17" s="23" t="str">
        <x:v>Depth Metric</x:v>
      </x:c>
      <x:c r="I17" s="23" t="str">
        <x:v>Meters</x:v>
      </x:c>
    </x:row>
    <x:row r="18">
      <x:c r="D18" t="str">
        <x:v>Macroalgae</x:v>
      </x:c>
      <x:c r="E18" t="n">
        <x:f>SUM(Clean_Master!U2:U1354)</x:f>
        <x:v>1229</x:v>
      </x:c>
      <x:c r="F18" s="40" t="n">
        <x:f>E18/$B$4</x:f>
        <x:v>0.9083518107908352</x:v>
      </x:c>
      <x:c r="H18" t="str">
        <x:v>Minimum</x:v>
      </x:c>
      <x:c r="I18" s="38" t="n">
        <x:f>MIN(Clean_Master!M2:M1354)</x:f>
        <x:v>21.318</x:v>
      </x:c>
    </x:row>
    <x:row r="19">
      <x:c r="D19" t="str">
        <x:v>Sponge</x:v>
      </x:c>
      <x:c r="E19" t="n">
        <x:f>SUM(Clean_Master!V2:V1354)</x:f>
        <x:v>1170</x:v>
      </x:c>
      <x:c r="F19" s="40" t="n">
        <x:f>E19/$B$4</x:f>
        <x:v>0.8647450110864745</x:v>
      </x:c>
      <x:c r="H19" t="str">
        <x:v>Mean</x:v>
      </x:c>
      <x:c r="I19" s="38" t="n">
        <x:f>AVERAGE(Clean_Master!M2:M1354)</x:f>
        <x:v>40.730732446415416</x:v>
      </x:c>
    </x:row>
    <x:row r="20">
      <x:c r="D20" t="str">
        <x:v>Seagrass</x:v>
      </x:c>
      <x:c r="E20" t="n">
        <x:f>SUM(Clean_Master!W2:W1354)</x:f>
        <x:v>13</x:v>
      </x:c>
      <x:c r="F20" s="40" t="n">
        <x:f>E20/$B$4</x:f>
        <x:v>0.009608277900960829</x:v>
      </x:c>
      <x:c r="H20" t="str">
        <x:v>Maximum</x:v>
      </x:c>
      <x:c r="I20" s="38" t="n">
        <x:f>MAX(Clean_Master!M2:M1354)</x:f>
        <x:v>74.247</x:v>
      </x:c>
    </x:row>
    <x:row r="21">
      <x:c r="D21" t="str">
        <x:v>Artificial</x:v>
      </x:c>
      <x:c r="E21" t="n">
        <x:f>SUM(Clean_Master!X2:X1354)</x:f>
        <x:v>15</x:v>
      </x:c>
      <x:c r="F21" s="40" t="n">
        <x:f>E21/$B$4</x:f>
        <x:v>0.011086474501108648</x:v>
      </x:c>
    </x:row>
    <x:row r="22">
      <x:c r="D22" t="str">
        <x:v>Unknown</x:v>
      </x:c>
      <x:c r="E22" t="n">
        <x:f>SUM(Clean_Master!Y2:Y1354)</x:f>
        <x:v>3</x:v>
      </x:c>
      <x:c r="F22" s="40" t="n">
        <x:f>E22/$B$4</x:f>
        <x:v>0.0022172949002217295</x:v>
      </x:c>
    </x:row>
  </x:sheetData>
  <x:mergeCells>
    <x:mergeCell ref="A1:J1"/>
  </x:mergeCells>
  <x:conditionalFormatting sqref="F12:F2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156082"/>
            </x14:dataBar>
          </x14:cfRule>
          <xm:sqref>F12:F22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13" hidden="0" customWidth="1"/>
    <x:col min="5" max="5" width="21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6" t="str">
        <x:v>Marine Benthic Habitat Monitoring Dashboard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>
      <x:c r="A3" s="14" t="str">
        <x:v>Total Records</x:v>
      </x:c>
      <x:c r="B3" s="44" t="n">
        <x:f>Summary!B4</x:f>
        <x:v>1353</x:v>
      </x:c>
      <x:c r="D3" s="14" t="str">
        <x:v>Pass</x:v>
      </x:c>
      <x:c r="E3" s="44" t="n">
        <x:f>Summary!B5</x:f>
        <x:v>1347</x:v>
      </x:c>
      <x:c r="G3" s="14" t="str">
        <x:v>Review</x:v>
      </x:c>
      <x:c r="H3" s="44" t="n">
        <x:f>Summary!B6</x:f>
        <x:v>6</x:v>
      </x:c>
      <x:c r="J3" s="14" t="str">
        <x:v>Pass Rate</x:v>
      </x:c>
      <x:c r="K3" s="48" t="n">
        <x:f>Summary!B5/Summary!B4</x:f>
        <x:v>0.9955654101995566</x:v>
      </x:c>
    </x:row>
    <x:row r="5">
      <x:c r="A5" s="14" t="str">
        <x:v>Ground Validation</x:v>
      </x:c>
      <x:c r="B5" s="44" t="n">
        <x:f>Summary!H4</x:f>
        <x:v>1005</x:v>
      </x:c>
      <x:c r="D5" s="14" t="str">
        <x:v>Accuracy Assessment</x:v>
      </x:c>
      <x:c r="E5" s="44" t="n">
        <x:f>Summary!H5</x:f>
        <x:v>348</x:v>
      </x:c>
      <x:c r="G5" s="14" t="str">
        <x:v>Mean Depth (m)</x:v>
      </x:c>
      <x:c r="H5" s="50" t="n">
        <x:f>Summary!B8</x:f>
        <x:v>40.730732446415416</x:v>
      </x:c>
      <x:c r="J5" s="14" t="str">
        <x:v>Survey Years</x:v>
      </x:c>
      <x:c r="K5" s="44" t="n">
        <x:f>COUNTA(Summary!A12:A15)</x:f>
        <x:v>4</x:v>
      </x:c>
    </x:row>
    <x:row r="9">
      <x:c r="A9" s="23" t="str">
        <x:v>Region</x:v>
      </x:c>
      <x:c r="B9" s="23" t="str">
        <x:v>Records</x:v>
      </x:c>
      <x:c r="C9" s="23" t="str">
        <x:v>Share</x:v>
      </x:c>
      <x:c r="E9" s="23" t="str">
        <x:v>Benthic Feature</x:v>
      </x:c>
      <x:c r="F9" s="23" t="str">
        <x:v>Present N</x:v>
      </x:c>
      <x:c r="G9" s="23" t="str">
        <x:v>Presence %</x:v>
      </x:c>
      <x:c r="I9" s="23" t="str">
        <x:v>Survey Year</x:v>
      </x:c>
      <x:c r="J9" s="23" t="str">
        <x:v>Records</x:v>
      </x:c>
    </x:row>
    <x:row r="10">
      <x:c r="A10" t="str">
        <x:v>Puerto Rico</x:v>
      </x:c>
      <x:c r="B10" t="n">
        <x:f>Summary!E4</x:f>
        <x:v>293</x:v>
      </x:c>
      <x:c r="C10" s="40" t="n">
        <x:f>B10/$B$3</x:f>
        <x:v>0.21655580192165558</x:v>
      </x:c>
      <x:c r="E10" t="str">
        <x:v>Coral reef</x:v>
      </x:c>
      <x:c r="F10" t="n">
        <x:f>Summary!E12</x:f>
        <x:v>461</x:v>
      </x:c>
      <x:c r="G10" s="40" t="n">
        <x:f>Summary!F12</x:f>
        <x:v>0.3407243163340724</x:v>
      </x:c>
      <x:c r="I10" t="n">
        <x:v>2010</x:v>
      </x:c>
      <x:c r="J10" t="n">
        <x:f>Summary!B12</x:f>
        <x:v>104</x:v>
      </x:c>
    </x:row>
    <x:row r="11">
      <x:c r="A11" t="str">
        <x:v>St. Thomas, USVI</x:v>
      </x:c>
      <x:c r="B11" t="n">
        <x:f>Summary!E5</x:f>
        <x:v>691</x:v>
      </x:c>
      <x:c r="C11" s="40" t="n">
        <x:f>B11/$B$3</x:f>
        <x:v>0.5107169253510717</x:v>
      </x:c>
      <x:c r="E11" t="str">
        <x:v>Pavement</x:v>
      </x:c>
      <x:c r="F11" t="n">
        <x:f>Summary!E13</x:f>
        <x:v>216</x:v>
      </x:c>
      <x:c r="G11" s="40" t="n">
        <x:f>Summary!F13</x:f>
        <x:v>0.15964523281596452</x:v>
      </x:c>
      <x:c r="I11" t="n">
        <x:v>2011</x:v>
      </x:c>
      <x:c r="J11" t="n">
        <x:f>Summary!B13</x:f>
        <x:v>213</x:v>
      </x:c>
    </x:row>
    <x:row r="12">
      <x:c r="A12" t="str">
        <x:v>St. John, USVI</x:v>
      </x:c>
      <x:c r="B12" t="n">
        <x:f>Summary!E6</x:f>
        <x:v>369</x:v>
      </x:c>
      <x:c r="C12" s="40" t="n">
        <x:f>B12/$B$3</x:f>
        <x:v>0.2727272727272727</x:v>
      </x:c>
      <x:c r="E12" t="str">
        <x:v>Rhodolith</x:v>
      </x:c>
      <x:c r="F12" t="n">
        <x:f>Summary!E14</x:f>
        <x:v>751</x:v>
      </x:c>
      <x:c r="G12" s="40" t="n">
        <x:f>Summary!F14</x:f>
        <x:v>0.5550628233555063</x:v>
      </x:c>
      <x:c r="I12" t="n">
        <x:v>2016</x:v>
      </x:c>
      <x:c r="J12" t="n">
        <x:f>Summary!B14</x:f>
        <x:v>688</x:v>
      </x:c>
    </x:row>
    <x:row r="13">
      <x:c r="E13" t="str">
        <x:v>Sand</x:v>
      </x:c>
      <x:c r="F13" t="n">
        <x:f>Summary!E15</x:f>
        <x:v>555</x:v>
      </x:c>
      <x:c r="G13" s="40" t="n">
        <x:f>Summary!F15</x:f>
        <x:v>0.41019955654101997</x:v>
      </x:c>
      <x:c r="I13" t="n">
        <x:v>2017</x:v>
      </x:c>
      <x:c r="J13" t="n">
        <x:f>Summary!B15</x:f>
        <x:v>348</x:v>
      </x:c>
    </x:row>
    <x:row r="14">
      <x:c r="E14" t="str">
        <x:v>Hard coral</x:v>
      </x:c>
      <x:c r="F14" t="n">
        <x:f>Summary!E16</x:f>
        <x:v>688</x:v>
      </x:c>
      <x:c r="G14" s="40" t="n">
        <x:f>Summary!F16</x:f>
        <x:v>0.50849963045085</x:v>
      </x:c>
    </x:row>
    <x:row r="15">
      <x:c r="E15" t="str">
        <x:v>Soft coral</x:v>
      </x:c>
      <x:c r="F15" t="n">
        <x:f>Summary!E17</x:f>
        <x:v>220</x:v>
      </x:c>
      <x:c r="G15" s="40" t="n">
        <x:f>Summary!F17</x:f>
        <x:v>0.16260162601626016</x:v>
      </x:c>
    </x:row>
    <x:row r="16">
      <x:c r="E16" t="str">
        <x:v>Macroalgae</x:v>
      </x:c>
      <x:c r="F16" t="n">
        <x:f>Summary!E18</x:f>
        <x:v>1229</x:v>
      </x:c>
      <x:c r="G16" s="40" t="n">
        <x:f>Summary!F18</x:f>
        <x:v>0.9083518107908352</x:v>
      </x:c>
      <x:c r="I16" s="23" t="str">
        <x:v>QA Status</x:v>
      </x:c>
      <x:c r="J16" s="23" t="str">
        <x:v>Records</x:v>
      </x:c>
    </x:row>
    <x:row r="17">
      <x:c r="E17" t="str">
        <x:v>Sponge</x:v>
      </x:c>
      <x:c r="F17" t="n">
        <x:f>Summary!E19</x:f>
        <x:v>1170</x:v>
      </x:c>
      <x:c r="G17" s="40" t="n">
        <x:f>Summary!F19</x:f>
        <x:v>0.8647450110864745</x:v>
      </x:c>
      <x:c r="I17" t="str">
        <x:v>Pass</x:v>
      </x:c>
      <x:c r="J17" t="n">
        <x:f>Summary!I12</x:f>
        <x:v>1347</x:v>
      </x:c>
    </x:row>
    <x:row r="18">
      <x:c r="E18" t="str">
        <x:v>Seagrass</x:v>
      </x:c>
      <x:c r="F18" t="n">
        <x:f>Summary!E20</x:f>
        <x:v>13</x:v>
      </x:c>
      <x:c r="G18" s="40" t="n">
        <x:f>Summary!F20</x:f>
        <x:v>0.009608277900960829</x:v>
      </x:c>
      <x:c r="I18" t="str">
        <x:v>Review</x:v>
      </x:c>
      <x:c r="J18" t="n">
        <x:f>Summary!I13</x:f>
        <x:v>6</x:v>
      </x:c>
    </x:row>
    <x:row r="19">
      <x:c r="E19" t="str">
        <x:v>Artificial</x:v>
      </x:c>
      <x:c r="F19" t="n">
        <x:f>Summary!E21</x:f>
        <x:v>15</x:v>
      </x:c>
      <x:c r="G19" s="40" t="n">
        <x:f>Summary!F21</x:f>
        <x:v>0.011086474501108648</x:v>
      </x:c>
      <x:c r="I19" t="str">
        <x:v>Critical</x:v>
      </x:c>
      <x:c r="J19" t="n">
        <x:f>Summary!I14</x:f>
        <x:v>0</x:v>
      </x:c>
    </x:row>
    <x:row r="20">
      <x:c r="E20" t="str">
        <x:v>Unknown</x:v>
      </x:c>
      <x:c r="F20" t="n">
        <x:f>Summary!E22</x:f>
        <x:v>3</x:v>
      </x:c>
      <x:c r="G20" s="40" t="n">
        <x:f>Summary!F22</x:f>
        <x:v>0.0022172949002217295</x:v>
      </x:c>
    </x:row>
  </x:sheetData>
  <x:mergeCells>
    <x:mergeCell ref="A1:N1"/>
  </x:mergeCells>
  <x:conditionalFormatting sqref="C10:C1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G10:G2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56082"/>
            </x14:dataBar>
          </x14:cfRule>
          <xm:sqref>C10:C12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156082"/>
            </x14:dataBar>
          </x14:cfRule>
          <xm:sqref>G10:G20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23" t="str">
        <x:v>Manual Review Status</x:v>
      </x:c>
    </x:row>
    <x:row r="2">
      <x:c r="A2" t="str">
        <x:v>Pending</x:v>
      </x:c>
    </x:row>
    <x:row r="3">
      <x:c r="A3" t="str">
        <x:v>Confirmed</x:v>
      </x:c>
    </x:row>
    <x:row r="4">
      <x:c r="A4" t="str">
        <x:v>Corrected</x:v>
      </x:c>
    </x:row>
    <x:row r="5">
      <x:c r="A5" t="str">
        <x:v>Not Applicable</x:v>
      </x:c>
    </x:row>
    <x:row r="6">
      <x:c r="A6" t="str"/>
    </x:row>
    <x:row r="7">
      <x:c r="A7" s="23" t="str">
        <x:v>QA Status</x:v>
      </x:c>
    </x:row>
    <x:row r="8">
      <x:c r="A8" t="str">
        <x:v>Pass</x:v>
      </x:c>
    </x:row>
    <x:row r="9">
      <x:c r="A9" t="str">
        <x:v>Review</x:v>
      </x:c>
    </x:row>
    <x:row r="10">
      <x:c r="A10" t="str">
        <x:v>Critical</x:v>
      </x:c>
    </x:row>
  </x:sheetData>
  <x:pageMargins left="0.7" right="0.7" top="0.75" bottom="0.75" header="0.3" footer="0.3"/>
</x:worksheet>
</file>